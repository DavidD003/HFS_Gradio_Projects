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nheuserbuschinbev-my.sharepoint.com/personal/david_desa_labatt_com/Documents/BCS/WkndSchd/"/>
    </mc:Choice>
  </mc:AlternateContent>
  <xr:revisionPtr revIDLastSave="5" documentId="8_{A9DB497C-F3EC-4A40-8C43-E714CC80E011}" xr6:coauthVersionLast="47" xr6:coauthVersionMax="47" xr10:uidLastSave="{743F1675-84C1-4A4F-A24E-9399BBACE749}"/>
  <bookViews>
    <workbookView xWindow="3165" yWindow="2565" windowWidth="23715" windowHeight="15525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up'!$A$2:$AT$161</definedName>
    <definedName name="_xlnm._FilterDatabase" localSheetId="0" hidden="1">'Temp Refusal'!$A$3:$AZ$80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55" i="1" l="1"/>
  <c r="BE55" i="1"/>
  <c r="BH55" i="1"/>
  <c r="BK55" i="1"/>
  <c r="BN55" i="1"/>
  <c r="BQ55" i="1"/>
  <c r="BT55" i="1"/>
  <c r="BW55" i="1"/>
  <c r="BZ55" i="1"/>
  <c r="BB49" i="1"/>
  <c r="BE49" i="1"/>
  <c r="BH49" i="1"/>
  <c r="BK49" i="1"/>
  <c r="BN49" i="1"/>
  <c r="BQ49" i="1"/>
  <c r="BT49" i="1"/>
  <c r="BW49" i="1"/>
  <c r="BZ49" i="1"/>
  <c r="BB10" i="1"/>
  <c r="BE10" i="1"/>
  <c r="BH10" i="1"/>
  <c r="BK10" i="1"/>
  <c r="BN10" i="1"/>
  <c r="BQ10" i="1"/>
  <c r="BT10" i="1"/>
  <c r="BW10" i="1"/>
  <c r="BZ10" i="1"/>
  <c r="BB4" i="1"/>
  <c r="BE4" i="1"/>
  <c r="BH4" i="1"/>
  <c r="BK4" i="1"/>
  <c r="BN4" i="1"/>
  <c r="BQ4" i="1"/>
  <c r="BT4" i="1"/>
  <c r="BW4" i="1"/>
  <c r="BZ4" i="1"/>
  <c r="BB8" i="1"/>
  <c r="BE8" i="1"/>
  <c r="BH8" i="1"/>
  <c r="BK8" i="1"/>
  <c r="BN8" i="1"/>
  <c r="BQ8" i="1"/>
  <c r="BT8" i="1"/>
  <c r="BW8" i="1"/>
  <c r="BZ8" i="1"/>
  <c r="BB14" i="1"/>
  <c r="BE14" i="1"/>
  <c r="BH14" i="1"/>
  <c r="BK14" i="1"/>
  <c r="BN14" i="1"/>
  <c r="BQ14" i="1"/>
  <c r="BT14" i="1"/>
  <c r="BW14" i="1"/>
  <c r="BZ14" i="1"/>
  <c r="BB39" i="1"/>
  <c r="BE39" i="1"/>
  <c r="BH39" i="1"/>
  <c r="BK39" i="1"/>
  <c r="BN39" i="1"/>
  <c r="BQ39" i="1"/>
  <c r="BT39" i="1"/>
  <c r="BW39" i="1"/>
  <c r="BZ39" i="1"/>
  <c r="BB42" i="1"/>
  <c r="BE42" i="1"/>
  <c r="BH42" i="1"/>
  <c r="BK42" i="1"/>
  <c r="BN42" i="1"/>
  <c r="BQ42" i="1"/>
  <c r="BT42" i="1"/>
  <c r="BW42" i="1"/>
  <c r="BZ42" i="1"/>
  <c r="BB61" i="1"/>
  <c r="BE61" i="1"/>
  <c r="BH61" i="1"/>
  <c r="BK61" i="1"/>
  <c r="BN61" i="1"/>
  <c r="BQ61" i="1"/>
  <c r="BT61" i="1"/>
  <c r="BW61" i="1"/>
  <c r="BZ61" i="1"/>
  <c r="BB50" i="1"/>
  <c r="BE50" i="1"/>
  <c r="BH50" i="1"/>
  <c r="BK50" i="1"/>
  <c r="BN50" i="1"/>
  <c r="BQ50" i="1"/>
  <c r="BT50" i="1"/>
  <c r="BW50" i="1"/>
  <c r="BZ50" i="1"/>
  <c r="BB20" i="1"/>
  <c r="BE20" i="1"/>
  <c r="BH20" i="1"/>
  <c r="BK20" i="1"/>
  <c r="BN20" i="1"/>
  <c r="BQ20" i="1"/>
  <c r="BT20" i="1"/>
  <c r="BW20" i="1"/>
  <c r="BZ20" i="1"/>
  <c r="BB80" i="1"/>
  <c r="BE80" i="1"/>
  <c r="BH80" i="1"/>
  <c r="BK80" i="1"/>
  <c r="BN80" i="1"/>
  <c r="BQ80" i="1"/>
  <c r="BT80" i="1"/>
  <c r="BW80" i="1"/>
  <c r="BZ80" i="1"/>
  <c r="BB33" i="1"/>
  <c r="BE33" i="1"/>
  <c r="BH33" i="1"/>
  <c r="BK33" i="1"/>
  <c r="BN33" i="1"/>
  <c r="BQ33" i="1"/>
  <c r="BT33" i="1"/>
  <c r="BW33" i="1"/>
  <c r="BZ33" i="1"/>
  <c r="BB51" i="1"/>
  <c r="BE51" i="1"/>
  <c r="BH51" i="1"/>
  <c r="BK51" i="1"/>
  <c r="BN51" i="1"/>
  <c r="BQ51" i="1"/>
  <c r="BT51" i="1"/>
  <c r="BW51" i="1"/>
  <c r="BZ51" i="1"/>
  <c r="BB34" i="1"/>
  <c r="BE34" i="1"/>
  <c r="BH34" i="1"/>
  <c r="BK34" i="1"/>
  <c r="BN34" i="1"/>
  <c r="BQ34" i="1"/>
  <c r="BT34" i="1"/>
  <c r="BW34" i="1"/>
  <c r="BZ34" i="1"/>
  <c r="BB38" i="1"/>
  <c r="BE38" i="1"/>
  <c r="BH38" i="1"/>
  <c r="BK38" i="1"/>
  <c r="BN38" i="1"/>
  <c r="BQ38" i="1"/>
  <c r="BT38" i="1"/>
  <c r="BW38" i="1"/>
  <c r="BZ38" i="1"/>
  <c r="BB26" i="1"/>
  <c r="BE26" i="1"/>
  <c r="BH26" i="1"/>
  <c r="BK26" i="1"/>
  <c r="BN26" i="1"/>
  <c r="BQ26" i="1"/>
  <c r="BT26" i="1"/>
  <c r="BW26" i="1"/>
  <c r="BZ26" i="1"/>
  <c r="BB9" i="1"/>
  <c r="BE9" i="1"/>
  <c r="BH9" i="1"/>
  <c r="BK9" i="1"/>
  <c r="BN9" i="1"/>
  <c r="BQ9" i="1"/>
  <c r="BT9" i="1"/>
  <c r="BW9" i="1"/>
  <c r="BZ9" i="1"/>
  <c r="BB68" i="1"/>
  <c r="BE68" i="1"/>
  <c r="BH68" i="1"/>
  <c r="BK68" i="1"/>
  <c r="BN68" i="1"/>
  <c r="BQ68" i="1"/>
  <c r="BT68" i="1"/>
  <c r="BW68" i="1"/>
  <c r="BZ68" i="1"/>
  <c r="BB23" i="1"/>
  <c r="BE23" i="1"/>
  <c r="BH23" i="1"/>
  <c r="BK23" i="1"/>
  <c r="BN23" i="1"/>
  <c r="BQ23" i="1"/>
  <c r="BT23" i="1"/>
  <c r="BW23" i="1"/>
  <c r="BZ23" i="1"/>
  <c r="BB52" i="1"/>
  <c r="BE52" i="1"/>
  <c r="BH52" i="1"/>
  <c r="BK52" i="1"/>
  <c r="BN52" i="1"/>
  <c r="BQ52" i="1"/>
  <c r="BT52" i="1"/>
  <c r="BW52" i="1"/>
  <c r="BZ52" i="1"/>
  <c r="BB6" i="1"/>
  <c r="BE6" i="1"/>
  <c r="BH6" i="1"/>
  <c r="BK6" i="1"/>
  <c r="BN6" i="1"/>
  <c r="BQ6" i="1"/>
  <c r="BT6" i="1"/>
  <c r="BW6" i="1"/>
  <c r="BZ6" i="1"/>
  <c r="BB31" i="1"/>
  <c r="BE31" i="1"/>
  <c r="BH31" i="1"/>
  <c r="BK31" i="1"/>
  <c r="BN31" i="1"/>
  <c r="BQ31" i="1"/>
  <c r="BT31" i="1"/>
  <c r="BW31" i="1"/>
  <c r="BZ31" i="1"/>
  <c r="BB56" i="1"/>
  <c r="BE56" i="1"/>
  <c r="BH56" i="1"/>
  <c r="BK56" i="1"/>
  <c r="BN56" i="1"/>
  <c r="BQ56" i="1"/>
  <c r="BT56" i="1"/>
  <c r="BW56" i="1"/>
  <c r="BZ56" i="1"/>
  <c r="BB75" i="1"/>
  <c r="BE75" i="1"/>
  <c r="BH75" i="1"/>
  <c r="BK75" i="1"/>
  <c r="BN75" i="1"/>
  <c r="BQ75" i="1"/>
  <c r="BT75" i="1"/>
  <c r="BW75" i="1"/>
  <c r="BZ75" i="1"/>
  <c r="BB57" i="1"/>
  <c r="BE57" i="1"/>
  <c r="BH57" i="1"/>
  <c r="BK57" i="1"/>
  <c r="BN57" i="1"/>
  <c r="BQ57" i="1"/>
  <c r="BT57" i="1"/>
  <c r="BW57" i="1"/>
  <c r="BZ57" i="1"/>
  <c r="BB11" i="1"/>
  <c r="BE11" i="1"/>
  <c r="BH11" i="1"/>
  <c r="BK11" i="1"/>
  <c r="BN11" i="1"/>
  <c r="BQ11" i="1"/>
  <c r="BT11" i="1"/>
  <c r="BW11" i="1"/>
  <c r="BZ11" i="1"/>
  <c r="BB65" i="1"/>
  <c r="BE65" i="1"/>
  <c r="BH65" i="1"/>
  <c r="BK65" i="1"/>
  <c r="BN65" i="1"/>
  <c r="BQ65" i="1"/>
  <c r="BT65" i="1"/>
  <c r="BW65" i="1"/>
  <c r="BZ65" i="1"/>
  <c r="BB78" i="1"/>
  <c r="BE78" i="1"/>
  <c r="BH78" i="1"/>
  <c r="BK78" i="1"/>
  <c r="BN78" i="1"/>
  <c r="BQ78" i="1"/>
  <c r="BT78" i="1"/>
  <c r="BW78" i="1"/>
  <c r="BZ78" i="1"/>
  <c r="BB43" i="1"/>
  <c r="BE43" i="1"/>
  <c r="BH43" i="1"/>
  <c r="BK43" i="1"/>
  <c r="BN43" i="1"/>
  <c r="BQ43" i="1"/>
  <c r="BT43" i="1"/>
  <c r="BW43" i="1"/>
  <c r="BZ43" i="1"/>
  <c r="BB70" i="1"/>
  <c r="BE70" i="1"/>
  <c r="BH70" i="1"/>
  <c r="BK70" i="1"/>
  <c r="BN70" i="1"/>
  <c r="BQ70" i="1"/>
  <c r="BT70" i="1"/>
  <c r="BW70" i="1"/>
  <c r="BZ70" i="1"/>
  <c r="BB74" i="1"/>
  <c r="BE74" i="1"/>
  <c r="BH74" i="1"/>
  <c r="BK74" i="1"/>
  <c r="BN74" i="1"/>
  <c r="BQ74" i="1"/>
  <c r="BT74" i="1"/>
  <c r="BW74" i="1"/>
  <c r="BZ74" i="1"/>
  <c r="BB40" i="1"/>
  <c r="BE40" i="1"/>
  <c r="BH40" i="1"/>
  <c r="BK40" i="1"/>
  <c r="BN40" i="1"/>
  <c r="BQ40" i="1"/>
  <c r="BT40" i="1"/>
  <c r="BW40" i="1"/>
  <c r="BZ40" i="1"/>
  <c r="BB44" i="1"/>
  <c r="BE44" i="1"/>
  <c r="BH44" i="1"/>
  <c r="BK44" i="1"/>
  <c r="BN44" i="1"/>
  <c r="BQ44" i="1"/>
  <c r="BT44" i="1"/>
  <c r="BW44" i="1"/>
  <c r="BZ44" i="1"/>
  <c r="BB71" i="1"/>
  <c r="BE71" i="1"/>
  <c r="BH71" i="1"/>
  <c r="BK71" i="1"/>
  <c r="BN71" i="1"/>
  <c r="BQ71" i="1"/>
  <c r="BT71" i="1"/>
  <c r="BW71" i="1"/>
  <c r="BZ71" i="1"/>
  <c r="BB25" i="1"/>
  <c r="BE25" i="1"/>
  <c r="BH25" i="1"/>
  <c r="BK25" i="1"/>
  <c r="BN25" i="1"/>
  <c r="BQ25" i="1"/>
  <c r="BT25" i="1"/>
  <c r="BW25" i="1"/>
  <c r="BZ25" i="1"/>
  <c r="BB13" i="1"/>
  <c r="BE13" i="1"/>
  <c r="BH13" i="1"/>
  <c r="BK13" i="1"/>
  <c r="BN13" i="1"/>
  <c r="BQ13" i="1"/>
  <c r="BT13" i="1"/>
  <c r="BW13" i="1"/>
  <c r="BZ13" i="1"/>
  <c r="BB77" i="1"/>
  <c r="BE77" i="1"/>
  <c r="BH77" i="1"/>
  <c r="BK77" i="1"/>
  <c r="BN77" i="1"/>
  <c r="BQ77" i="1"/>
  <c r="BT77" i="1"/>
  <c r="BW77" i="1"/>
  <c r="BZ77" i="1"/>
  <c r="BB45" i="1"/>
  <c r="BE45" i="1"/>
  <c r="BH45" i="1"/>
  <c r="BK45" i="1"/>
  <c r="BN45" i="1"/>
  <c r="BQ45" i="1"/>
  <c r="BT45" i="1"/>
  <c r="BW45" i="1"/>
  <c r="BZ45" i="1"/>
  <c r="BB76" i="1"/>
  <c r="BE76" i="1"/>
  <c r="BH76" i="1"/>
  <c r="BK76" i="1"/>
  <c r="BN76" i="1"/>
  <c r="BQ76" i="1"/>
  <c r="BT76" i="1"/>
  <c r="BW76" i="1"/>
  <c r="BZ76" i="1"/>
  <c r="BB16" i="1"/>
  <c r="BE16" i="1"/>
  <c r="BH16" i="1"/>
  <c r="BK16" i="1"/>
  <c r="BN16" i="1"/>
  <c r="BQ16" i="1"/>
  <c r="BT16" i="1"/>
  <c r="BW16" i="1"/>
  <c r="BZ16" i="1"/>
  <c r="BB7" i="1"/>
  <c r="BE7" i="1"/>
  <c r="BH7" i="1"/>
  <c r="BK7" i="1"/>
  <c r="BN7" i="1"/>
  <c r="BQ7" i="1"/>
  <c r="BT7" i="1"/>
  <c r="BW7" i="1"/>
  <c r="BZ7" i="1"/>
  <c r="BB17" i="1"/>
  <c r="BE17" i="1"/>
  <c r="BH17" i="1"/>
  <c r="BK17" i="1"/>
  <c r="BN17" i="1"/>
  <c r="BQ17" i="1"/>
  <c r="BT17" i="1"/>
  <c r="BW17" i="1"/>
  <c r="BZ17" i="1"/>
  <c r="BB63" i="1"/>
  <c r="BE63" i="1"/>
  <c r="BH63" i="1"/>
  <c r="BK63" i="1"/>
  <c r="BN63" i="1"/>
  <c r="BQ63" i="1"/>
  <c r="BT63" i="1"/>
  <c r="BW63" i="1"/>
  <c r="BZ63" i="1"/>
  <c r="BB58" i="1"/>
  <c r="BE58" i="1"/>
  <c r="BH58" i="1"/>
  <c r="BK58" i="1"/>
  <c r="BN58" i="1"/>
  <c r="BQ58" i="1"/>
  <c r="BT58" i="1"/>
  <c r="BW58" i="1"/>
  <c r="BZ58" i="1"/>
  <c r="BB79" i="1"/>
  <c r="BE79" i="1"/>
  <c r="BH79" i="1"/>
  <c r="BK79" i="1"/>
  <c r="BN79" i="1"/>
  <c r="BQ79" i="1"/>
  <c r="BT79" i="1"/>
  <c r="BW79" i="1"/>
  <c r="BZ79" i="1"/>
  <c r="BB35" i="1"/>
  <c r="BE35" i="1"/>
  <c r="BH35" i="1"/>
  <c r="BK35" i="1"/>
  <c r="BN35" i="1"/>
  <c r="BQ35" i="1"/>
  <c r="BT35" i="1"/>
  <c r="BW35" i="1"/>
  <c r="BZ35" i="1"/>
  <c r="BB12" i="1"/>
  <c r="BE12" i="1"/>
  <c r="BH12" i="1"/>
  <c r="BK12" i="1"/>
  <c r="BN12" i="1"/>
  <c r="BQ12" i="1"/>
  <c r="BT12" i="1"/>
  <c r="BW12" i="1"/>
  <c r="BZ12" i="1"/>
  <c r="BB66" i="1"/>
  <c r="BE66" i="1"/>
  <c r="BH66" i="1"/>
  <c r="BK66" i="1"/>
  <c r="BN66" i="1"/>
  <c r="BQ66" i="1"/>
  <c r="BT66" i="1"/>
  <c r="BW66" i="1"/>
  <c r="BZ66" i="1"/>
  <c r="BB18" i="1"/>
  <c r="BE18" i="1"/>
  <c r="BH18" i="1"/>
  <c r="BK18" i="1"/>
  <c r="BN18" i="1"/>
  <c r="BQ18" i="1"/>
  <c r="BT18" i="1"/>
  <c r="BW18" i="1"/>
  <c r="BZ18" i="1"/>
  <c r="BB32" i="1"/>
  <c r="BE32" i="1"/>
  <c r="BH32" i="1"/>
  <c r="BK32" i="1"/>
  <c r="BN32" i="1"/>
  <c r="BQ32" i="1"/>
  <c r="BT32" i="1"/>
  <c r="BW32" i="1"/>
  <c r="BZ32" i="1"/>
  <c r="BB29" i="1"/>
  <c r="BE29" i="1"/>
  <c r="BH29" i="1"/>
  <c r="BK29" i="1"/>
  <c r="BN29" i="1"/>
  <c r="BQ29" i="1"/>
  <c r="BT29" i="1"/>
  <c r="BW29" i="1"/>
  <c r="BZ29" i="1"/>
  <c r="BB53" i="1"/>
  <c r="BE53" i="1"/>
  <c r="BH53" i="1"/>
  <c r="BK53" i="1"/>
  <c r="BN53" i="1"/>
  <c r="BQ53" i="1"/>
  <c r="BT53" i="1"/>
  <c r="BW53" i="1"/>
  <c r="BZ53" i="1"/>
  <c r="BB69" i="1"/>
  <c r="BE69" i="1"/>
  <c r="BH69" i="1"/>
  <c r="BK69" i="1"/>
  <c r="BN69" i="1"/>
  <c r="BQ69" i="1"/>
  <c r="BT69" i="1"/>
  <c r="BW69" i="1"/>
  <c r="BZ69" i="1"/>
  <c r="BB28" i="1"/>
  <c r="BE28" i="1"/>
  <c r="BH28" i="1"/>
  <c r="BK28" i="1"/>
  <c r="BN28" i="1"/>
  <c r="BQ28" i="1"/>
  <c r="BT28" i="1"/>
  <c r="BW28" i="1"/>
  <c r="BZ28" i="1"/>
  <c r="BB5" i="1"/>
  <c r="BE5" i="1"/>
  <c r="BH5" i="1"/>
  <c r="BK5" i="1"/>
  <c r="BN5" i="1"/>
  <c r="BQ5" i="1"/>
  <c r="BT5" i="1"/>
  <c r="BW5" i="1"/>
  <c r="BZ5" i="1"/>
  <c r="BB59" i="1"/>
  <c r="BE59" i="1"/>
  <c r="BH59" i="1"/>
  <c r="BK59" i="1"/>
  <c r="BN59" i="1"/>
  <c r="BQ59" i="1"/>
  <c r="BT59" i="1"/>
  <c r="BW59" i="1"/>
  <c r="BZ59" i="1"/>
  <c r="BB48" i="1"/>
  <c r="BE48" i="1"/>
  <c r="BH48" i="1"/>
  <c r="BK48" i="1"/>
  <c r="BN48" i="1"/>
  <c r="BQ48" i="1"/>
  <c r="BT48" i="1"/>
  <c r="BW48" i="1"/>
  <c r="BZ48" i="1"/>
  <c r="BB15" i="1"/>
  <c r="BE15" i="1"/>
  <c r="BH15" i="1"/>
  <c r="BK15" i="1"/>
  <c r="BN15" i="1"/>
  <c r="BQ15" i="1"/>
  <c r="BT15" i="1"/>
  <c r="BW15" i="1"/>
  <c r="BZ15" i="1"/>
  <c r="BB67" i="1"/>
  <c r="BE67" i="1"/>
  <c r="BH67" i="1"/>
  <c r="BK67" i="1"/>
  <c r="BN67" i="1"/>
  <c r="BQ67" i="1"/>
  <c r="BT67" i="1"/>
  <c r="BW67" i="1"/>
  <c r="BZ67" i="1"/>
  <c r="BB41" i="1"/>
  <c r="BE41" i="1"/>
  <c r="BH41" i="1"/>
  <c r="BK41" i="1"/>
  <c r="BN41" i="1"/>
  <c r="BQ41" i="1"/>
  <c r="BT41" i="1"/>
  <c r="BW41" i="1"/>
  <c r="BZ41" i="1"/>
  <c r="BB46" i="1"/>
  <c r="BE46" i="1"/>
  <c r="BH46" i="1"/>
  <c r="BK46" i="1"/>
  <c r="BN46" i="1"/>
  <c r="BQ46" i="1"/>
  <c r="BT46" i="1"/>
  <c r="BW46" i="1"/>
  <c r="BZ46" i="1"/>
  <c r="BB36" i="1"/>
  <c r="BE36" i="1"/>
  <c r="BH36" i="1"/>
  <c r="BK36" i="1"/>
  <c r="BN36" i="1"/>
  <c r="BQ36" i="1"/>
  <c r="BT36" i="1"/>
  <c r="BW36" i="1"/>
  <c r="BZ36" i="1"/>
  <c r="BB62" i="1"/>
  <c r="BE62" i="1"/>
  <c r="BH62" i="1"/>
  <c r="BK62" i="1"/>
  <c r="BN62" i="1"/>
  <c r="BQ62" i="1"/>
  <c r="BT62" i="1"/>
  <c r="BW62" i="1"/>
  <c r="BZ62" i="1"/>
  <c r="BB24" i="1"/>
  <c r="BE24" i="1"/>
  <c r="BH24" i="1"/>
  <c r="BK24" i="1"/>
  <c r="BN24" i="1"/>
  <c r="BQ24" i="1"/>
  <c r="BT24" i="1"/>
  <c r="BW24" i="1"/>
  <c r="BZ24" i="1"/>
  <c r="BB64" i="1"/>
  <c r="BE64" i="1"/>
  <c r="BH64" i="1"/>
  <c r="BK64" i="1"/>
  <c r="BN64" i="1"/>
  <c r="BQ64" i="1"/>
  <c r="BT64" i="1"/>
  <c r="BW64" i="1"/>
  <c r="BZ64" i="1"/>
  <c r="BB47" i="1"/>
  <c r="BE47" i="1"/>
  <c r="BH47" i="1"/>
  <c r="BK47" i="1"/>
  <c r="BN47" i="1"/>
  <c r="BQ47" i="1"/>
  <c r="BT47" i="1"/>
  <c r="BW47" i="1"/>
  <c r="BZ47" i="1"/>
  <c r="BB22" i="1"/>
  <c r="BE22" i="1"/>
  <c r="BH22" i="1"/>
  <c r="BK22" i="1"/>
  <c r="BN22" i="1"/>
  <c r="BQ22" i="1"/>
  <c r="BT22" i="1"/>
  <c r="BW22" i="1"/>
  <c r="BZ22" i="1"/>
  <c r="BB72" i="1"/>
  <c r="BE72" i="1"/>
  <c r="BH72" i="1"/>
  <c r="BK72" i="1"/>
  <c r="BN72" i="1"/>
  <c r="BQ72" i="1"/>
  <c r="BT72" i="1"/>
  <c r="BW72" i="1"/>
  <c r="BZ72" i="1"/>
  <c r="BB19" i="1"/>
  <c r="BE19" i="1"/>
  <c r="BH19" i="1"/>
  <c r="BK19" i="1"/>
  <c r="BN19" i="1"/>
  <c r="BQ19" i="1"/>
  <c r="BT19" i="1"/>
  <c r="BW19" i="1"/>
  <c r="BZ19" i="1"/>
  <c r="BB37" i="1"/>
  <c r="BE37" i="1"/>
  <c r="BH37" i="1"/>
  <c r="BK37" i="1"/>
  <c r="BN37" i="1"/>
  <c r="BQ37" i="1"/>
  <c r="BT37" i="1"/>
  <c r="BW37" i="1"/>
  <c r="BZ37" i="1"/>
  <c r="BB27" i="1"/>
  <c r="BE27" i="1"/>
  <c r="BH27" i="1"/>
  <c r="BK27" i="1"/>
  <c r="BN27" i="1"/>
  <c r="BQ27" i="1"/>
  <c r="BT27" i="1"/>
  <c r="BW27" i="1"/>
  <c r="BZ27" i="1"/>
  <c r="BB54" i="1"/>
  <c r="BE54" i="1"/>
  <c r="BH54" i="1"/>
  <c r="BK54" i="1"/>
  <c r="BN54" i="1"/>
  <c r="BQ54" i="1"/>
  <c r="BT54" i="1"/>
  <c r="BW54" i="1"/>
  <c r="BZ54" i="1"/>
  <c r="BB30" i="1"/>
  <c r="BE30" i="1"/>
  <c r="BH30" i="1"/>
  <c r="BK30" i="1"/>
  <c r="BN30" i="1"/>
  <c r="BQ30" i="1"/>
  <c r="BT30" i="1"/>
  <c r="BW30" i="1"/>
  <c r="BZ30" i="1"/>
  <c r="BB60" i="1"/>
  <c r="BE60" i="1"/>
  <c r="BH60" i="1"/>
  <c r="BK60" i="1"/>
  <c r="BN60" i="1"/>
  <c r="BQ60" i="1"/>
  <c r="BT60" i="1"/>
  <c r="BW60" i="1"/>
  <c r="BZ60" i="1"/>
  <c r="BB21" i="1"/>
  <c r="BE21" i="1"/>
  <c r="BH21" i="1"/>
  <c r="BK21" i="1"/>
  <c r="BN21" i="1"/>
  <c r="BQ21" i="1"/>
  <c r="BT21" i="1"/>
  <c r="BW21" i="1"/>
  <c r="BZ21" i="1"/>
  <c r="BZ73" i="1"/>
  <c r="BW73" i="1"/>
  <c r="BT73" i="1"/>
  <c r="BQ73" i="1"/>
  <c r="BN73" i="1"/>
  <c r="BK73" i="1"/>
  <c r="BH73" i="1"/>
  <c r="BE73" i="1"/>
  <c r="BB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  <author>Shrestha, Priya</author>
  </authors>
  <commentList>
    <comment ref="D5" authorId="0" shapeId="0" xr:uid="{B57276B0-67DA-41CB-AB4D-84EC879EDB81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BG6" authorId="1" shapeId="0" xr:uid="{04EA9FF6-3F60-47B1-93C3-BBC494110CEA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4E LC1 depal to 1 bump for LC2 filler</t>
        </r>
      </text>
    </comment>
    <comment ref="D7" authorId="0" shapeId="0" xr:uid="{32B83C88-C88E-4C12-8FC2-983D514E0FB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8" authorId="0" shapeId="0" xr:uid="{AD909B9D-ED7F-4A31-827B-8735C638BF02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BG8" authorId="1" shapeId="0" xr:uid="{A54C1ECC-7FE1-4664-87DA-510BD2AD5969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  <comment ref="D22" authorId="0" shapeId="0" xr:uid="{49E96E6F-195E-49D5-856D-0DC4B05198E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  <comment ref="D26" authorId="0" shapeId="0" xr:uid="{CED0FD56-DEEC-4610-A023-BC7F447E0013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BG78" authorId="1" shapeId="0" xr:uid="{789D53CA-CC73-495B-A211-F24CB3B94F9C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4L LC1 Cleaning</t>
        </r>
      </text>
    </comment>
  </commentList>
</comments>
</file>

<file path=xl/sharedStrings.xml><?xml version="1.0" encoding="utf-8"?>
<sst xmlns="http://schemas.openxmlformats.org/spreadsheetml/2006/main" count="717" uniqueCount="398">
  <si>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</si>
  <si>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</si>
  <si>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</si>
  <si>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</si>
  <si>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</si>
  <si>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</si>
  <si>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</si>
  <si>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</si>
  <si>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</si>
  <si>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</si>
  <si>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</si>
  <si>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</si>
  <si>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</si>
  <si>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</si>
  <si>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</si>
  <si>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</si>
  <si>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</si>
  <si>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</si>
  <si>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</si>
  <si>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</si>
  <si>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</si>
  <si>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</si>
  <si>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</si>
  <si>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</si>
  <si>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</si>
  <si>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</si>
  <si>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</si>
  <si>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</si>
  <si>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</si>
  <si>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</si>
  <si>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</si>
  <si>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</si>
  <si>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</si>
  <si>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</si>
  <si>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</si>
  <si>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</si>
  <si>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</si>
  <si>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</si>
  <si>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</si>
  <si>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</si>
  <si>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</si>
  <si>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</si>
  <si>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</si>
  <si>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</si>
  <si>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</si>
  <si>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</si>
  <si>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</si>
  <si>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</si>
  <si>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</si>
  <si>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</si>
  <si>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</si>
  <si>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</si>
  <si>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</si>
  <si>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</si>
  <si>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</si>
  <si>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</si>
  <si>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</si>
  <si>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</si>
  <si>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</si>
  <si>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</si>
  <si>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</si>
  <si>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</si>
  <si>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</si>
  <si>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</si>
  <si>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</si>
  <si>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</si>
  <si>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</si>
  <si>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</si>
  <si>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</si>
  <si>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</si>
  <si>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</si>
  <si>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</si>
  <si>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</si>
  <si>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</si>
  <si>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</si>
  <si>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</si>
  <si>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</si>
  <si>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</si>
  <si>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</si>
  <si>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</si>
  <si>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</si>
  <si>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</si>
  <si>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</si>
  <si>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</si>
  <si>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</si>
  <si>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</si>
  <si>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</si>
  <si>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</si>
  <si>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</si>
  <si>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</si>
  <si>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</si>
  <si>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</si>
  <si>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</si>
  <si>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</si>
  <si>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</si>
  <si>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</si>
  <si>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</si>
  <si>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</si>
  <si>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</si>
  <si>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</si>
  <si>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</si>
  <si>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</si>
  <si>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</si>
  <si>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</si>
  <si>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</si>
  <si>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</si>
  <si>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</si>
  <si>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</si>
  <si>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</si>
  <si>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</si>
  <si>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</si>
  <si>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</si>
  <si>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</si>
  <si>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</si>
  <si>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</si>
  <si>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</si>
  <si>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</si>
  <si>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</si>
  <si>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</si>
  <si>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</si>
  <si>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</si>
  <si>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</si>
  <si>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</si>
  <si>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</si>
  <si>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</si>
  <si>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</si>
  <si>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</si>
  <si>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</si>
  <si>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</si>
  <si>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</si>
  <si>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</si>
  <si>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</si>
  <si>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</si>
  <si>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</si>
  <si>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</si>
  <si>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</si>
  <si>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</si>
  <si>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</si>
  <si>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</si>
  <si>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</si>
  <si>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</si>
  <si>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</si>
  <si>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</si>
  <si>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</si>
  <si>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</si>
  <si>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</si>
  <si>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</si>
  <si>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</si>
  <si>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</si>
  <si>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</si>
  <si>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</si>
  <si>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</si>
  <si>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</si>
  <si>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</si>
  <si>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</si>
  <si>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</si>
  <si>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</si>
  <si>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</si>
  <si>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</si>
  <si>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</si>
  <si>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</si>
  <si>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</si>
  <si>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</si>
  <si>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</si>
  <si>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</si>
  <si>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</si>
  <si>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</si>
  <si>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</si>
  <si>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</si>
  <si>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</si>
  <si>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</si>
  <si>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</si>
  <si>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</si>
  <si>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</si>
  <si>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</si>
  <si>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</si>
  <si>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</si>
  <si>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</si>
  <si>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</si>
  <si>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</si>
  <si>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</si>
  <si>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</si>
  <si>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</si>
  <si>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</si>
  <si>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</si>
  <si>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</si>
  <si>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</si>
  <si>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</si>
  <si>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</si>
  <si>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</si>
  <si>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</si>
  <si>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</si>
  <si>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</si>
  <si>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</si>
  <si>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</si>
  <si>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</si>
  <si>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</si>
  <si>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</si>
  <si>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</si>
  <si>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</si>
  <si>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</si>
  <si>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</si>
  <si>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</si>
  <si>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</si>
  <si>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</si>
  <si>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</si>
  <si>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</si>
  <si>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</si>
  <si>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</si>
  <si>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</si>
  <si>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</si>
  <si>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</si>
  <si>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</si>
  <si>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</si>
  <si>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</si>
  <si>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</si>
  <si>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</si>
  <si>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</si>
  <si>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</si>
  <si>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</si>
  <si>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</si>
  <si>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</si>
  <si>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</si>
  <si>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</si>
  <si>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</si>
  <si>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</si>
  <si>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</si>
  <si>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</si>
  <si>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</si>
  <si>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</si>
  <si>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</si>
  <si>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</si>
  <si>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</si>
  <si>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</si>
  <si>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</si>
  <si>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</si>
  <si>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</si>
  <si>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</si>
  <si>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</si>
  <si>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</si>
  <si>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</si>
  <si>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</si>
  <si>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</si>
  <si>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</si>
  <si>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</si>
  <si>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</si>
  <si>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</si>
  <si>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</si>
  <si>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</si>
  <si>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</si>
  <si>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</si>
  <si>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</si>
  <si>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</si>
  <si>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</si>
  <si>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</si>
  <si>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</si>
  <si>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</si>
  <si>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</si>
  <si>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</si>
  <si>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</si>
  <si>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</si>
  <si>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</si>
  <si>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</si>
  <si>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</si>
  <si>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</si>
  <si>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</si>
  <si>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</si>
  <si>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</si>
  <si>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</si>
  <si>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</si>
  <si>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</si>
  <si>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</si>
  <si>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</si>
  <si>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</si>
  <si>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</si>
  <si>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</si>
  <si>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</si>
  <si>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</si>
  <si>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</si>
  <si>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</si>
  <si>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</si>
  <si>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</si>
  <si>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</si>
  <si>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</si>
  <si>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</si>
  <si>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</si>
  <si>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</si>
  <si>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</si>
  <si>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</si>
  <si>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</si>
  <si>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</si>
  <si>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</si>
  <si>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</si>
  <si>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</si>
  <si>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</si>
  <si>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VARGHESE</t>
  </si>
  <si>
    <t>Vanessa</t>
  </si>
  <si>
    <t>Alina</t>
  </si>
  <si>
    <t>Akym</t>
  </si>
  <si>
    <t>Morgan</t>
  </si>
  <si>
    <t>Taylar</t>
  </si>
  <si>
    <t>Andrew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</si>
  <si>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</si>
  <si>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</si>
  <si>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</si>
  <si>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</si>
  <si>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</si>
  <si>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</si>
  <si>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</si>
  <si>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</si>
  <si>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</si>
  <si>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</si>
  <si>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</si>
  <si>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</si>
  <si>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</si>
  <si>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</si>
  <si>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</si>
  <si>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</si>
  <si>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</si>
  <si>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</si>
  <si>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</si>
  <si>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</si>
  <si>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</si>
  <si>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</si>
  <si>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</si>
  <si>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</si>
  <si>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</si>
  <si>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</si>
  <si>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</si>
  <si>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</si>
  <si>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</si>
  <si>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</si>
  <si>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</si>
  <si>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</si>
  <si>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</si>
  <si>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</si>
  <si>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</si>
  <si>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</si>
  <si>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</si>
  <si>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</si>
  <si>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</si>
  <si>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</si>
  <si>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</si>
  <si>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</si>
  <si>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</si>
  <si>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</si>
  <si>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</si>
  <si>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KUMAR</t>
  </si>
  <si>
    <t>LEGAULT</t>
  </si>
  <si>
    <t>MATTHEWS</t>
  </si>
  <si>
    <t>Derek</t>
  </si>
  <si>
    <t>Anil</t>
  </si>
  <si>
    <t>SHEPLEY</t>
  </si>
  <si>
    <t>TWIGG</t>
  </si>
  <si>
    <t>Stephen</t>
  </si>
  <si>
    <t>Icis</t>
  </si>
  <si>
    <t>taylar</t>
  </si>
  <si>
    <t>spencer</t>
  </si>
  <si>
    <t>Ryan</t>
  </si>
  <si>
    <t>Philip</t>
  </si>
  <si>
    <t>Twigg</t>
  </si>
  <si>
    <t>Quit</t>
  </si>
  <si>
    <t>HOUSE</t>
  </si>
  <si>
    <t>Geordan</t>
  </si>
  <si>
    <t>IFILL</t>
  </si>
  <si>
    <t>Jonathan</t>
  </si>
  <si>
    <t>Gavin</t>
  </si>
  <si>
    <t>Student</t>
  </si>
  <si>
    <t>PAGE</t>
  </si>
  <si>
    <t>Tyler</t>
  </si>
  <si>
    <t>ROSKA</t>
  </si>
  <si>
    <t>Amor</t>
  </si>
  <si>
    <t>WELLS-WALKER</t>
  </si>
  <si>
    <t>Elijah</t>
  </si>
  <si>
    <t>BEGERON</t>
  </si>
  <si>
    <t>Greg</t>
  </si>
  <si>
    <t>CONRAD</t>
  </si>
  <si>
    <t>Scott</t>
  </si>
  <si>
    <t>DE JESUS</t>
  </si>
  <si>
    <t>Jonas</t>
  </si>
  <si>
    <t>HAYES</t>
  </si>
  <si>
    <t>Rachel</t>
  </si>
  <si>
    <t>PYLUTA</t>
  </si>
  <si>
    <t>Wasyl</t>
  </si>
  <si>
    <t>VIROLA</t>
  </si>
  <si>
    <t>Deep</t>
  </si>
  <si>
    <t>Week of:  Oct 3rd 2022</t>
  </si>
  <si>
    <t>Rock</t>
  </si>
  <si>
    <t>Bud</t>
  </si>
  <si>
    <t>Blue</t>
  </si>
  <si>
    <t>WWF</t>
  </si>
  <si>
    <t>Off</t>
  </si>
  <si>
    <t>LC1 CAN FILLER</t>
  </si>
  <si>
    <t>LC1 CAN UTILITY</t>
  </si>
  <si>
    <t>VarioPak</t>
  </si>
  <si>
    <t>LC1 CAN PACKER</t>
  </si>
  <si>
    <t>LC1 CAN DEPAL</t>
  </si>
  <si>
    <t>Fulltime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</si>
</sst>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6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12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2" fontId="0" fillId="0" borderId="4" xfId="0" applyNumberFormat="1" applyBorder="1"/>
    <xf numFmtId="2" fontId="9" fillId="0" borderId="21" xfId="3" applyNumberFormat="1" applyBorder="1"/>
    <xf numFmtId="1" fontId="6" fillId="8" borderId="1" xfId="0" applyNumberFormat="1" applyFont="1" applyFill="1" applyBorder="1"/>
    <xf numFmtId="0" fontId="12" fillId="8" borderId="1" xfId="0" applyFont="1" applyFill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76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80"/>
  <sheetViews>
    <sheetView tabSelected="1" zoomScale="80" zoomScaleNormal="8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F12" sqref="F12"/>
    </sheetView>
  </sheetViews>
  <sheetFormatPr defaultRowHeight="15" outlineLevelCol="1"/>
  <cols>
    <col min="1" max="1" width="13" bestFit="1" customWidth="1"/>
    <col min="2" max="2" width="12.42578125" customWidth="1"/>
    <col min="3" max="3" width="12" bestFit="1" customWidth="1"/>
    <col min="4" max="4" width="24.140625" style="35" customWidth="1"/>
    <col min="5" max="5" width="18.28515625" style="35" customWidth="1"/>
    <col min="11" max="11" width="7.85546875" customWidth="1"/>
    <col min="12" max="43" width="7" hidden="1" customWidth="1" outlineLevel="1"/>
    <col min="44" max="50" width="7" style="62" hidden="1" customWidth="1" outlineLevel="1"/>
    <col min="51" max="51" width="7" hidden="1" customWidth="1" outlineLevel="1"/>
    <col min="52" max="52" width="7.85546875" style="35" customWidth="1" collapsed="1"/>
    <col min="53" max="53" width="11.28515625" customWidth="1"/>
    <col min="81" max="84" width="9.140625" hidden="1" customWidth="1"/>
  </cols>
  <sheetData>
    <row r="1" spans="1:86" ht="15.75" thickBot="1">
      <c r="A1" s="99" t="s">
        <v>386</v>
      </c>
      <c r="B1" s="99"/>
      <c r="C1" s="99"/>
      <c r="D1" s="99"/>
      <c r="E1" s="99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00" t="s">
        <v>25</v>
      </c>
      <c r="BB2" s="101"/>
      <c r="BC2" s="102"/>
      <c r="BD2" s="106" t="s">
        <v>26</v>
      </c>
      <c r="BE2" s="107"/>
      <c r="BF2" s="108"/>
      <c r="BG2" s="106" t="s">
        <v>27</v>
      </c>
      <c r="BH2" s="107"/>
      <c r="BI2" s="108"/>
      <c r="BJ2" s="106" t="s">
        <v>28</v>
      </c>
      <c r="BK2" s="107"/>
      <c r="BL2" s="108"/>
      <c r="BM2" s="103" t="s">
        <v>29</v>
      </c>
      <c r="BN2" s="104"/>
      <c r="BO2" s="105"/>
      <c r="BP2" s="103" t="s">
        <v>30</v>
      </c>
      <c r="BQ2" s="104"/>
      <c r="BR2" s="105"/>
      <c r="BS2" s="109" t="s">
        <v>31</v>
      </c>
      <c r="BT2" s="110"/>
      <c r="BU2" s="111"/>
      <c r="BV2" s="103" t="s">
        <v>32</v>
      </c>
      <c r="BW2" s="104"/>
      <c r="BX2" s="105"/>
      <c r="BY2" s="103" t="s">
        <v>33</v>
      </c>
      <c r="BZ2" s="104"/>
      <c r="CA2" s="105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169</v>
      </c>
      <c r="O3" s="70" t="s">
        <v>80</v>
      </c>
      <c r="P3" s="70" t="s">
        <v>179</v>
      </c>
      <c r="Q3" s="71" t="s">
        <v>81</v>
      </c>
      <c r="R3" s="72" t="s">
        <v>13</v>
      </c>
      <c r="S3" s="73" t="s">
        <v>14</v>
      </c>
      <c r="T3" s="72" t="s">
        <v>62</v>
      </c>
      <c r="U3" s="72" t="s">
        <v>183</v>
      </c>
      <c r="V3" s="72" t="s">
        <v>15</v>
      </c>
      <c r="W3" s="71" t="s">
        <v>16</v>
      </c>
      <c r="X3" s="71" t="s">
        <v>17</v>
      </c>
      <c r="Y3" s="72" t="s">
        <v>87</v>
      </c>
      <c r="Z3" s="74" t="s">
        <v>88</v>
      </c>
      <c r="AA3" s="71" t="s">
        <v>18</v>
      </c>
      <c r="AB3" s="71" t="s">
        <v>181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392</v>
      </c>
      <c r="AM3" s="71" t="s">
        <v>393</v>
      </c>
      <c r="AN3" s="77" t="s">
        <v>394</v>
      </c>
      <c r="AO3" s="71" t="s">
        <v>395</v>
      </c>
      <c r="AP3" s="71" t="s">
        <v>396</v>
      </c>
      <c r="AQ3" s="76" t="s">
        <v>57</v>
      </c>
      <c r="AR3" s="78" t="s">
        <v>186</v>
      </c>
      <c r="AS3" s="78" t="s">
        <v>187</v>
      </c>
      <c r="AT3" s="78" t="s">
        <v>188</v>
      </c>
      <c r="AU3" s="78" t="s">
        <v>189</v>
      </c>
      <c r="AV3" s="78" t="s">
        <v>190</v>
      </c>
      <c r="AW3" s="78" t="s">
        <v>191</v>
      </c>
      <c r="AX3" s="78" t="s">
        <v>192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5.75">
      <c r="A4" s="57">
        <v>44277</v>
      </c>
      <c r="B4" s="58" t="s">
        <v>391</v>
      </c>
      <c r="C4" s="34">
        <v>7095873</v>
      </c>
      <c r="D4" s="34" t="s">
        <v>100</v>
      </c>
      <c r="E4" s="59" t="s">
        <v>97</v>
      </c>
      <c r="F4" s="8">
        <v>0</v>
      </c>
      <c r="G4" s="4">
        <v>0</v>
      </c>
      <c r="H4" s="54">
        <v>0</v>
      </c>
      <c r="I4" s="4">
        <v>0</v>
      </c>
      <c r="J4" s="3">
        <v>0</v>
      </c>
      <c r="K4" s="44"/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1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0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:BB35" si="0">BA4*2.5</f>
        <v>0</v>
      </c>
      <c r="BC4" s="6"/>
      <c r="BD4" s="47"/>
      <c r="BE4" s="5">
        <f t="shared" ref="BE4:BE35" si="1">BD4*1.625</f>
        <v>0</v>
      </c>
      <c r="BF4" s="48"/>
      <c r="BG4" s="49"/>
      <c r="BH4" s="1">
        <f t="shared" ref="BH4:BH35" si="2">BG4*1.625</f>
        <v>0</v>
      </c>
      <c r="BI4" s="50"/>
      <c r="BJ4" s="51"/>
      <c r="BK4" s="5">
        <f t="shared" ref="BK4:BK35" si="3">BJ4*1.625</f>
        <v>0</v>
      </c>
      <c r="BL4" s="48"/>
      <c r="BM4" s="49"/>
      <c r="BN4" s="1">
        <f t="shared" ref="BN4:BN35" si="4">BM4*1.625</f>
        <v>0</v>
      </c>
      <c r="BO4" s="50"/>
      <c r="BP4" s="51"/>
      <c r="BQ4" s="5">
        <f t="shared" ref="BQ4:BQ35" si="5">BP4*1.625</f>
        <v>0</v>
      </c>
      <c r="BR4" s="48"/>
      <c r="BS4" s="49"/>
      <c r="BT4" s="1">
        <f t="shared" ref="BT4:BT35" si="6">BS4*1.625</f>
        <v>0</v>
      </c>
      <c r="BU4" s="50"/>
      <c r="BV4" s="51"/>
      <c r="BW4" s="5">
        <f t="shared" ref="BW4:BW35" si="7">BV4*1.5</f>
        <v>0</v>
      </c>
      <c r="BX4" s="48"/>
      <c r="BY4" s="49"/>
      <c r="BZ4" s="2">
        <f t="shared" ref="BZ4:BZ35" si="8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5.75">
      <c r="A5" s="57">
        <v>41001</v>
      </c>
      <c r="B5" s="58" t="s">
        <v>391</v>
      </c>
      <c r="C5" s="34">
        <v>7093553</v>
      </c>
      <c r="D5" s="34" t="s">
        <v>37</v>
      </c>
      <c r="E5" s="34" t="s">
        <v>38</v>
      </c>
      <c r="F5" s="8">
        <v>35</v>
      </c>
      <c r="G5" s="4">
        <v>0</v>
      </c>
      <c r="H5" s="54">
        <v>0</v>
      </c>
      <c r="I5" s="4">
        <v>0</v>
      </c>
      <c r="J5" s="3">
        <v>0</v>
      </c>
      <c r="K5" s="44"/>
      <c r="L5" s="82">
        <v>0</v>
      </c>
      <c r="M5" s="82">
        <v>0</v>
      </c>
      <c r="N5" s="82">
        <v>0</v>
      </c>
      <c r="O5" s="82">
        <v>0</v>
      </c>
      <c r="P5" s="82">
        <v>0</v>
      </c>
      <c r="Q5" s="82">
        <v>0</v>
      </c>
      <c r="R5" s="83">
        <v>0</v>
      </c>
      <c r="S5" s="83">
        <v>1</v>
      </c>
      <c r="T5" s="83">
        <v>1</v>
      </c>
      <c r="U5" s="83">
        <v>0</v>
      </c>
      <c r="V5" s="83">
        <v>0</v>
      </c>
      <c r="W5" s="82">
        <v>0</v>
      </c>
      <c r="X5" s="82">
        <v>0</v>
      </c>
      <c r="Y5" s="83">
        <v>0</v>
      </c>
      <c r="Z5" s="84">
        <v>0</v>
      </c>
      <c r="AA5" s="82">
        <v>0</v>
      </c>
      <c r="AB5" s="82">
        <v>0</v>
      </c>
      <c r="AC5" s="82">
        <v>0</v>
      </c>
      <c r="AD5" s="82">
        <v>0</v>
      </c>
      <c r="AE5" s="82">
        <v>0</v>
      </c>
      <c r="AF5" s="84">
        <v>1</v>
      </c>
      <c r="AG5" s="84">
        <v>1</v>
      </c>
      <c r="AH5" s="85">
        <v>0</v>
      </c>
      <c r="AI5" s="85">
        <v>0</v>
      </c>
      <c r="AJ5" s="85">
        <v>0</v>
      </c>
      <c r="AK5" s="85">
        <v>0</v>
      </c>
      <c r="AL5" s="82">
        <v>0</v>
      </c>
      <c r="AM5" s="82">
        <v>0</v>
      </c>
      <c r="AN5" s="86">
        <v>0</v>
      </c>
      <c r="AO5" s="82">
        <v>0</v>
      </c>
      <c r="AP5" s="82">
        <v>0</v>
      </c>
      <c r="AQ5" s="82">
        <v>0</v>
      </c>
      <c r="AR5" s="87">
        <v>0</v>
      </c>
      <c r="AS5" s="87">
        <v>0</v>
      </c>
      <c r="AT5" s="87">
        <v>0</v>
      </c>
      <c r="AU5" s="87">
        <v>0</v>
      </c>
      <c r="AV5" s="87">
        <v>0</v>
      </c>
      <c r="AW5" s="87">
        <v>0</v>
      </c>
      <c r="AX5" s="87">
        <v>0</v>
      </c>
      <c r="AY5" s="82">
        <v>0</v>
      </c>
      <c r="AZ5" s="80"/>
      <c r="BA5" s="81"/>
      <c r="BB5" s="1">
        <f t="shared" si="0"/>
        <v>0</v>
      </c>
      <c r="BC5" s="6"/>
      <c r="BD5" s="47"/>
      <c r="BE5" s="5">
        <f t="shared" si="1"/>
        <v>0</v>
      </c>
      <c r="BF5" s="48"/>
      <c r="BG5" s="49"/>
      <c r="BH5" s="1">
        <f t="shared" si="2"/>
        <v>0</v>
      </c>
      <c r="BI5" s="50"/>
      <c r="BJ5" s="51"/>
      <c r="BK5" s="5">
        <f t="shared" si="3"/>
        <v>0</v>
      </c>
      <c r="BL5" s="48"/>
      <c r="BM5" s="49"/>
      <c r="BN5" s="1">
        <f t="shared" si="4"/>
        <v>0</v>
      </c>
      <c r="BO5" s="50"/>
      <c r="BP5" s="51"/>
      <c r="BQ5" s="5">
        <f t="shared" si="5"/>
        <v>0</v>
      </c>
      <c r="BR5" s="48"/>
      <c r="BS5" s="49"/>
      <c r="BT5" s="1">
        <f t="shared" si="6"/>
        <v>0</v>
      </c>
      <c r="BU5" s="50"/>
      <c r="BV5" s="51"/>
      <c r="BW5" s="5">
        <f t="shared" si="7"/>
        <v>0</v>
      </c>
      <c r="BX5" s="48"/>
      <c r="BY5" s="49"/>
      <c r="BZ5" s="2">
        <f t="shared" si="8"/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5.75">
      <c r="A6" s="57">
        <v>44635</v>
      </c>
      <c r="B6" s="58" t="s">
        <v>389</v>
      </c>
      <c r="C6" s="34">
        <v>7104322</v>
      </c>
      <c r="D6" s="34" t="s">
        <v>225</v>
      </c>
      <c r="E6" s="59" t="s">
        <v>226</v>
      </c>
      <c r="F6" s="8">
        <v>365.63</v>
      </c>
      <c r="G6" s="4">
        <v>4</v>
      </c>
      <c r="H6" s="54">
        <v>6.5</v>
      </c>
      <c r="I6" s="4">
        <v>0</v>
      </c>
      <c r="J6" s="3">
        <v>4</v>
      </c>
      <c r="K6" s="44"/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3">
        <v>0</v>
      </c>
      <c r="S6" s="83">
        <v>0</v>
      </c>
      <c r="T6" s="83">
        <v>0</v>
      </c>
      <c r="U6" s="83">
        <v>0</v>
      </c>
      <c r="V6" s="83">
        <v>0</v>
      </c>
      <c r="W6" s="82">
        <v>0</v>
      </c>
      <c r="X6" s="82">
        <v>0</v>
      </c>
      <c r="Y6" s="83">
        <v>0</v>
      </c>
      <c r="Z6" s="84">
        <v>0</v>
      </c>
      <c r="AA6" s="82">
        <v>0</v>
      </c>
      <c r="AB6" s="82">
        <v>0</v>
      </c>
      <c r="AC6" s="82">
        <v>0</v>
      </c>
      <c r="AD6" s="82">
        <v>0</v>
      </c>
      <c r="AE6" s="82">
        <v>0</v>
      </c>
      <c r="AF6" s="84">
        <v>0</v>
      </c>
      <c r="AG6" s="84">
        <v>0</v>
      </c>
      <c r="AH6" s="85">
        <v>0</v>
      </c>
      <c r="AI6" s="85">
        <v>0</v>
      </c>
      <c r="AJ6" s="85">
        <v>0</v>
      </c>
      <c r="AK6" s="85">
        <v>0</v>
      </c>
      <c r="AL6" s="82">
        <v>0</v>
      </c>
      <c r="AM6" s="82">
        <v>0</v>
      </c>
      <c r="AN6" s="86">
        <v>0</v>
      </c>
      <c r="AO6" s="82">
        <v>1</v>
      </c>
      <c r="AP6" s="82">
        <v>1</v>
      </c>
      <c r="AQ6" s="82">
        <v>0</v>
      </c>
      <c r="AR6" s="87">
        <v>0</v>
      </c>
      <c r="AS6" s="87">
        <v>0</v>
      </c>
      <c r="AT6" s="87">
        <v>0</v>
      </c>
      <c r="AU6" s="87">
        <v>0</v>
      </c>
      <c r="AV6" s="87">
        <v>0</v>
      </c>
      <c r="AW6" s="87">
        <v>0</v>
      </c>
      <c r="AX6" s="87">
        <v>0</v>
      </c>
      <c r="AY6" s="82">
        <v>0</v>
      </c>
      <c r="AZ6" s="80"/>
      <c r="BA6" s="81"/>
      <c r="BB6" s="1">
        <f t="shared" si="0"/>
        <v>0</v>
      </c>
      <c r="BC6" s="6"/>
      <c r="BD6" s="47"/>
      <c r="BE6" s="5">
        <f t="shared" si="1"/>
        <v>0</v>
      </c>
      <c r="BF6" s="48"/>
      <c r="BG6" s="49">
        <v>4</v>
      </c>
      <c r="BH6" s="1">
        <f t="shared" si="2"/>
        <v>6.5</v>
      </c>
      <c r="BI6" s="50"/>
      <c r="BJ6" s="51"/>
      <c r="BK6" s="5">
        <f t="shared" si="3"/>
        <v>0</v>
      </c>
      <c r="BL6" s="48"/>
      <c r="BM6" s="49"/>
      <c r="BN6" s="1">
        <f t="shared" si="4"/>
        <v>0</v>
      </c>
      <c r="BO6" s="50"/>
      <c r="BP6" s="51"/>
      <c r="BQ6" s="5">
        <f t="shared" si="5"/>
        <v>0</v>
      </c>
      <c r="BR6" s="48"/>
      <c r="BS6" s="49"/>
      <c r="BT6" s="1">
        <f t="shared" si="6"/>
        <v>0</v>
      </c>
      <c r="BU6" s="50"/>
      <c r="BV6" s="51"/>
      <c r="BW6" s="5">
        <f t="shared" si="7"/>
        <v>0</v>
      </c>
      <c r="BX6" s="48"/>
      <c r="BY6" s="49"/>
      <c r="BZ6" s="2">
        <f t="shared" si="8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5.75">
      <c r="A7" s="57">
        <v>43486</v>
      </c>
      <c r="B7" s="58" t="s">
        <v>390</v>
      </c>
      <c r="C7" s="60">
        <v>7400976</v>
      </c>
      <c r="D7" s="34" t="s">
        <v>68</v>
      </c>
      <c r="E7" s="59" t="s">
        <v>69</v>
      </c>
      <c r="F7" s="8">
        <v>369</v>
      </c>
      <c r="G7" s="4">
        <v>0</v>
      </c>
      <c r="H7" s="54">
        <v>0</v>
      </c>
      <c r="I7" s="4">
        <v>0</v>
      </c>
      <c r="J7" s="3">
        <v>0</v>
      </c>
      <c r="K7" s="44"/>
      <c r="L7" s="82">
        <v>1</v>
      </c>
      <c r="M7" s="82">
        <v>0</v>
      </c>
      <c r="N7" s="82">
        <v>0</v>
      </c>
      <c r="O7" s="82">
        <v>1</v>
      </c>
      <c r="P7" s="82">
        <v>0</v>
      </c>
      <c r="Q7" s="82">
        <v>0</v>
      </c>
      <c r="R7" s="83">
        <v>0</v>
      </c>
      <c r="S7" s="83">
        <v>1</v>
      </c>
      <c r="T7" s="83">
        <v>1</v>
      </c>
      <c r="U7" s="83">
        <v>0</v>
      </c>
      <c r="V7" s="83">
        <v>0</v>
      </c>
      <c r="W7" s="82">
        <v>0</v>
      </c>
      <c r="X7" s="82">
        <v>0</v>
      </c>
      <c r="Y7" s="83">
        <v>1</v>
      </c>
      <c r="Z7" s="84">
        <v>0</v>
      </c>
      <c r="AA7" s="82">
        <v>0</v>
      </c>
      <c r="AB7" s="82">
        <v>0</v>
      </c>
      <c r="AC7" s="82">
        <v>0</v>
      </c>
      <c r="AD7" s="82">
        <v>0</v>
      </c>
      <c r="AE7" s="82">
        <v>0</v>
      </c>
      <c r="AF7" s="84">
        <v>1</v>
      </c>
      <c r="AG7" s="84">
        <v>1</v>
      </c>
      <c r="AH7" s="85">
        <v>0</v>
      </c>
      <c r="AI7" s="85">
        <v>0</v>
      </c>
      <c r="AJ7" s="85">
        <v>0</v>
      </c>
      <c r="AK7" s="85">
        <v>0</v>
      </c>
      <c r="AL7" s="82">
        <v>0</v>
      </c>
      <c r="AM7" s="82">
        <v>0</v>
      </c>
      <c r="AN7" s="86">
        <v>0</v>
      </c>
      <c r="AO7" s="82">
        <v>0</v>
      </c>
      <c r="AP7" s="82">
        <v>0</v>
      </c>
      <c r="AQ7" s="82">
        <v>0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2">
        <v>0</v>
      </c>
      <c r="AZ7" s="80"/>
      <c r="BA7" s="81"/>
      <c r="BB7" s="1">
        <f t="shared" si="0"/>
        <v>0</v>
      </c>
      <c r="BC7" s="6"/>
      <c r="BD7" s="47"/>
      <c r="BE7" s="5">
        <f t="shared" si="1"/>
        <v>0</v>
      </c>
      <c r="BF7" s="48"/>
      <c r="BG7" s="49"/>
      <c r="BH7" s="1">
        <f t="shared" si="2"/>
        <v>0</v>
      </c>
      <c r="BI7" s="50"/>
      <c r="BJ7" s="51"/>
      <c r="BK7" s="5">
        <f t="shared" si="3"/>
        <v>0</v>
      </c>
      <c r="BL7" s="48"/>
      <c r="BM7" s="49"/>
      <c r="BN7" s="1">
        <f t="shared" si="4"/>
        <v>0</v>
      </c>
      <c r="BO7" s="50"/>
      <c r="BP7" s="51"/>
      <c r="BQ7" s="5">
        <f t="shared" si="5"/>
        <v>0</v>
      </c>
      <c r="BR7" s="48"/>
      <c r="BS7" s="49"/>
      <c r="BT7" s="1">
        <f t="shared" si="6"/>
        <v>0</v>
      </c>
      <c r="BU7" s="50"/>
      <c r="BV7" s="51"/>
      <c r="BW7" s="5">
        <f t="shared" si="7"/>
        <v>0</v>
      </c>
      <c r="BX7" s="48"/>
      <c r="BY7" s="49"/>
      <c r="BZ7" s="2">
        <f t="shared" si="8"/>
        <v>0</v>
      </c>
      <c r="CA7" s="52"/>
    </row>
    <row r="8" spans="1:86" s="35" customFormat="1" ht="15.75">
      <c r="A8" s="57">
        <v>43528</v>
      </c>
      <c r="B8" s="58" t="s">
        <v>388</v>
      </c>
      <c r="C8" s="60">
        <v>7401154</v>
      </c>
      <c r="D8" s="34" t="s">
        <v>70</v>
      </c>
      <c r="E8" s="59" t="s">
        <v>71</v>
      </c>
      <c r="F8" s="8">
        <v>369.5</v>
      </c>
      <c r="G8" s="4">
        <v>4</v>
      </c>
      <c r="H8" s="54">
        <v>6.5</v>
      </c>
      <c r="I8" s="4">
        <v>0</v>
      </c>
      <c r="J8" s="3">
        <v>4</v>
      </c>
      <c r="K8" s="44"/>
      <c r="L8" s="82">
        <v>1</v>
      </c>
      <c r="M8" s="82">
        <v>0</v>
      </c>
      <c r="N8" s="82">
        <v>0</v>
      </c>
      <c r="O8" s="82">
        <v>1</v>
      </c>
      <c r="P8" s="82">
        <v>0</v>
      </c>
      <c r="Q8" s="82">
        <v>0</v>
      </c>
      <c r="R8" s="83">
        <v>0</v>
      </c>
      <c r="S8" s="83">
        <v>1</v>
      </c>
      <c r="T8" s="83">
        <v>0</v>
      </c>
      <c r="U8" s="83">
        <v>0</v>
      </c>
      <c r="V8" s="83">
        <v>0</v>
      </c>
      <c r="W8" s="82">
        <v>0</v>
      </c>
      <c r="X8" s="82">
        <v>0</v>
      </c>
      <c r="Y8" s="83">
        <v>0</v>
      </c>
      <c r="Z8" s="84">
        <v>0</v>
      </c>
      <c r="AA8" s="82">
        <v>0</v>
      </c>
      <c r="AB8" s="82">
        <v>0</v>
      </c>
      <c r="AC8" s="82">
        <v>0</v>
      </c>
      <c r="AD8" s="82">
        <v>0</v>
      </c>
      <c r="AE8" s="82">
        <v>0</v>
      </c>
      <c r="AF8" s="84">
        <v>1</v>
      </c>
      <c r="AG8" s="84">
        <v>1</v>
      </c>
      <c r="AH8" s="85">
        <v>0</v>
      </c>
      <c r="AI8" s="85">
        <v>0</v>
      </c>
      <c r="AJ8" s="85">
        <v>0</v>
      </c>
      <c r="AK8" s="85">
        <v>0</v>
      </c>
      <c r="AL8" s="82">
        <v>0</v>
      </c>
      <c r="AM8" s="82">
        <v>0</v>
      </c>
      <c r="AN8" s="86">
        <v>0</v>
      </c>
      <c r="AO8" s="82">
        <v>1</v>
      </c>
      <c r="AP8" s="82">
        <v>1</v>
      </c>
      <c r="AQ8" s="82">
        <v>0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2">
        <v>0</v>
      </c>
      <c r="AZ8" s="80"/>
      <c r="BA8" s="81"/>
      <c r="BB8" s="1">
        <f t="shared" si="0"/>
        <v>0</v>
      </c>
      <c r="BC8" s="6"/>
      <c r="BD8" s="47"/>
      <c r="BE8" s="5">
        <f t="shared" si="1"/>
        <v>0</v>
      </c>
      <c r="BF8" s="48"/>
      <c r="BG8" s="49">
        <v>4</v>
      </c>
      <c r="BH8" s="1">
        <f t="shared" si="2"/>
        <v>6.5</v>
      </c>
      <c r="BI8" s="50"/>
      <c r="BJ8" s="51"/>
      <c r="BK8" s="5">
        <f t="shared" si="3"/>
        <v>0</v>
      </c>
      <c r="BL8" s="48"/>
      <c r="BM8" s="49"/>
      <c r="BN8" s="1">
        <f t="shared" si="4"/>
        <v>0</v>
      </c>
      <c r="BO8" s="50"/>
      <c r="BP8" s="51"/>
      <c r="BQ8" s="5">
        <f t="shared" si="5"/>
        <v>0</v>
      </c>
      <c r="BR8" s="48"/>
      <c r="BS8" s="49"/>
      <c r="BT8" s="1">
        <f t="shared" si="6"/>
        <v>0</v>
      </c>
      <c r="BU8" s="50"/>
      <c r="BV8" s="51"/>
      <c r="BW8" s="5">
        <f t="shared" si="7"/>
        <v>0</v>
      </c>
      <c r="BX8" s="48"/>
      <c r="BY8" s="49"/>
      <c r="BZ8" s="2">
        <f t="shared" si="8"/>
        <v>0</v>
      </c>
      <c r="CA8" s="52"/>
    </row>
    <row r="9" spans="1:86" s="35" customFormat="1" ht="15.75">
      <c r="A9" s="57">
        <v>44417</v>
      </c>
      <c r="B9" s="58" t="s">
        <v>390</v>
      </c>
      <c r="C9" s="34">
        <v>7403267</v>
      </c>
      <c r="D9" s="34" t="s">
        <v>167</v>
      </c>
      <c r="E9" s="59" t="s">
        <v>157</v>
      </c>
      <c r="F9" s="8">
        <v>374.57499999999999</v>
      </c>
      <c r="G9" s="4">
        <v>0</v>
      </c>
      <c r="H9" s="54">
        <v>0</v>
      </c>
      <c r="I9" s="4">
        <v>0</v>
      </c>
      <c r="J9" s="3">
        <v>0</v>
      </c>
      <c r="K9" s="44"/>
      <c r="L9" s="82">
        <v>0</v>
      </c>
      <c r="M9" s="82">
        <v>0</v>
      </c>
      <c r="N9" s="82">
        <v>0</v>
      </c>
      <c r="O9" s="82">
        <v>0</v>
      </c>
      <c r="P9" s="82">
        <v>1</v>
      </c>
      <c r="Q9" s="82">
        <v>0</v>
      </c>
      <c r="R9" s="83">
        <v>0</v>
      </c>
      <c r="S9" s="83">
        <v>1</v>
      </c>
      <c r="T9" s="83">
        <v>0</v>
      </c>
      <c r="U9" s="83">
        <v>0</v>
      </c>
      <c r="V9" s="83">
        <v>0</v>
      </c>
      <c r="W9" s="82">
        <v>0</v>
      </c>
      <c r="X9" s="82">
        <v>0</v>
      </c>
      <c r="Y9" s="83">
        <v>0</v>
      </c>
      <c r="Z9" s="84">
        <v>0</v>
      </c>
      <c r="AA9" s="82">
        <v>0</v>
      </c>
      <c r="AB9" s="82">
        <v>0</v>
      </c>
      <c r="AC9" s="82">
        <v>0</v>
      </c>
      <c r="AD9" s="82">
        <v>0</v>
      </c>
      <c r="AE9" s="82">
        <v>0</v>
      </c>
      <c r="AF9" s="84">
        <v>0</v>
      </c>
      <c r="AG9" s="84">
        <v>0</v>
      </c>
      <c r="AH9" s="85">
        <v>0</v>
      </c>
      <c r="AI9" s="85">
        <v>0</v>
      </c>
      <c r="AJ9" s="85">
        <v>0</v>
      </c>
      <c r="AK9" s="85">
        <v>0</v>
      </c>
      <c r="AL9" s="82">
        <v>0</v>
      </c>
      <c r="AM9" s="82">
        <v>0</v>
      </c>
      <c r="AN9" s="86">
        <v>0</v>
      </c>
      <c r="AO9" s="82">
        <v>0</v>
      </c>
      <c r="AP9" s="82">
        <v>0</v>
      </c>
      <c r="AQ9" s="82">
        <v>0</v>
      </c>
      <c r="AR9" s="87">
        <v>0</v>
      </c>
      <c r="AS9" s="87">
        <v>0</v>
      </c>
      <c r="AT9" s="87">
        <v>1</v>
      </c>
      <c r="AU9" s="87">
        <v>1</v>
      </c>
      <c r="AV9" s="87">
        <v>1</v>
      </c>
      <c r="AW9" s="87">
        <v>1</v>
      </c>
      <c r="AX9" s="87">
        <v>0</v>
      </c>
      <c r="AY9" s="82">
        <v>0</v>
      </c>
      <c r="AZ9" s="80"/>
      <c r="BA9" s="81"/>
      <c r="BB9" s="1">
        <f t="shared" si="0"/>
        <v>0</v>
      </c>
      <c r="BC9" s="6"/>
      <c r="BD9" s="47"/>
      <c r="BE9" s="5">
        <f t="shared" si="1"/>
        <v>0</v>
      </c>
      <c r="BF9" s="48"/>
      <c r="BG9" s="49"/>
      <c r="BH9" s="1">
        <f t="shared" si="2"/>
        <v>0</v>
      </c>
      <c r="BI9" s="50"/>
      <c r="BJ9" s="51"/>
      <c r="BK9" s="5">
        <f t="shared" si="3"/>
        <v>0</v>
      </c>
      <c r="BL9" s="48"/>
      <c r="BM9" s="49"/>
      <c r="BN9" s="1">
        <f t="shared" si="4"/>
        <v>0</v>
      </c>
      <c r="BO9" s="50"/>
      <c r="BP9" s="51"/>
      <c r="BQ9" s="5">
        <f t="shared" si="5"/>
        <v>0</v>
      </c>
      <c r="BR9" s="48"/>
      <c r="BS9" s="49"/>
      <c r="BT9" s="1">
        <f t="shared" si="6"/>
        <v>0</v>
      </c>
      <c r="BU9" s="50"/>
      <c r="BV9" s="51"/>
      <c r="BW9" s="5">
        <f t="shared" si="7"/>
        <v>0</v>
      </c>
      <c r="BX9" s="48"/>
      <c r="BY9" s="49"/>
      <c r="BZ9" s="2">
        <f t="shared" si="8"/>
        <v>0</v>
      </c>
      <c r="CA9" s="52"/>
    </row>
    <row r="10" spans="1:86" ht="15.75">
      <c r="A10" s="57">
        <v>44607</v>
      </c>
      <c r="B10" s="58" t="s">
        <v>390</v>
      </c>
      <c r="C10" s="34">
        <v>7104178</v>
      </c>
      <c r="D10" s="34" t="s">
        <v>195</v>
      </c>
      <c r="E10" s="59" t="s">
        <v>196</v>
      </c>
      <c r="F10" s="8">
        <v>404.58000000000004</v>
      </c>
      <c r="G10" s="4">
        <v>0</v>
      </c>
      <c r="H10" s="54">
        <v>0</v>
      </c>
      <c r="I10" s="4">
        <v>0</v>
      </c>
      <c r="J10" s="3">
        <v>0</v>
      </c>
      <c r="K10" s="44"/>
      <c r="L10" s="82">
        <v>1</v>
      </c>
      <c r="M10" s="82">
        <v>0</v>
      </c>
      <c r="N10" s="82">
        <v>1</v>
      </c>
      <c r="O10" s="82">
        <v>0</v>
      </c>
      <c r="P10" s="82">
        <v>1</v>
      </c>
      <c r="Q10" s="82">
        <v>0</v>
      </c>
      <c r="R10" s="83">
        <v>0</v>
      </c>
      <c r="S10" s="83">
        <v>1</v>
      </c>
      <c r="T10" s="83">
        <v>0</v>
      </c>
      <c r="U10" s="83">
        <v>0</v>
      </c>
      <c r="V10" s="83">
        <v>0</v>
      </c>
      <c r="W10" s="82">
        <v>0</v>
      </c>
      <c r="X10" s="82">
        <v>0</v>
      </c>
      <c r="Y10" s="83">
        <v>0</v>
      </c>
      <c r="Z10" s="84">
        <v>0</v>
      </c>
      <c r="AA10" s="82">
        <v>0</v>
      </c>
      <c r="AB10" s="82">
        <v>0</v>
      </c>
      <c r="AC10" s="82">
        <v>0</v>
      </c>
      <c r="AD10" s="82">
        <v>0</v>
      </c>
      <c r="AE10" s="82">
        <v>0</v>
      </c>
      <c r="AF10" s="84">
        <v>0</v>
      </c>
      <c r="AG10" s="84">
        <v>0</v>
      </c>
      <c r="AH10" s="85">
        <v>0</v>
      </c>
      <c r="AI10" s="85">
        <v>0</v>
      </c>
      <c r="AJ10" s="85">
        <v>0</v>
      </c>
      <c r="AK10" s="85">
        <v>0</v>
      </c>
      <c r="AL10" s="82">
        <v>0</v>
      </c>
      <c r="AM10" s="82">
        <v>0</v>
      </c>
      <c r="AN10" s="86">
        <v>0</v>
      </c>
      <c r="AO10" s="82">
        <v>0</v>
      </c>
      <c r="AP10" s="82">
        <v>0</v>
      </c>
      <c r="AQ10" s="82">
        <v>0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2">
        <v>0</v>
      </c>
      <c r="AZ10" s="80"/>
      <c r="BA10" s="81"/>
      <c r="BB10" s="1">
        <f t="shared" si="0"/>
        <v>0</v>
      </c>
      <c r="BC10" s="6"/>
      <c r="BD10" s="47"/>
      <c r="BE10" s="5">
        <f t="shared" si="1"/>
        <v>0</v>
      </c>
      <c r="BF10" s="48"/>
      <c r="BG10" s="49"/>
      <c r="BH10" s="1">
        <f t="shared" si="2"/>
        <v>0</v>
      </c>
      <c r="BI10" s="50"/>
      <c r="BJ10" s="51"/>
      <c r="BK10" s="5">
        <f t="shared" si="3"/>
        <v>0</v>
      </c>
      <c r="BL10" s="48"/>
      <c r="BM10" s="49"/>
      <c r="BN10" s="1">
        <f t="shared" si="4"/>
        <v>0</v>
      </c>
      <c r="BO10" s="50"/>
      <c r="BP10" s="51"/>
      <c r="BQ10" s="5">
        <f t="shared" si="5"/>
        <v>0</v>
      </c>
      <c r="BR10" s="48"/>
      <c r="BS10" s="49"/>
      <c r="BT10" s="1">
        <f t="shared" si="6"/>
        <v>0</v>
      </c>
      <c r="BU10" s="50"/>
      <c r="BV10" s="51"/>
      <c r="BW10" s="5">
        <f t="shared" si="7"/>
        <v>0</v>
      </c>
      <c r="BX10" s="48"/>
      <c r="BY10" s="49"/>
      <c r="BZ10" s="2">
        <f t="shared" si="8"/>
        <v>0</v>
      </c>
      <c r="CA10" s="52"/>
    </row>
    <row r="11" spans="1:86" ht="15.75">
      <c r="A11" s="57">
        <v>44529</v>
      </c>
      <c r="B11" s="58" t="s">
        <v>388</v>
      </c>
      <c r="C11" s="55">
        <v>7403483</v>
      </c>
      <c r="D11" s="61" t="s">
        <v>166</v>
      </c>
      <c r="E11" s="61" t="s">
        <v>77</v>
      </c>
      <c r="F11" s="8">
        <v>405.0745</v>
      </c>
      <c r="G11" s="4">
        <v>0</v>
      </c>
      <c r="H11" s="54">
        <v>0</v>
      </c>
      <c r="I11" s="4">
        <v>0</v>
      </c>
      <c r="J11" s="3">
        <v>0</v>
      </c>
      <c r="K11" s="44"/>
      <c r="L11" s="82">
        <v>1</v>
      </c>
      <c r="M11" s="82">
        <v>0</v>
      </c>
      <c r="N11" s="82">
        <v>1</v>
      </c>
      <c r="O11" s="82">
        <v>0</v>
      </c>
      <c r="P11" s="82">
        <v>0</v>
      </c>
      <c r="Q11" s="82">
        <v>0</v>
      </c>
      <c r="R11" s="83">
        <v>0</v>
      </c>
      <c r="S11" s="83">
        <v>1</v>
      </c>
      <c r="T11" s="83">
        <v>0</v>
      </c>
      <c r="U11" s="83">
        <v>0</v>
      </c>
      <c r="V11" s="83">
        <v>0</v>
      </c>
      <c r="W11" s="82">
        <v>0</v>
      </c>
      <c r="X11" s="82">
        <v>0</v>
      </c>
      <c r="Y11" s="83">
        <v>0</v>
      </c>
      <c r="Z11" s="84">
        <v>0</v>
      </c>
      <c r="AA11" s="82">
        <v>0</v>
      </c>
      <c r="AB11" s="82">
        <v>0</v>
      </c>
      <c r="AC11" s="82">
        <v>0</v>
      </c>
      <c r="AD11" s="82">
        <v>0</v>
      </c>
      <c r="AE11" s="82">
        <v>0</v>
      </c>
      <c r="AF11" s="84">
        <v>0</v>
      </c>
      <c r="AG11" s="84">
        <v>0</v>
      </c>
      <c r="AH11" s="85">
        <v>0</v>
      </c>
      <c r="AI11" s="85">
        <v>0</v>
      </c>
      <c r="AJ11" s="85">
        <v>0</v>
      </c>
      <c r="AK11" s="85">
        <v>0</v>
      </c>
      <c r="AL11" s="82">
        <v>0</v>
      </c>
      <c r="AM11" s="82">
        <v>0</v>
      </c>
      <c r="AN11" s="86">
        <v>0</v>
      </c>
      <c r="AO11" s="82">
        <v>0</v>
      </c>
      <c r="AP11" s="82">
        <v>0</v>
      </c>
      <c r="AQ11" s="82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2">
        <v>0</v>
      </c>
      <c r="AZ11" s="80"/>
      <c r="BA11" s="81"/>
      <c r="BB11" s="1">
        <f t="shared" si="0"/>
        <v>0</v>
      </c>
      <c r="BC11" s="6"/>
      <c r="BD11" s="47"/>
      <c r="BE11" s="5">
        <f t="shared" si="1"/>
        <v>0</v>
      </c>
      <c r="BF11" s="48"/>
      <c r="BG11" s="49"/>
      <c r="BH11" s="1">
        <f t="shared" si="2"/>
        <v>0</v>
      </c>
      <c r="BI11" s="50"/>
      <c r="BJ11" s="51"/>
      <c r="BK11" s="5">
        <f t="shared" si="3"/>
        <v>0</v>
      </c>
      <c r="BL11" s="48"/>
      <c r="BM11" s="49"/>
      <c r="BN11" s="1">
        <f t="shared" si="4"/>
        <v>0</v>
      </c>
      <c r="BO11" s="50"/>
      <c r="BP11" s="51"/>
      <c r="BQ11" s="5">
        <f t="shared" si="5"/>
        <v>0</v>
      </c>
      <c r="BR11" s="48"/>
      <c r="BS11" s="49"/>
      <c r="BT11" s="1">
        <f t="shared" si="6"/>
        <v>0</v>
      </c>
      <c r="BU11" s="50"/>
      <c r="BV11" s="51"/>
      <c r="BW11" s="5">
        <f t="shared" si="7"/>
        <v>0</v>
      </c>
      <c r="BX11" s="48"/>
      <c r="BY11" s="49"/>
      <c r="BZ11" s="2">
        <f t="shared" si="8"/>
        <v>0</v>
      </c>
      <c r="CA11" s="52"/>
    </row>
    <row r="12" spans="1:86" ht="15.75">
      <c r="A12" s="53">
        <v>43542</v>
      </c>
      <c r="B12" s="58" t="s">
        <v>390</v>
      </c>
      <c r="C12" s="55">
        <v>7401166</v>
      </c>
      <c r="D12" s="34" t="s">
        <v>73</v>
      </c>
      <c r="E12" s="34" t="s">
        <v>74</v>
      </c>
      <c r="F12" s="8">
        <v>418.49549999999999</v>
      </c>
      <c r="G12" s="4">
        <v>0</v>
      </c>
      <c r="H12" s="54">
        <v>0</v>
      </c>
      <c r="I12" s="4">
        <v>0</v>
      </c>
      <c r="J12" s="3">
        <v>0</v>
      </c>
      <c r="K12" s="44"/>
      <c r="L12" s="82">
        <v>1</v>
      </c>
      <c r="M12" s="82">
        <v>0</v>
      </c>
      <c r="N12" s="82">
        <v>0</v>
      </c>
      <c r="O12" s="82">
        <v>1</v>
      </c>
      <c r="P12" s="82">
        <v>0</v>
      </c>
      <c r="Q12" s="82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2">
        <v>0</v>
      </c>
      <c r="X12" s="82">
        <v>0</v>
      </c>
      <c r="Y12" s="83">
        <v>0</v>
      </c>
      <c r="Z12" s="84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4">
        <v>1</v>
      </c>
      <c r="AG12" s="84">
        <v>1</v>
      </c>
      <c r="AH12" s="85">
        <v>0</v>
      </c>
      <c r="AI12" s="85">
        <v>0</v>
      </c>
      <c r="AJ12" s="85">
        <v>0</v>
      </c>
      <c r="AK12" s="85">
        <v>0</v>
      </c>
      <c r="AL12" s="82">
        <v>0</v>
      </c>
      <c r="AM12" s="82">
        <v>0</v>
      </c>
      <c r="AN12" s="86">
        <v>0</v>
      </c>
      <c r="AO12" s="82">
        <v>0</v>
      </c>
      <c r="AP12" s="82">
        <v>0</v>
      </c>
      <c r="AQ12" s="82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2">
        <v>0</v>
      </c>
      <c r="AZ12" s="80"/>
      <c r="BA12" s="81"/>
      <c r="BB12" s="1">
        <f t="shared" si="0"/>
        <v>0</v>
      </c>
      <c r="BC12" s="6"/>
      <c r="BD12" s="47"/>
      <c r="BE12" s="5">
        <f t="shared" si="1"/>
        <v>0</v>
      </c>
      <c r="BF12" s="48"/>
      <c r="BG12" s="49"/>
      <c r="BH12" s="1">
        <f t="shared" si="2"/>
        <v>0</v>
      </c>
      <c r="BI12" s="50"/>
      <c r="BJ12" s="51"/>
      <c r="BK12" s="5">
        <f t="shared" si="3"/>
        <v>0</v>
      </c>
      <c r="BL12" s="48"/>
      <c r="BM12" s="49"/>
      <c r="BN12" s="1">
        <f t="shared" si="4"/>
        <v>0</v>
      </c>
      <c r="BO12" s="50"/>
      <c r="BP12" s="51"/>
      <c r="BQ12" s="5">
        <f t="shared" si="5"/>
        <v>0</v>
      </c>
      <c r="BR12" s="48"/>
      <c r="BS12" s="49"/>
      <c r="BT12" s="1">
        <f t="shared" si="6"/>
        <v>0</v>
      </c>
      <c r="BU12" s="50"/>
      <c r="BV12" s="51"/>
      <c r="BW12" s="5">
        <f t="shared" si="7"/>
        <v>0</v>
      </c>
      <c r="BX12" s="48"/>
      <c r="BY12" s="49"/>
      <c r="BZ12" s="2">
        <f t="shared" si="8"/>
        <v>0</v>
      </c>
      <c r="CA12" s="52"/>
    </row>
    <row r="13" spans="1:86" ht="15.75">
      <c r="A13" s="57">
        <v>44656</v>
      </c>
      <c r="B13" s="58" t="s">
        <v>397</v>
      </c>
      <c r="C13" s="34">
        <v>7104407</v>
      </c>
      <c r="D13" s="34" t="s">
        <v>238</v>
      </c>
      <c r="E13" s="59" t="s">
        <v>239</v>
      </c>
      <c r="F13" s="8">
        <v>431.74</v>
      </c>
      <c r="G13" s="4">
        <v>0</v>
      </c>
      <c r="H13" s="54">
        <v>0</v>
      </c>
      <c r="I13" s="4">
        <v>0</v>
      </c>
      <c r="J13" s="3">
        <v>0</v>
      </c>
      <c r="K13" s="44"/>
      <c r="L13" s="82">
        <v>1</v>
      </c>
      <c r="M13" s="82">
        <v>0</v>
      </c>
      <c r="N13" s="82">
        <v>1</v>
      </c>
      <c r="O13" s="82">
        <v>0</v>
      </c>
      <c r="P13" s="82">
        <v>0</v>
      </c>
      <c r="Q13" s="82">
        <v>0</v>
      </c>
      <c r="R13" s="83">
        <v>1</v>
      </c>
      <c r="S13" s="83">
        <v>1</v>
      </c>
      <c r="T13" s="83">
        <v>0</v>
      </c>
      <c r="U13" s="83">
        <v>0</v>
      </c>
      <c r="V13" s="83">
        <v>0</v>
      </c>
      <c r="W13" s="82">
        <v>0</v>
      </c>
      <c r="X13" s="82">
        <v>0</v>
      </c>
      <c r="Y13" s="83">
        <v>0</v>
      </c>
      <c r="Z13" s="84">
        <v>1</v>
      </c>
      <c r="AA13" s="82">
        <v>0</v>
      </c>
      <c r="AB13" s="82">
        <v>0</v>
      </c>
      <c r="AC13" s="82">
        <v>0</v>
      </c>
      <c r="AD13" s="82">
        <v>0</v>
      </c>
      <c r="AE13" s="82">
        <v>0</v>
      </c>
      <c r="AF13" s="84">
        <v>0</v>
      </c>
      <c r="AG13" s="84">
        <v>0</v>
      </c>
      <c r="AH13" s="85">
        <v>0</v>
      </c>
      <c r="AI13" s="85">
        <v>0</v>
      </c>
      <c r="AJ13" s="85">
        <v>0</v>
      </c>
      <c r="AK13" s="85">
        <v>0</v>
      </c>
      <c r="AL13" s="82">
        <v>0</v>
      </c>
      <c r="AM13" s="82">
        <v>0</v>
      </c>
      <c r="AN13" s="86">
        <v>0</v>
      </c>
      <c r="AO13" s="82">
        <v>0</v>
      </c>
      <c r="AP13" s="82">
        <v>0</v>
      </c>
      <c r="AQ13" s="82">
        <v>0</v>
      </c>
      <c r="AR13" s="87">
        <v>0</v>
      </c>
      <c r="AS13" s="87">
        <v>0</v>
      </c>
      <c r="AT13" s="87">
        <v>0</v>
      </c>
      <c r="AU13" s="87">
        <v>0</v>
      </c>
      <c r="AV13" s="87">
        <v>0</v>
      </c>
      <c r="AW13" s="87">
        <v>0</v>
      </c>
      <c r="AX13" s="87">
        <v>0</v>
      </c>
      <c r="AY13" s="82">
        <v>0</v>
      </c>
      <c r="AZ13" s="80"/>
      <c r="BA13" s="81"/>
      <c r="BB13" s="1">
        <f t="shared" si="0"/>
        <v>0</v>
      </c>
      <c r="BC13" s="6"/>
      <c r="BD13" s="47"/>
      <c r="BE13" s="5">
        <f t="shared" si="1"/>
        <v>0</v>
      </c>
      <c r="BF13" s="48"/>
      <c r="BG13" s="49"/>
      <c r="BH13" s="1">
        <f t="shared" si="2"/>
        <v>0</v>
      </c>
      <c r="BI13" s="50"/>
      <c r="BJ13" s="51"/>
      <c r="BK13" s="5">
        <f t="shared" si="3"/>
        <v>0</v>
      </c>
      <c r="BL13" s="48"/>
      <c r="BM13" s="49"/>
      <c r="BN13" s="1">
        <f t="shared" si="4"/>
        <v>0</v>
      </c>
      <c r="BO13" s="50"/>
      <c r="BP13" s="51"/>
      <c r="BQ13" s="5">
        <f t="shared" si="5"/>
        <v>0</v>
      </c>
      <c r="BR13" s="48"/>
      <c r="BS13" s="49"/>
      <c r="BT13" s="1">
        <f t="shared" si="6"/>
        <v>0</v>
      </c>
      <c r="BU13" s="50"/>
      <c r="BV13" s="51"/>
      <c r="BW13" s="5">
        <f t="shared" si="7"/>
        <v>0</v>
      </c>
      <c r="BX13" s="48"/>
      <c r="BY13" s="49"/>
      <c r="BZ13" s="2">
        <f t="shared" si="8"/>
        <v>0</v>
      </c>
      <c r="CA13" s="52"/>
    </row>
    <row r="14" spans="1:86" ht="15.75">
      <c r="A14" s="57">
        <v>44684</v>
      </c>
      <c r="B14" s="58" t="s">
        <v>391</v>
      </c>
      <c r="C14" s="34">
        <v>7104332</v>
      </c>
      <c r="D14" s="34" t="s">
        <v>245</v>
      </c>
      <c r="E14" s="59" t="s">
        <v>74</v>
      </c>
      <c r="F14" s="8">
        <v>450.34500000000003</v>
      </c>
      <c r="G14" s="4">
        <v>0</v>
      </c>
      <c r="H14" s="54">
        <v>0</v>
      </c>
      <c r="I14" s="4">
        <v>0</v>
      </c>
      <c r="J14" s="3">
        <v>0</v>
      </c>
      <c r="K14" s="44"/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3">
        <v>0</v>
      </c>
      <c r="S14" s="83">
        <v>1</v>
      </c>
      <c r="T14" s="83">
        <v>0</v>
      </c>
      <c r="U14" s="83">
        <v>0</v>
      </c>
      <c r="V14" s="83">
        <v>0</v>
      </c>
      <c r="W14" s="82">
        <v>0</v>
      </c>
      <c r="X14" s="82">
        <v>0</v>
      </c>
      <c r="Y14" s="83">
        <v>0</v>
      </c>
      <c r="Z14" s="84">
        <v>0</v>
      </c>
      <c r="AA14" s="82">
        <v>0</v>
      </c>
      <c r="AB14" s="82">
        <v>0</v>
      </c>
      <c r="AC14" s="82">
        <v>0</v>
      </c>
      <c r="AD14" s="82">
        <v>0</v>
      </c>
      <c r="AE14" s="82">
        <v>0</v>
      </c>
      <c r="AF14" s="84">
        <v>0</v>
      </c>
      <c r="AG14" s="84">
        <v>0</v>
      </c>
      <c r="AH14" s="85">
        <v>0</v>
      </c>
      <c r="AI14" s="85">
        <v>0</v>
      </c>
      <c r="AJ14" s="85">
        <v>0</v>
      </c>
      <c r="AK14" s="85">
        <v>0</v>
      </c>
      <c r="AL14" s="82">
        <v>0</v>
      </c>
      <c r="AM14" s="82">
        <v>0</v>
      </c>
      <c r="AN14" s="86">
        <v>0</v>
      </c>
      <c r="AO14" s="82">
        <v>0</v>
      </c>
      <c r="AP14" s="82">
        <v>0</v>
      </c>
      <c r="AQ14" s="82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2">
        <v>0</v>
      </c>
      <c r="AZ14" s="80"/>
      <c r="BA14" s="81"/>
      <c r="BB14" s="1">
        <f t="shared" si="0"/>
        <v>0</v>
      </c>
      <c r="BC14" s="6"/>
      <c r="BD14" s="47"/>
      <c r="BE14" s="5">
        <f t="shared" si="1"/>
        <v>0</v>
      </c>
      <c r="BF14" s="48"/>
      <c r="BG14" s="49"/>
      <c r="BH14" s="1">
        <f t="shared" si="2"/>
        <v>0</v>
      </c>
      <c r="BI14" s="50"/>
      <c r="BJ14" s="51"/>
      <c r="BK14" s="5">
        <f t="shared" si="3"/>
        <v>0</v>
      </c>
      <c r="BL14" s="48"/>
      <c r="BM14" s="49"/>
      <c r="BN14" s="1">
        <f t="shared" si="4"/>
        <v>0</v>
      </c>
      <c r="BO14" s="50"/>
      <c r="BP14" s="51"/>
      <c r="BQ14" s="5">
        <f t="shared" si="5"/>
        <v>0</v>
      </c>
      <c r="BR14" s="48"/>
      <c r="BS14" s="49"/>
      <c r="BT14" s="1">
        <f t="shared" si="6"/>
        <v>0</v>
      </c>
      <c r="BU14" s="50"/>
      <c r="BV14" s="51"/>
      <c r="BW14" s="5">
        <f t="shared" si="7"/>
        <v>0</v>
      </c>
      <c r="BX14" s="48"/>
      <c r="BY14" s="49"/>
      <c r="BZ14" s="2">
        <f t="shared" si="8"/>
        <v>0</v>
      </c>
      <c r="CA14" s="52"/>
    </row>
    <row r="15" spans="1:86" ht="15.75">
      <c r="A15" s="57">
        <v>44684</v>
      </c>
      <c r="B15" s="58" t="s">
        <v>387</v>
      </c>
      <c r="C15" s="34">
        <v>7104550</v>
      </c>
      <c r="D15" s="34" t="s">
        <v>266</v>
      </c>
      <c r="E15" s="59" t="s">
        <v>357</v>
      </c>
      <c r="F15" s="8">
        <v>450.34500000000003</v>
      </c>
      <c r="G15" s="4">
        <v>0</v>
      </c>
      <c r="H15" s="54">
        <v>0</v>
      </c>
      <c r="I15" s="4">
        <v>0</v>
      </c>
      <c r="J15" s="3">
        <v>0</v>
      </c>
      <c r="K15" s="44"/>
      <c r="L15" s="82">
        <v>1</v>
      </c>
      <c r="M15" s="82">
        <v>0</v>
      </c>
      <c r="N15" s="82">
        <v>1</v>
      </c>
      <c r="O15" s="82">
        <v>0</v>
      </c>
      <c r="P15" s="82">
        <v>0</v>
      </c>
      <c r="Q15" s="82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2">
        <v>0</v>
      </c>
      <c r="X15" s="82">
        <v>0</v>
      </c>
      <c r="Y15" s="83">
        <v>1</v>
      </c>
      <c r="Z15" s="84">
        <v>1</v>
      </c>
      <c r="AA15" s="82">
        <v>0</v>
      </c>
      <c r="AB15" s="82">
        <v>0</v>
      </c>
      <c r="AC15" s="82">
        <v>0</v>
      </c>
      <c r="AD15" s="82">
        <v>0</v>
      </c>
      <c r="AE15" s="82">
        <v>0</v>
      </c>
      <c r="AF15" s="84">
        <v>0</v>
      </c>
      <c r="AG15" s="84">
        <v>0</v>
      </c>
      <c r="AH15" s="85">
        <v>0</v>
      </c>
      <c r="AI15" s="85">
        <v>0</v>
      </c>
      <c r="AJ15" s="85">
        <v>0</v>
      </c>
      <c r="AK15" s="85">
        <v>0</v>
      </c>
      <c r="AL15" s="82">
        <v>0</v>
      </c>
      <c r="AM15" s="82">
        <v>0</v>
      </c>
      <c r="AN15" s="86">
        <v>0</v>
      </c>
      <c r="AO15" s="82">
        <v>0</v>
      </c>
      <c r="AP15" s="82">
        <v>0</v>
      </c>
      <c r="AQ15" s="82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2">
        <v>0</v>
      </c>
      <c r="AZ15" s="80"/>
      <c r="BA15" s="81"/>
      <c r="BB15" s="1">
        <f t="shared" si="0"/>
        <v>0</v>
      </c>
      <c r="BC15" s="6"/>
      <c r="BD15" s="47"/>
      <c r="BE15" s="5">
        <f t="shared" si="1"/>
        <v>0</v>
      </c>
      <c r="BF15" s="48"/>
      <c r="BG15" s="49"/>
      <c r="BH15" s="1">
        <f t="shared" si="2"/>
        <v>0</v>
      </c>
      <c r="BI15" s="50"/>
      <c r="BJ15" s="51"/>
      <c r="BK15" s="5">
        <f t="shared" si="3"/>
        <v>0</v>
      </c>
      <c r="BL15" s="48"/>
      <c r="BM15" s="49"/>
      <c r="BN15" s="1">
        <f t="shared" si="4"/>
        <v>0</v>
      </c>
      <c r="BO15" s="50"/>
      <c r="BP15" s="51"/>
      <c r="BQ15" s="5">
        <f t="shared" si="5"/>
        <v>0</v>
      </c>
      <c r="BR15" s="48"/>
      <c r="BS15" s="49"/>
      <c r="BT15" s="1">
        <f t="shared" si="6"/>
        <v>0</v>
      </c>
      <c r="BU15" s="50"/>
      <c r="BV15" s="51"/>
      <c r="BW15" s="5">
        <f t="shared" si="7"/>
        <v>0</v>
      </c>
      <c r="BX15" s="48"/>
      <c r="BY15" s="49"/>
      <c r="BZ15" s="2">
        <f t="shared" si="8"/>
        <v>0</v>
      </c>
      <c r="CA15" s="52"/>
    </row>
    <row r="16" spans="1:86" ht="15.75">
      <c r="A16" s="57">
        <v>44684</v>
      </c>
      <c r="B16" s="58" t="s">
        <v>388</v>
      </c>
      <c r="C16" s="34">
        <v>7104491</v>
      </c>
      <c r="D16" s="34" t="s">
        <v>258</v>
      </c>
      <c r="E16" s="59" t="s">
        <v>259</v>
      </c>
      <c r="F16" s="8">
        <v>455.84500000000003</v>
      </c>
      <c r="G16" s="4">
        <v>0</v>
      </c>
      <c r="H16" s="54">
        <v>0</v>
      </c>
      <c r="I16" s="4">
        <v>0</v>
      </c>
      <c r="J16" s="3">
        <v>0</v>
      </c>
      <c r="K16" s="44"/>
      <c r="L16" s="82">
        <v>1</v>
      </c>
      <c r="M16" s="82">
        <v>0</v>
      </c>
      <c r="N16" s="82">
        <v>0</v>
      </c>
      <c r="O16" s="82">
        <v>1</v>
      </c>
      <c r="P16" s="82">
        <v>0</v>
      </c>
      <c r="Q16" s="82">
        <v>0</v>
      </c>
      <c r="R16" s="83">
        <v>0</v>
      </c>
      <c r="S16" s="83">
        <v>1</v>
      </c>
      <c r="T16" s="83">
        <v>0</v>
      </c>
      <c r="U16" s="83">
        <v>0</v>
      </c>
      <c r="V16" s="83">
        <v>0</v>
      </c>
      <c r="W16" s="82">
        <v>0</v>
      </c>
      <c r="X16" s="82">
        <v>0</v>
      </c>
      <c r="Y16" s="83">
        <v>0</v>
      </c>
      <c r="Z16" s="84">
        <v>0</v>
      </c>
      <c r="AA16" s="82">
        <v>0</v>
      </c>
      <c r="AB16" s="82">
        <v>0</v>
      </c>
      <c r="AC16" s="82">
        <v>0</v>
      </c>
      <c r="AD16" s="82">
        <v>0</v>
      </c>
      <c r="AE16" s="82">
        <v>0</v>
      </c>
      <c r="AF16" s="84">
        <v>0</v>
      </c>
      <c r="AG16" s="84">
        <v>0</v>
      </c>
      <c r="AH16" s="85">
        <v>0</v>
      </c>
      <c r="AI16" s="85">
        <v>0</v>
      </c>
      <c r="AJ16" s="85">
        <v>0</v>
      </c>
      <c r="AK16" s="85">
        <v>0</v>
      </c>
      <c r="AL16" s="82">
        <v>0</v>
      </c>
      <c r="AM16" s="82">
        <v>0</v>
      </c>
      <c r="AN16" s="86">
        <v>0</v>
      </c>
      <c r="AO16" s="82">
        <v>0</v>
      </c>
      <c r="AP16" s="82">
        <v>0</v>
      </c>
      <c r="AQ16" s="82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2">
        <v>0</v>
      </c>
      <c r="AZ16" s="80"/>
      <c r="BA16" s="81"/>
      <c r="BB16" s="1">
        <f t="shared" si="0"/>
        <v>0</v>
      </c>
      <c r="BC16" s="6"/>
      <c r="BD16" s="47"/>
      <c r="BE16" s="5">
        <f t="shared" si="1"/>
        <v>0</v>
      </c>
      <c r="BF16" s="48"/>
      <c r="BG16" s="49"/>
      <c r="BH16" s="1">
        <f t="shared" si="2"/>
        <v>0</v>
      </c>
      <c r="BI16" s="50"/>
      <c r="BJ16" s="51"/>
      <c r="BK16" s="5">
        <f t="shared" si="3"/>
        <v>0</v>
      </c>
      <c r="BL16" s="48"/>
      <c r="BM16" s="49"/>
      <c r="BN16" s="1">
        <f t="shared" si="4"/>
        <v>0</v>
      </c>
      <c r="BO16" s="50"/>
      <c r="BP16" s="51"/>
      <c r="BQ16" s="5">
        <f t="shared" si="5"/>
        <v>0</v>
      </c>
      <c r="BR16" s="48"/>
      <c r="BS16" s="49"/>
      <c r="BT16" s="1">
        <f t="shared" si="6"/>
        <v>0</v>
      </c>
      <c r="BU16" s="50"/>
      <c r="BV16" s="51"/>
      <c r="BW16" s="5">
        <f t="shared" si="7"/>
        <v>0</v>
      </c>
      <c r="BX16" s="48"/>
      <c r="BY16" s="49"/>
      <c r="BZ16" s="2">
        <f t="shared" si="8"/>
        <v>0</v>
      </c>
      <c r="CA16" s="52"/>
    </row>
    <row r="17" spans="1:79" ht="15.75">
      <c r="A17" s="57">
        <v>44684</v>
      </c>
      <c r="B17" s="58" t="s">
        <v>390</v>
      </c>
      <c r="C17" s="34">
        <v>7104243</v>
      </c>
      <c r="D17" s="34" t="s">
        <v>262</v>
      </c>
      <c r="E17" s="59" t="s">
        <v>263</v>
      </c>
      <c r="F17" s="8">
        <v>455.84500000000003</v>
      </c>
      <c r="G17" s="4">
        <v>0</v>
      </c>
      <c r="H17" s="54">
        <v>0</v>
      </c>
      <c r="I17" s="4">
        <v>0</v>
      </c>
      <c r="J17" s="3">
        <v>0</v>
      </c>
      <c r="K17" s="44"/>
      <c r="L17" s="82">
        <v>1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3">
        <v>0</v>
      </c>
      <c r="S17" s="83">
        <v>1</v>
      </c>
      <c r="T17" s="83">
        <v>0</v>
      </c>
      <c r="U17" s="83">
        <v>0</v>
      </c>
      <c r="V17" s="83">
        <v>0</v>
      </c>
      <c r="W17" s="82">
        <v>0</v>
      </c>
      <c r="X17" s="82">
        <v>0</v>
      </c>
      <c r="Y17" s="83">
        <v>0</v>
      </c>
      <c r="Z17" s="84">
        <v>0</v>
      </c>
      <c r="AA17" s="82">
        <v>0</v>
      </c>
      <c r="AB17" s="82">
        <v>0</v>
      </c>
      <c r="AC17" s="82">
        <v>0</v>
      </c>
      <c r="AD17" s="82">
        <v>0</v>
      </c>
      <c r="AE17" s="82">
        <v>0</v>
      </c>
      <c r="AF17" s="84">
        <v>0</v>
      </c>
      <c r="AG17" s="84">
        <v>0</v>
      </c>
      <c r="AH17" s="85">
        <v>0</v>
      </c>
      <c r="AI17" s="85">
        <v>0</v>
      </c>
      <c r="AJ17" s="85">
        <v>0</v>
      </c>
      <c r="AK17" s="85">
        <v>0</v>
      </c>
      <c r="AL17" s="82">
        <v>0</v>
      </c>
      <c r="AM17" s="82">
        <v>0</v>
      </c>
      <c r="AN17" s="86">
        <v>0</v>
      </c>
      <c r="AO17" s="82">
        <v>0</v>
      </c>
      <c r="AP17" s="82">
        <v>0</v>
      </c>
      <c r="AQ17" s="82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2">
        <v>0</v>
      </c>
      <c r="AZ17" s="80"/>
      <c r="BA17" s="81"/>
      <c r="BB17" s="1">
        <f t="shared" si="0"/>
        <v>0</v>
      </c>
      <c r="BC17" s="6"/>
      <c r="BD17" s="47"/>
      <c r="BE17" s="5">
        <f t="shared" si="1"/>
        <v>0</v>
      </c>
      <c r="BF17" s="48"/>
      <c r="BG17" s="49"/>
      <c r="BH17" s="1">
        <f t="shared" si="2"/>
        <v>0</v>
      </c>
      <c r="BI17" s="50"/>
      <c r="BJ17" s="51"/>
      <c r="BK17" s="5">
        <f t="shared" si="3"/>
        <v>0</v>
      </c>
      <c r="BL17" s="48"/>
      <c r="BM17" s="49"/>
      <c r="BN17" s="1">
        <f t="shared" si="4"/>
        <v>0</v>
      </c>
      <c r="BO17" s="50"/>
      <c r="BP17" s="51"/>
      <c r="BQ17" s="5">
        <f t="shared" si="5"/>
        <v>0</v>
      </c>
      <c r="BR17" s="48"/>
      <c r="BS17" s="49"/>
      <c r="BT17" s="1">
        <f t="shared" si="6"/>
        <v>0</v>
      </c>
      <c r="BU17" s="50"/>
      <c r="BV17" s="51"/>
      <c r="BW17" s="5">
        <f t="shared" si="7"/>
        <v>0</v>
      </c>
      <c r="BX17" s="48"/>
      <c r="BY17" s="49"/>
      <c r="BZ17" s="2">
        <f t="shared" si="8"/>
        <v>0</v>
      </c>
      <c r="CA17" s="52"/>
    </row>
    <row r="18" spans="1:79" ht="15.75">
      <c r="A18" s="57">
        <v>44684</v>
      </c>
      <c r="B18" s="58" t="s">
        <v>361</v>
      </c>
      <c r="C18" s="34">
        <v>7104569</v>
      </c>
      <c r="D18" s="34" t="s">
        <v>264</v>
      </c>
      <c r="E18" s="59" t="s">
        <v>97</v>
      </c>
      <c r="F18" s="8">
        <v>455.84500000000003</v>
      </c>
      <c r="G18" s="4">
        <v>0</v>
      </c>
      <c r="H18" s="54">
        <v>0</v>
      </c>
      <c r="I18" s="4">
        <v>0</v>
      </c>
      <c r="J18" s="3">
        <v>0</v>
      </c>
      <c r="K18" s="44"/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3">
        <v>0</v>
      </c>
      <c r="S18" s="83">
        <v>1</v>
      </c>
      <c r="T18" s="83">
        <v>0</v>
      </c>
      <c r="U18" s="83">
        <v>0</v>
      </c>
      <c r="V18" s="83">
        <v>0</v>
      </c>
      <c r="W18" s="82">
        <v>0</v>
      </c>
      <c r="X18" s="82">
        <v>0</v>
      </c>
      <c r="Y18" s="83">
        <v>0</v>
      </c>
      <c r="Z18" s="84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4">
        <v>0</v>
      </c>
      <c r="AG18" s="84">
        <v>0</v>
      </c>
      <c r="AH18" s="85">
        <v>0</v>
      </c>
      <c r="AI18" s="85">
        <v>0</v>
      </c>
      <c r="AJ18" s="85">
        <v>0</v>
      </c>
      <c r="AK18" s="85">
        <v>0</v>
      </c>
      <c r="AL18" s="82">
        <v>0</v>
      </c>
      <c r="AM18" s="82">
        <v>0</v>
      </c>
      <c r="AN18" s="86">
        <v>0</v>
      </c>
      <c r="AO18" s="82">
        <v>0</v>
      </c>
      <c r="AP18" s="82">
        <v>0</v>
      </c>
      <c r="AQ18" s="82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0</v>
      </c>
      <c r="AY18" s="82">
        <v>0</v>
      </c>
      <c r="AZ18" s="80"/>
      <c r="BA18" s="81"/>
      <c r="BB18" s="1">
        <f t="shared" si="0"/>
        <v>0</v>
      </c>
      <c r="BC18" s="6"/>
      <c r="BD18" s="47"/>
      <c r="BE18" s="5">
        <f t="shared" si="1"/>
        <v>0</v>
      </c>
      <c r="BF18" s="48"/>
      <c r="BG18" s="49"/>
      <c r="BH18" s="1">
        <f t="shared" si="2"/>
        <v>0</v>
      </c>
      <c r="BI18" s="50"/>
      <c r="BJ18" s="51"/>
      <c r="BK18" s="5">
        <f t="shared" si="3"/>
        <v>0</v>
      </c>
      <c r="BL18" s="48"/>
      <c r="BM18" s="49"/>
      <c r="BN18" s="1">
        <f t="shared" si="4"/>
        <v>0</v>
      </c>
      <c r="BO18" s="50"/>
      <c r="BP18" s="51"/>
      <c r="BQ18" s="5">
        <f t="shared" si="5"/>
        <v>0</v>
      </c>
      <c r="BR18" s="48"/>
      <c r="BS18" s="49"/>
      <c r="BT18" s="1">
        <f t="shared" si="6"/>
        <v>0</v>
      </c>
      <c r="BU18" s="50"/>
      <c r="BV18" s="51"/>
      <c r="BW18" s="5">
        <f t="shared" si="7"/>
        <v>0</v>
      </c>
      <c r="BX18" s="48"/>
      <c r="BY18" s="49"/>
      <c r="BZ18" s="2">
        <f t="shared" si="8"/>
        <v>0</v>
      </c>
      <c r="CA18" s="52"/>
    </row>
    <row r="19" spans="1:79" s="28" customFormat="1" ht="15.75">
      <c r="A19" s="57">
        <v>44684</v>
      </c>
      <c r="B19" s="58" t="s">
        <v>361</v>
      </c>
      <c r="C19" s="34">
        <v>7104620</v>
      </c>
      <c r="D19" s="34" t="s">
        <v>270</v>
      </c>
      <c r="E19" s="59" t="s">
        <v>199</v>
      </c>
      <c r="F19" s="8">
        <v>455.84500000000003</v>
      </c>
      <c r="G19" s="4">
        <v>0</v>
      </c>
      <c r="H19" s="54">
        <v>0</v>
      </c>
      <c r="I19" s="4">
        <v>0</v>
      </c>
      <c r="J19" s="3">
        <v>0</v>
      </c>
      <c r="K19" s="44"/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3">
        <v>0</v>
      </c>
      <c r="S19" s="83">
        <v>1</v>
      </c>
      <c r="T19" s="83">
        <v>0</v>
      </c>
      <c r="U19" s="83">
        <v>0</v>
      </c>
      <c r="V19" s="83">
        <v>0</v>
      </c>
      <c r="W19" s="82">
        <v>0</v>
      </c>
      <c r="X19" s="82">
        <v>0</v>
      </c>
      <c r="Y19" s="83">
        <v>0</v>
      </c>
      <c r="Z19" s="84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4">
        <v>0</v>
      </c>
      <c r="AG19" s="84">
        <v>0</v>
      </c>
      <c r="AH19" s="85">
        <v>0</v>
      </c>
      <c r="AI19" s="85">
        <v>0</v>
      </c>
      <c r="AJ19" s="85">
        <v>0</v>
      </c>
      <c r="AK19" s="85">
        <v>0</v>
      </c>
      <c r="AL19" s="82">
        <v>0</v>
      </c>
      <c r="AM19" s="82">
        <v>0</v>
      </c>
      <c r="AN19" s="86">
        <v>0</v>
      </c>
      <c r="AO19" s="82">
        <v>0</v>
      </c>
      <c r="AP19" s="82">
        <v>0</v>
      </c>
      <c r="AQ19" s="82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0</v>
      </c>
      <c r="AY19" s="82">
        <v>0</v>
      </c>
      <c r="AZ19" s="80"/>
      <c r="BA19" s="81"/>
      <c r="BB19" s="1">
        <f t="shared" si="0"/>
        <v>0</v>
      </c>
      <c r="BC19" s="6"/>
      <c r="BD19" s="47"/>
      <c r="BE19" s="5">
        <f t="shared" si="1"/>
        <v>0</v>
      </c>
      <c r="BF19" s="48"/>
      <c r="BG19" s="49"/>
      <c r="BH19" s="1">
        <f t="shared" si="2"/>
        <v>0</v>
      </c>
      <c r="BI19" s="50"/>
      <c r="BJ19" s="51"/>
      <c r="BK19" s="5">
        <f t="shared" si="3"/>
        <v>0</v>
      </c>
      <c r="BL19" s="48"/>
      <c r="BM19" s="49"/>
      <c r="BN19" s="1">
        <f t="shared" si="4"/>
        <v>0</v>
      </c>
      <c r="BO19" s="50"/>
      <c r="BP19" s="51"/>
      <c r="BQ19" s="5">
        <f t="shared" si="5"/>
        <v>0</v>
      </c>
      <c r="BR19" s="48"/>
      <c r="BS19" s="49"/>
      <c r="BT19" s="1">
        <f t="shared" si="6"/>
        <v>0</v>
      </c>
      <c r="BU19" s="50"/>
      <c r="BV19" s="51"/>
      <c r="BW19" s="5">
        <f t="shared" si="7"/>
        <v>0</v>
      </c>
      <c r="BX19" s="48"/>
      <c r="BY19" s="49"/>
      <c r="BZ19" s="2">
        <f t="shared" si="8"/>
        <v>0</v>
      </c>
      <c r="CA19" s="52"/>
    </row>
    <row r="20" spans="1:79" s="28" customFormat="1" ht="15.75">
      <c r="A20" s="57">
        <v>44698</v>
      </c>
      <c r="B20" s="58" t="s">
        <v>390</v>
      </c>
      <c r="C20" s="34">
        <v>7104754</v>
      </c>
      <c r="D20" s="34" t="s">
        <v>274</v>
      </c>
      <c r="E20" s="59" t="s">
        <v>275</v>
      </c>
      <c r="F20" s="8">
        <v>458.17</v>
      </c>
      <c r="G20" s="4">
        <v>0</v>
      </c>
      <c r="H20" s="54">
        <v>0</v>
      </c>
      <c r="I20" s="4">
        <v>0</v>
      </c>
      <c r="J20" s="3">
        <v>0</v>
      </c>
      <c r="K20" s="44"/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3">
        <v>0</v>
      </c>
      <c r="S20" s="83">
        <v>0</v>
      </c>
      <c r="T20" s="83">
        <v>0</v>
      </c>
      <c r="U20" s="83">
        <v>0</v>
      </c>
      <c r="V20" s="83">
        <v>0</v>
      </c>
      <c r="W20" s="82">
        <v>0</v>
      </c>
      <c r="X20" s="82">
        <v>0</v>
      </c>
      <c r="Y20" s="83">
        <v>0</v>
      </c>
      <c r="Z20" s="84">
        <v>0</v>
      </c>
      <c r="AA20" s="82">
        <v>0</v>
      </c>
      <c r="AB20" s="82">
        <v>0</v>
      </c>
      <c r="AC20" s="82">
        <v>0</v>
      </c>
      <c r="AD20" s="82">
        <v>0</v>
      </c>
      <c r="AE20" s="82">
        <v>0</v>
      </c>
      <c r="AF20" s="84">
        <v>0</v>
      </c>
      <c r="AG20" s="84">
        <v>0</v>
      </c>
      <c r="AH20" s="85">
        <v>0</v>
      </c>
      <c r="AI20" s="85">
        <v>0</v>
      </c>
      <c r="AJ20" s="85">
        <v>0</v>
      </c>
      <c r="AK20" s="85">
        <v>0</v>
      </c>
      <c r="AL20" s="82">
        <v>0</v>
      </c>
      <c r="AM20" s="82">
        <v>0</v>
      </c>
      <c r="AN20" s="86">
        <v>0</v>
      </c>
      <c r="AO20" s="82">
        <v>0</v>
      </c>
      <c r="AP20" s="82">
        <v>0</v>
      </c>
      <c r="AQ20" s="82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1</v>
      </c>
      <c r="AY20" s="82">
        <v>0</v>
      </c>
      <c r="AZ20" s="80"/>
      <c r="BA20" s="81"/>
      <c r="BB20" s="1">
        <f t="shared" si="0"/>
        <v>0</v>
      </c>
      <c r="BC20" s="6"/>
      <c r="BD20" s="47"/>
      <c r="BE20" s="5">
        <f t="shared" si="1"/>
        <v>0</v>
      </c>
      <c r="BF20" s="48"/>
      <c r="BG20" s="49"/>
      <c r="BH20" s="1">
        <f t="shared" si="2"/>
        <v>0</v>
      </c>
      <c r="BI20" s="50"/>
      <c r="BJ20" s="51"/>
      <c r="BK20" s="5">
        <f t="shared" si="3"/>
        <v>0</v>
      </c>
      <c r="BL20" s="48"/>
      <c r="BM20" s="49"/>
      <c r="BN20" s="1">
        <f t="shared" si="4"/>
        <v>0</v>
      </c>
      <c r="BO20" s="50"/>
      <c r="BP20" s="51"/>
      <c r="BQ20" s="5">
        <f t="shared" si="5"/>
        <v>0</v>
      </c>
      <c r="BR20" s="48"/>
      <c r="BS20" s="49"/>
      <c r="BT20" s="1">
        <f t="shared" si="6"/>
        <v>0</v>
      </c>
      <c r="BU20" s="50"/>
      <c r="BV20" s="51"/>
      <c r="BW20" s="5">
        <f t="shared" si="7"/>
        <v>0</v>
      </c>
      <c r="BX20" s="48"/>
      <c r="BY20" s="49"/>
      <c r="BZ20" s="2">
        <f t="shared" si="8"/>
        <v>0</v>
      </c>
      <c r="CA20" s="52"/>
    </row>
    <row r="21" spans="1:79" s="28" customFormat="1" ht="15.75">
      <c r="A21" s="57">
        <v>44698</v>
      </c>
      <c r="B21" s="58" t="s">
        <v>391</v>
      </c>
      <c r="C21" s="34">
        <v>7104710</v>
      </c>
      <c r="D21" s="34" t="s">
        <v>286</v>
      </c>
      <c r="E21" s="59" t="s">
        <v>219</v>
      </c>
      <c r="F21" s="8">
        <v>458.17</v>
      </c>
      <c r="G21" s="4">
        <v>0</v>
      </c>
      <c r="H21" s="54">
        <v>0</v>
      </c>
      <c r="I21" s="4">
        <v>0</v>
      </c>
      <c r="J21" s="3">
        <v>0</v>
      </c>
      <c r="K21" s="44"/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2">
        <v>0</v>
      </c>
      <c r="X21" s="82">
        <v>0</v>
      </c>
      <c r="Y21" s="83">
        <v>0</v>
      </c>
      <c r="Z21" s="84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4">
        <v>0</v>
      </c>
      <c r="AG21" s="84">
        <v>0</v>
      </c>
      <c r="AH21" s="85">
        <v>0</v>
      </c>
      <c r="AI21" s="85">
        <v>0</v>
      </c>
      <c r="AJ21" s="85">
        <v>0</v>
      </c>
      <c r="AK21" s="85">
        <v>0</v>
      </c>
      <c r="AL21" s="82">
        <v>0</v>
      </c>
      <c r="AM21" s="82">
        <v>0</v>
      </c>
      <c r="AN21" s="86">
        <v>0</v>
      </c>
      <c r="AO21" s="82">
        <v>0</v>
      </c>
      <c r="AP21" s="82">
        <v>0</v>
      </c>
      <c r="AQ21" s="82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0</v>
      </c>
      <c r="AY21" s="82">
        <v>0</v>
      </c>
      <c r="AZ21" s="80"/>
      <c r="BA21" s="81"/>
      <c r="BB21" s="1">
        <f t="shared" si="0"/>
        <v>0</v>
      </c>
      <c r="BC21" s="6"/>
      <c r="BD21" s="47"/>
      <c r="BE21" s="5">
        <f t="shared" si="1"/>
        <v>0</v>
      </c>
      <c r="BF21" s="48"/>
      <c r="BG21" s="49"/>
      <c r="BH21" s="1">
        <f t="shared" si="2"/>
        <v>0</v>
      </c>
      <c r="BI21" s="50"/>
      <c r="BJ21" s="51"/>
      <c r="BK21" s="5">
        <f t="shared" si="3"/>
        <v>0</v>
      </c>
      <c r="BL21" s="48"/>
      <c r="BM21" s="49"/>
      <c r="BN21" s="1">
        <f t="shared" si="4"/>
        <v>0</v>
      </c>
      <c r="BO21" s="50"/>
      <c r="BP21" s="51"/>
      <c r="BQ21" s="5">
        <f t="shared" si="5"/>
        <v>0</v>
      </c>
      <c r="BR21" s="48"/>
      <c r="BS21" s="49"/>
      <c r="BT21" s="1">
        <f t="shared" si="6"/>
        <v>0</v>
      </c>
      <c r="BU21" s="50"/>
      <c r="BV21" s="51"/>
      <c r="BW21" s="5">
        <f t="shared" si="7"/>
        <v>0</v>
      </c>
      <c r="BX21" s="48"/>
      <c r="BY21" s="49"/>
      <c r="BZ21" s="2">
        <f t="shared" si="8"/>
        <v>0</v>
      </c>
      <c r="CA21" s="52"/>
    </row>
    <row r="22" spans="1:79" s="28" customFormat="1" ht="15.75">
      <c r="A22" s="53">
        <v>43542</v>
      </c>
      <c r="B22" s="58" t="s">
        <v>390</v>
      </c>
      <c r="C22" s="55">
        <v>7401165</v>
      </c>
      <c r="D22" s="34" t="s">
        <v>72</v>
      </c>
      <c r="E22" s="34" t="s">
        <v>58</v>
      </c>
      <c r="F22" s="8">
        <v>461.5</v>
      </c>
      <c r="G22" s="4">
        <v>0</v>
      </c>
      <c r="H22" s="54">
        <v>0</v>
      </c>
      <c r="I22" s="4">
        <v>0</v>
      </c>
      <c r="J22" s="3">
        <v>0</v>
      </c>
      <c r="K22" s="44"/>
      <c r="L22" s="82">
        <v>1</v>
      </c>
      <c r="M22" s="82">
        <v>0</v>
      </c>
      <c r="N22" s="82">
        <v>1</v>
      </c>
      <c r="O22" s="82">
        <v>1</v>
      </c>
      <c r="P22" s="82">
        <v>0</v>
      </c>
      <c r="Q22" s="82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2">
        <v>0</v>
      </c>
      <c r="X22" s="82">
        <v>0</v>
      </c>
      <c r="Y22" s="83">
        <v>0</v>
      </c>
      <c r="Z22" s="84">
        <v>0</v>
      </c>
      <c r="AA22" s="82">
        <v>0</v>
      </c>
      <c r="AB22" s="82">
        <v>0</v>
      </c>
      <c r="AC22" s="82">
        <v>0</v>
      </c>
      <c r="AD22" s="82">
        <v>0</v>
      </c>
      <c r="AE22" s="82">
        <v>0</v>
      </c>
      <c r="AF22" s="84">
        <v>1</v>
      </c>
      <c r="AG22" s="84">
        <v>1</v>
      </c>
      <c r="AH22" s="85">
        <v>0</v>
      </c>
      <c r="AI22" s="85">
        <v>0</v>
      </c>
      <c r="AJ22" s="85">
        <v>0</v>
      </c>
      <c r="AK22" s="85">
        <v>0</v>
      </c>
      <c r="AL22" s="82">
        <v>0</v>
      </c>
      <c r="AM22" s="82">
        <v>0</v>
      </c>
      <c r="AN22" s="86">
        <v>0</v>
      </c>
      <c r="AO22" s="82">
        <v>0</v>
      </c>
      <c r="AP22" s="82">
        <v>0</v>
      </c>
      <c r="AQ22" s="82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2">
        <v>0</v>
      </c>
      <c r="AZ22" s="80"/>
      <c r="BA22" s="81"/>
      <c r="BB22" s="1">
        <f t="shared" si="0"/>
        <v>0</v>
      </c>
      <c r="BC22" s="6"/>
      <c r="BD22" s="47"/>
      <c r="BE22" s="5">
        <f t="shared" si="1"/>
        <v>0</v>
      </c>
      <c r="BF22" s="48"/>
      <c r="BG22" s="49"/>
      <c r="BH22" s="1">
        <f t="shared" si="2"/>
        <v>0</v>
      </c>
      <c r="BI22" s="50"/>
      <c r="BJ22" s="51"/>
      <c r="BK22" s="5">
        <f t="shared" si="3"/>
        <v>0</v>
      </c>
      <c r="BL22" s="48"/>
      <c r="BM22" s="49"/>
      <c r="BN22" s="1">
        <f t="shared" si="4"/>
        <v>0</v>
      </c>
      <c r="BO22" s="50"/>
      <c r="BP22" s="51"/>
      <c r="BQ22" s="5">
        <f t="shared" si="5"/>
        <v>0</v>
      </c>
      <c r="BR22" s="48"/>
      <c r="BS22" s="49"/>
      <c r="BT22" s="1">
        <f t="shared" si="6"/>
        <v>0</v>
      </c>
      <c r="BU22" s="50"/>
      <c r="BV22" s="51"/>
      <c r="BW22" s="5">
        <f t="shared" si="7"/>
        <v>0</v>
      </c>
      <c r="BX22" s="48"/>
      <c r="BY22" s="49"/>
      <c r="BZ22" s="2">
        <f t="shared" si="8"/>
        <v>0</v>
      </c>
      <c r="CA22" s="52"/>
    </row>
    <row r="23" spans="1:79" s="28" customFormat="1" ht="15.75">
      <c r="A23" s="57">
        <v>44677</v>
      </c>
      <c r="B23" s="58" t="s">
        <v>390</v>
      </c>
      <c r="C23" s="34">
        <v>7104560</v>
      </c>
      <c r="D23" s="34" t="s">
        <v>254</v>
      </c>
      <c r="E23" s="59" t="s">
        <v>255</v>
      </c>
      <c r="F23" s="8">
        <v>461.64</v>
      </c>
      <c r="G23" s="4">
        <v>0</v>
      </c>
      <c r="H23" s="54">
        <v>0</v>
      </c>
      <c r="I23" s="4">
        <v>0</v>
      </c>
      <c r="J23" s="3">
        <v>0</v>
      </c>
      <c r="K23" s="44"/>
      <c r="L23" s="82">
        <v>0</v>
      </c>
      <c r="M23" s="82">
        <v>0</v>
      </c>
      <c r="N23" s="82">
        <v>1</v>
      </c>
      <c r="O23" s="82">
        <v>0</v>
      </c>
      <c r="P23" s="82">
        <v>0</v>
      </c>
      <c r="Q23" s="82">
        <v>0</v>
      </c>
      <c r="R23" s="83">
        <v>0</v>
      </c>
      <c r="S23" s="83">
        <v>0</v>
      </c>
      <c r="T23" s="83">
        <v>0</v>
      </c>
      <c r="U23" s="83">
        <v>0</v>
      </c>
      <c r="V23" s="83">
        <v>0</v>
      </c>
      <c r="W23" s="82">
        <v>0</v>
      </c>
      <c r="X23" s="82">
        <v>0</v>
      </c>
      <c r="Y23" s="83">
        <v>0</v>
      </c>
      <c r="Z23" s="84">
        <v>0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4">
        <v>0</v>
      </c>
      <c r="AG23" s="84">
        <v>0</v>
      </c>
      <c r="AH23" s="85">
        <v>0</v>
      </c>
      <c r="AI23" s="85">
        <v>0</v>
      </c>
      <c r="AJ23" s="85">
        <v>0</v>
      </c>
      <c r="AK23" s="85">
        <v>0</v>
      </c>
      <c r="AL23" s="82">
        <v>0</v>
      </c>
      <c r="AM23" s="82">
        <v>0</v>
      </c>
      <c r="AN23" s="86">
        <v>0</v>
      </c>
      <c r="AO23" s="82">
        <v>0</v>
      </c>
      <c r="AP23" s="82">
        <v>0</v>
      </c>
      <c r="AQ23" s="82">
        <v>0</v>
      </c>
      <c r="AR23" s="87">
        <v>1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2">
        <v>0</v>
      </c>
      <c r="AZ23" s="80"/>
      <c r="BA23" s="81"/>
      <c r="BB23" s="1">
        <f t="shared" si="0"/>
        <v>0</v>
      </c>
      <c r="BC23" s="6"/>
      <c r="BD23" s="47"/>
      <c r="BE23" s="5">
        <f t="shared" si="1"/>
        <v>0</v>
      </c>
      <c r="BF23" s="48"/>
      <c r="BG23" s="49"/>
      <c r="BH23" s="1">
        <f t="shared" si="2"/>
        <v>0</v>
      </c>
      <c r="BI23" s="50"/>
      <c r="BJ23" s="51"/>
      <c r="BK23" s="5">
        <f t="shared" si="3"/>
        <v>0</v>
      </c>
      <c r="BL23" s="48"/>
      <c r="BM23" s="49"/>
      <c r="BN23" s="1">
        <f t="shared" si="4"/>
        <v>0</v>
      </c>
      <c r="BO23" s="50"/>
      <c r="BP23" s="51"/>
      <c r="BQ23" s="5">
        <f t="shared" si="5"/>
        <v>0</v>
      </c>
      <c r="BR23" s="48"/>
      <c r="BS23" s="49"/>
      <c r="BT23" s="1">
        <f t="shared" si="6"/>
        <v>0</v>
      </c>
      <c r="BU23" s="50"/>
      <c r="BV23" s="51"/>
      <c r="BW23" s="5">
        <f t="shared" si="7"/>
        <v>0</v>
      </c>
      <c r="BX23" s="48"/>
      <c r="BY23" s="49"/>
      <c r="BZ23" s="2">
        <f t="shared" si="8"/>
        <v>0</v>
      </c>
      <c r="CA23" s="52"/>
    </row>
    <row r="24" spans="1:79" s="28" customFormat="1" ht="15.75">
      <c r="A24" s="57">
        <v>44684</v>
      </c>
      <c r="B24" s="58" t="s">
        <v>361</v>
      </c>
      <c r="C24" s="34">
        <v>7104623</v>
      </c>
      <c r="D24" s="34" t="s">
        <v>269</v>
      </c>
      <c r="E24" s="59" t="s">
        <v>261</v>
      </c>
      <c r="F24" s="8">
        <v>461.84500000000003</v>
      </c>
      <c r="G24" s="4">
        <v>0</v>
      </c>
      <c r="H24" s="54">
        <v>0</v>
      </c>
      <c r="I24" s="4">
        <v>0</v>
      </c>
      <c r="J24" s="3">
        <v>0</v>
      </c>
      <c r="K24" s="44"/>
      <c r="L24" s="82">
        <v>0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3">
        <v>0</v>
      </c>
      <c r="S24" s="83">
        <v>0</v>
      </c>
      <c r="T24" s="83">
        <v>0</v>
      </c>
      <c r="U24" s="83">
        <v>0</v>
      </c>
      <c r="V24" s="83">
        <v>0</v>
      </c>
      <c r="W24" s="82">
        <v>0</v>
      </c>
      <c r="X24" s="82">
        <v>0</v>
      </c>
      <c r="Y24" s="83">
        <v>0</v>
      </c>
      <c r="Z24" s="84">
        <v>0</v>
      </c>
      <c r="AA24" s="82">
        <v>0</v>
      </c>
      <c r="AB24" s="82">
        <v>0</v>
      </c>
      <c r="AC24" s="82">
        <v>0</v>
      </c>
      <c r="AD24" s="82">
        <v>0</v>
      </c>
      <c r="AE24" s="82">
        <v>0</v>
      </c>
      <c r="AF24" s="84">
        <v>0</v>
      </c>
      <c r="AG24" s="84">
        <v>0</v>
      </c>
      <c r="AH24" s="85">
        <v>0</v>
      </c>
      <c r="AI24" s="85">
        <v>0</v>
      </c>
      <c r="AJ24" s="85">
        <v>0</v>
      </c>
      <c r="AK24" s="85">
        <v>0</v>
      </c>
      <c r="AL24" s="82">
        <v>0</v>
      </c>
      <c r="AM24" s="82">
        <v>0</v>
      </c>
      <c r="AN24" s="86">
        <v>0</v>
      </c>
      <c r="AO24" s="82">
        <v>0</v>
      </c>
      <c r="AP24" s="82">
        <v>0</v>
      </c>
      <c r="AQ24" s="82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2">
        <v>0</v>
      </c>
      <c r="AZ24" s="80"/>
      <c r="BA24" s="81"/>
      <c r="BB24" s="1">
        <f t="shared" si="0"/>
        <v>0</v>
      </c>
      <c r="BC24" s="6"/>
      <c r="BD24" s="47"/>
      <c r="BE24" s="5">
        <f t="shared" si="1"/>
        <v>0</v>
      </c>
      <c r="BF24" s="48"/>
      <c r="BG24" s="49"/>
      <c r="BH24" s="1">
        <f t="shared" si="2"/>
        <v>0</v>
      </c>
      <c r="BI24" s="50"/>
      <c r="BJ24" s="51"/>
      <c r="BK24" s="5">
        <f t="shared" si="3"/>
        <v>0</v>
      </c>
      <c r="BL24" s="48"/>
      <c r="BM24" s="49"/>
      <c r="BN24" s="1">
        <f t="shared" si="4"/>
        <v>0</v>
      </c>
      <c r="BO24" s="50"/>
      <c r="BP24" s="51"/>
      <c r="BQ24" s="5">
        <f t="shared" si="5"/>
        <v>0</v>
      </c>
      <c r="BR24" s="48"/>
      <c r="BS24" s="49"/>
      <c r="BT24" s="1">
        <f t="shared" si="6"/>
        <v>0</v>
      </c>
      <c r="BU24" s="50"/>
      <c r="BV24" s="51"/>
      <c r="BW24" s="5">
        <f t="shared" si="7"/>
        <v>0</v>
      </c>
      <c r="BX24" s="48"/>
      <c r="BY24" s="49"/>
      <c r="BZ24" s="2">
        <f t="shared" si="8"/>
        <v>0</v>
      </c>
      <c r="CA24" s="52"/>
    </row>
    <row r="25" spans="1:79" s="28" customFormat="1" ht="15.75">
      <c r="A25" s="57">
        <v>44656</v>
      </c>
      <c r="B25" s="58" t="s">
        <v>397</v>
      </c>
      <c r="C25" s="34">
        <v>7104396</v>
      </c>
      <c r="D25" s="34" t="s">
        <v>231</v>
      </c>
      <c r="E25" s="59" t="s">
        <v>232</v>
      </c>
      <c r="F25" s="8">
        <v>463.59</v>
      </c>
      <c r="G25" s="4">
        <v>0</v>
      </c>
      <c r="H25" s="54">
        <v>0</v>
      </c>
      <c r="I25" s="4">
        <v>0</v>
      </c>
      <c r="J25" s="3">
        <v>0</v>
      </c>
      <c r="K25" s="44"/>
      <c r="L25" s="82">
        <v>1</v>
      </c>
      <c r="M25" s="82">
        <v>0</v>
      </c>
      <c r="N25" s="82">
        <v>1</v>
      </c>
      <c r="O25" s="82">
        <v>0</v>
      </c>
      <c r="P25" s="82">
        <v>0</v>
      </c>
      <c r="Q25" s="82">
        <v>0</v>
      </c>
      <c r="R25" s="83">
        <v>0</v>
      </c>
      <c r="S25" s="83">
        <v>1</v>
      </c>
      <c r="T25" s="83">
        <v>0</v>
      </c>
      <c r="U25" s="83">
        <v>0</v>
      </c>
      <c r="V25" s="83">
        <v>0</v>
      </c>
      <c r="W25" s="82">
        <v>0</v>
      </c>
      <c r="X25" s="82">
        <v>0</v>
      </c>
      <c r="Y25" s="83">
        <v>0</v>
      </c>
      <c r="Z25" s="84">
        <v>0</v>
      </c>
      <c r="AA25" s="82">
        <v>0</v>
      </c>
      <c r="AB25" s="82">
        <v>0</v>
      </c>
      <c r="AC25" s="82">
        <v>0</v>
      </c>
      <c r="AD25" s="82">
        <v>0</v>
      </c>
      <c r="AE25" s="82">
        <v>0</v>
      </c>
      <c r="AF25" s="84">
        <v>0</v>
      </c>
      <c r="AG25" s="84">
        <v>0</v>
      </c>
      <c r="AH25" s="85">
        <v>0</v>
      </c>
      <c r="AI25" s="85">
        <v>0</v>
      </c>
      <c r="AJ25" s="85">
        <v>0</v>
      </c>
      <c r="AK25" s="85">
        <v>0</v>
      </c>
      <c r="AL25" s="82">
        <v>0</v>
      </c>
      <c r="AM25" s="82">
        <v>0</v>
      </c>
      <c r="AN25" s="86">
        <v>0</v>
      </c>
      <c r="AO25" s="82">
        <v>0</v>
      </c>
      <c r="AP25" s="82">
        <v>0</v>
      </c>
      <c r="AQ25" s="82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2">
        <v>0</v>
      </c>
      <c r="AZ25" s="80"/>
      <c r="BA25" s="81"/>
      <c r="BB25" s="1">
        <f t="shared" si="0"/>
        <v>0</v>
      </c>
      <c r="BC25" s="6"/>
      <c r="BD25" s="47"/>
      <c r="BE25" s="5">
        <f t="shared" si="1"/>
        <v>0</v>
      </c>
      <c r="BF25" s="48"/>
      <c r="BG25" s="49"/>
      <c r="BH25" s="1">
        <f t="shared" si="2"/>
        <v>0</v>
      </c>
      <c r="BI25" s="50"/>
      <c r="BJ25" s="51"/>
      <c r="BK25" s="5">
        <f t="shared" si="3"/>
        <v>0</v>
      </c>
      <c r="BL25" s="48"/>
      <c r="BM25" s="49"/>
      <c r="BN25" s="1">
        <f t="shared" si="4"/>
        <v>0</v>
      </c>
      <c r="BO25" s="50"/>
      <c r="BP25" s="51"/>
      <c r="BQ25" s="5">
        <f t="shared" si="5"/>
        <v>0</v>
      </c>
      <c r="BR25" s="48"/>
      <c r="BS25" s="49"/>
      <c r="BT25" s="1">
        <f t="shared" si="6"/>
        <v>0</v>
      </c>
      <c r="BU25" s="50"/>
      <c r="BV25" s="51"/>
      <c r="BW25" s="5">
        <f t="shared" si="7"/>
        <v>0</v>
      </c>
      <c r="BX25" s="48"/>
      <c r="BY25" s="49"/>
      <c r="BZ25" s="2">
        <f t="shared" si="8"/>
        <v>0</v>
      </c>
      <c r="CA25" s="52"/>
    </row>
    <row r="26" spans="1:79" s="28" customFormat="1" ht="15.75">
      <c r="A26" s="57">
        <v>43193</v>
      </c>
      <c r="B26" s="58" t="s">
        <v>390</v>
      </c>
      <c r="C26" s="60">
        <v>7400336</v>
      </c>
      <c r="D26" s="34" t="s">
        <v>64</v>
      </c>
      <c r="E26" s="59" t="s">
        <v>65</v>
      </c>
      <c r="F26" s="8">
        <v>463.84500000000003</v>
      </c>
      <c r="G26" s="4">
        <v>0</v>
      </c>
      <c r="H26" s="54">
        <v>0</v>
      </c>
      <c r="I26" s="4">
        <v>0</v>
      </c>
      <c r="J26" s="3">
        <v>0</v>
      </c>
      <c r="K26" s="44"/>
      <c r="L26" s="82">
        <v>1</v>
      </c>
      <c r="M26" s="82">
        <v>0</v>
      </c>
      <c r="N26" s="82">
        <v>1</v>
      </c>
      <c r="O26" s="82">
        <v>0</v>
      </c>
      <c r="P26" s="82">
        <v>0</v>
      </c>
      <c r="Q26" s="82">
        <v>0</v>
      </c>
      <c r="R26" s="83">
        <v>0</v>
      </c>
      <c r="S26" s="83">
        <v>1</v>
      </c>
      <c r="T26" s="83">
        <v>0</v>
      </c>
      <c r="U26" s="83">
        <v>0</v>
      </c>
      <c r="V26" s="83">
        <v>0</v>
      </c>
      <c r="W26" s="82">
        <v>0</v>
      </c>
      <c r="X26" s="82">
        <v>0</v>
      </c>
      <c r="Y26" s="83">
        <v>0</v>
      </c>
      <c r="Z26" s="84">
        <v>1</v>
      </c>
      <c r="AA26" s="82">
        <v>0</v>
      </c>
      <c r="AB26" s="82">
        <v>0</v>
      </c>
      <c r="AC26" s="82">
        <v>0</v>
      </c>
      <c r="AD26" s="82">
        <v>0</v>
      </c>
      <c r="AE26" s="82">
        <v>0</v>
      </c>
      <c r="AF26" s="84">
        <v>1</v>
      </c>
      <c r="AG26" s="84">
        <v>1</v>
      </c>
      <c r="AH26" s="85">
        <v>0</v>
      </c>
      <c r="AI26" s="85">
        <v>0</v>
      </c>
      <c r="AJ26" s="85">
        <v>0</v>
      </c>
      <c r="AK26" s="85">
        <v>0</v>
      </c>
      <c r="AL26" s="82">
        <v>0</v>
      </c>
      <c r="AM26" s="82">
        <v>0</v>
      </c>
      <c r="AN26" s="86">
        <v>0</v>
      </c>
      <c r="AO26" s="82">
        <v>0</v>
      </c>
      <c r="AP26" s="82">
        <v>0</v>
      </c>
      <c r="AQ26" s="82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2">
        <v>0</v>
      </c>
      <c r="AZ26" s="80"/>
      <c r="BA26" s="81"/>
      <c r="BB26" s="1">
        <f t="shared" si="0"/>
        <v>0</v>
      </c>
      <c r="BC26" s="6"/>
      <c r="BD26" s="47"/>
      <c r="BE26" s="5">
        <f t="shared" si="1"/>
        <v>0</v>
      </c>
      <c r="BF26" s="48"/>
      <c r="BG26" s="49"/>
      <c r="BH26" s="1">
        <f t="shared" si="2"/>
        <v>0</v>
      </c>
      <c r="BI26" s="50"/>
      <c r="BJ26" s="51"/>
      <c r="BK26" s="5">
        <f t="shared" si="3"/>
        <v>0</v>
      </c>
      <c r="BL26" s="48"/>
      <c r="BM26" s="49"/>
      <c r="BN26" s="1">
        <f t="shared" si="4"/>
        <v>0</v>
      </c>
      <c r="BO26" s="50"/>
      <c r="BP26" s="51"/>
      <c r="BQ26" s="5">
        <f t="shared" si="5"/>
        <v>0</v>
      </c>
      <c r="BR26" s="48"/>
      <c r="BS26" s="49"/>
      <c r="BT26" s="1">
        <f t="shared" si="6"/>
        <v>0</v>
      </c>
      <c r="BU26" s="50"/>
      <c r="BV26" s="51"/>
      <c r="BW26" s="5">
        <f t="shared" si="7"/>
        <v>0</v>
      </c>
      <c r="BX26" s="48"/>
      <c r="BY26" s="49"/>
      <c r="BZ26" s="2">
        <f t="shared" si="8"/>
        <v>0</v>
      </c>
      <c r="CA26" s="52"/>
    </row>
    <row r="27" spans="1:79" s="28" customFormat="1" ht="15.75">
      <c r="A27" s="57">
        <v>44684</v>
      </c>
      <c r="B27" s="58" t="s">
        <v>367</v>
      </c>
      <c r="C27" s="34">
        <v>7104306</v>
      </c>
      <c r="D27" s="34" t="s">
        <v>271</v>
      </c>
      <c r="E27" s="59" t="s">
        <v>272</v>
      </c>
      <c r="F27" s="8">
        <v>463.84500000000003</v>
      </c>
      <c r="G27" s="4">
        <v>0</v>
      </c>
      <c r="H27" s="54">
        <v>0</v>
      </c>
      <c r="I27" s="4">
        <v>0</v>
      </c>
      <c r="J27" s="3">
        <v>0</v>
      </c>
      <c r="K27" s="44"/>
      <c r="L27" s="82">
        <v>0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3">
        <v>0</v>
      </c>
      <c r="S27" s="83">
        <v>1</v>
      </c>
      <c r="T27" s="83">
        <v>0</v>
      </c>
      <c r="U27" s="83">
        <v>0</v>
      </c>
      <c r="V27" s="83">
        <v>0</v>
      </c>
      <c r="W27" s="82">
        <v>0</v>
      </c>
      <c r="X27" s="82">
        <v>0</v>
      </c>
      <c r="Y27" s="83">
        <v>0</v>
      </c>
      <c r="Z27" s="84">
        <v>0</v>
      </c>
      <c r="AA27" s="82">
        <v>0</v>
      </c>
      <c r="AB27" s="82">
        <v>0</v>
      </c>
      <c r="AC27" s="82">
        <v>0</v>
      </c>
      <c r="AD27" s="82">
        <v>0</v>
      </c>
      <c r="AE27" s="82">
        <v>0</v>
      </c>
      <c r="AF27" s="84">
        <v>0</v>
      </c>
      <c r="AG27" s="84">
        <v>0</v>
      </c>
      <c r="AH27" s="85">
        <v>0</v>
      </c>
      <c r="AI27" s="85">
        <v>0</v>
      </c>
      <c r="AJ27" s="85">
        <v>0</v>
      </c>
      <c r="AK27" s="85">
        <v>0</v>
      </c>
      <c r="AL27" s="82">
        <v>0</v>
      </c>
      <c r="AM27" s="82">
        <v>0</v>
      </c>
      <c r="AN27" s="86">
        <v>0</v>
      </c>
      <c r="AO27" s="82">
        <v>0</v>
      </c>
      <c r="AP27" s="82">
        <v>0</v>
      </c>
      <c r="AQ27" s="82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2">
        <v>0</v>
      </c>
      <c r="AZ27" s="80"/>
      <c r="BA27" s="81"/>
      <c r="BB27" s="1">
        <f t="shared" si="0"/>
        <v>0</v>
      </c>
      <c r="BC27" s="6"/>
      <c r="BD27" s="47"/>
      <c r="BE27" s="5">
        <f t="shared" si="1"/>
        <v>0</v>
      </c>
      <c r="BF27" s="48"/>
      <c r="BG27" s="49"/>
      <c r="BH27" s="1">
        <f t="shared" si="2"/>
        <v>0</v>
      </c>
      <c r="BI27" s="50"/>
      <c r="BJ27" s="51"/>
      <c r="BK27" s="5">
        <f t="shared" si="3"/>
        <v>0</v>
      </c>
      <c r="BL27" s="48"/>
      <c r="BM27" s="49"/>
      <c r="BN27" s="1">
        <f t="shared" si="4"/>
        <v>0</v>
      </c>
      <c r="BO27" s="50"/>
      <c r="BP27" s="51"/>
      <c r="BQ27" s="5">
        <f t="shared" si="5"/>
        <v>0</v>
      </c>
      <c r="BR27" s="48"/>
      <c r="BS27" s="49"/>
      <c r="BT27" s="1">
        <f t="shared" si="6"/>
        <v>0</v>
      </c>
      <c r="BU27" s="50"/>
      <c r="BV27" s="51"/>
      <c r="BW27" s="5">
        <f t="shared" si="7"/>
        <v>0</v>
      </c>
      <c r="BX27" s="48"/>
      <c r="BY27" s="49"/>
      <c r="BZ27" s="2">
        <f t="shared" si="8"/>
        <v>0</v>
      </c>
      <c r="CA27" s="52"/>
    </row>
    <row r="28" spans="1:79" s="28" customFormat="1" ht="15.75">
      <c r="A28" s="57">
        <v>44677</v>
      </c>
      <c r="B28" s="58" t="s">
        <v>397</v>
      </c>
      <c r="C28" s="34">
        <v>7104398</v>
      </c>
      <c r="D28" s="34" t="s">
        <v>240</v>
      </c>
      <c r="E28" s="59" t="s">
        <v>241</v>
      </c>
      <c r="F28" s="8">
        <v>466.14</v>
      </c>
      <c r="G28" s="4">
        <v>0</v>
      </c>
      <c r="H28" s="54">
        <v>0</v>
      </c>
      <c r="I28" s="4">
        <v>0</v>
      </c>
      <c r="J28" s="3">
        <v>0</v>
      </c>
      <c r="K28" s="44"/>
      <c r="L28" s="82">
        <v>1</v>
      </c>
      <c r="M28" s="82">
        <v>0</v>
      </c>
      <c r="N28" s="82">
        <v>1</v>
      </c>
      <c r="O28" s="82">
        <v>0</v>
      </c>
      <c r="P28" s="82">
        <v>0</v>
      </c>
      <c r="Q28" s="82">
        <v>0</v>
      </c>
      <c r="R28" s="83">
        <v>0</v>
      </c>
      <c r="S28" s="83">
        <v>1</v>
      </c>
      <c r="T28" s="83">
        <v>0</v>
      </c>
      <c r="U28" s="83">
        <v>0</v>
      </c>
      <c r="V28" s="83">
        <v>0</v>
      </c>
      <c r="W28" s="82">
        <v>0</v>
      </c>
      <c r="X28" s="82">
        <v>0</v>
      </c>
      <c r="Y28" s="83">
        <v>0</v>
      </c>
      <c r="Z28" s="84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1</v>
      </c>
      <c r="AF28" s="84">
        <v>0</v>
      </c>
      <c r="AG28" s="84">
        <v>0</v>
      </c>
      <c r="AH28" s="85">
        <v>0</v>
      </c>
      <c r="AI28" s="85">
        <v>0</v>
      </c>
      <c r="AJ28" s="85">
        <v>0</v>
      </c>
      <c r="AK28" s="85">
        <v>0</v>
      </c>
      <c r="AL28" s="82">
        <v>0</v>
      </c>
      <c r="AM28" s="82">
        <v>0</v>
      </c>
      <c r="AN28" s="86">
        <v>0</v>
      </c>
      <c r="AO28" s="82">
        <v>0</v>
      </c>
      <c r="AP28" s="82">
        <v>0</v>
      </c>
      <c r="AQ28" s="82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2">
        <v>0</v>
      </c>
      <c r="AZ28" s="80"/>
      <c r="BA28" s="81"/>
      <c r="BB28" s="1">
        <f t="shared" si="0"/>
        <v>0</v>
      </c>
      <c r="BC28" s="6"/>
      <c r="BD28" s="47"/>
      <c r="BE28" s="5">
        <f t="shared" si="1"/>
        <v>0</v>
      </c>
      <c r="BF28" s="48"/>
      <c r="BG28" s="49"/>
      <c r="BH28" s="1">
        <f t="shared" si="2"/>
        <v>0</v>
      </c>
      <c r="BI28" s="50"/>
      <c r="BJ28" s="51"/>
      <c r="BK28" s="5">
        <f t="shared" si="3"/>
        <v>0</v>
      </c>
      <c r="BL28" s="48"/>
      <c r="BM28" s="49"/>
      <c r="BN28" s="1">
        <f t="shared" si="4"/>
        <v>0</v>
      </c>
      <c r="BO28" s="50"/>
      <c r="BP28" s="51"/>
      <c r="BQ28" s="5">
        <f t="shared" si="5"/>
        <v>0</v>
      </c>
      <c r="BR28" s="48"/>
      <c r="BS28" s="49"/>
      <c r="BT28" s="1">
        <f t="shared" si="6"/>
        <v>0</v>
      </c>
      <c r="BU28" s="50"/>
      <c r="BV28" s="51"/>
      <c r="BW28" s="5">
        <f t="shared" si="7"/>
        <v>0</v>
      </c>
      <c r="BX28" s="48"/>
      <c r="BY28" s="49"/>
      <c r="BZ28" s="2">
        <f t="shared" si="8"/>
        <v>0</v>
      </c>
      <c r="CA28" s="52"/>
    </row>
    <row r="29" spans="1:79" ht="15.75">
      <c r="A29" s="57">
        <v>44684</v>
      </c>
      <c r="B29" s="58" t="s">
        <v>361</v>
      </c>
      <c r="C29" s="34">
        <v>7104693</v>
      </c>
      <c r="D29" s="34" t="s">
        <v>110</v>
      </c>
      <c r="E29" s="59" t="s">
        <v>241</v>
      </c>
      <c r="F29" s="8">
        <v>466.46950000000004</v>
      </c>
      <c r="G29" s="4">
        <v>0</v>
      </c>
      <c r="H29" s="54">
        <v>0</v>
      </c>
      <c r="I29" s="4">
        <v>0</v>
      </c>
      <c r="J29" s="3">
        <v>0</v>
      </c>
      <c r="K29" s="44"/>
      <c r="L29" s="82">
        <v>0</v>
      </c>
      <c r="M29" s="82">
        <v>0</v>
      </c>
      <c r="N29" s="82">
        <v>0</v>
      </c>
      <c r="O29" s="82">
        <v>0</v>
      </c>
      <c r="P29" s="82">
        <v>0</v>
      </c>
      <c r="Q29" s="82">
        <v>0</v>
      </c>
      <c r="R29" s="83">
        <v>0</v>
      </c>
      <c r="S29" s="83">
        <v>1</v>
      </c>
      <c r="T29" s="83">
        <v>0</v>
      </c>
      <c r="U29" s="83">
        <v>0</v>
      </c>
      <c r="V29" s="83">
        <v>0</v>
      </c>
      <c r="W29" s="82">
        <v>0</v>
      </c>
      <c r="X29" s="82">
        <v>0</v>
      </c>
      <c r="Y29" s="83">
        <v>0</v>
      </c>
      <c r="Z29" s="84">
        <v>0</v>
      </c>
      <c r="AA29" s="82">
        <v>0</v>
      </c>
      <c r="AB29" s="82">
        <v>0</v>
      </c>
      <c r="AC29" s="82">
        <v>0</v>
      </c>
      <c r="AD29" s="82">
        <v>0</v>
      </c>
      <c r="AE29" s="82">
        <v>0</v>
      </c>
      <c r="AF29" s="84">
        <v>0</v>
      </c>
      <c r="AG29" s="84">
        <v>0</v>
      </c>
      <c r="AH29" s="85">
        <v>0</v>
      </c>
      <c r="AI29" s="85">
        <v>0</v>
      </c>
      <c r="AJ29" s="85">
        <v>0</v>
      </c>
      <c r="AK29" s="85">
        <v>0</v>
      </c>
      <c r="AL29" s="82">
        <v>0</v>
      </c>
      <c r="AM29" s="82">
        <v>0</v>
      </c>
      <c r="AN29" s="86">
        <v>0</v>
      </c>
      <c r="AO29" s="82">
        <v>0</v>
      </c>
      <c r="AP29" s="82">
        <v>0</v>
      </c>
      <c r="AQ29" s="82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2">
        <v>0</v>
      </c>
      <c r="AZ29" s="80"/>
      <c r="BA29" s="81"/>
      <c r="BB29" s="1">
        <f t="shared" si="0"/>
        <v>0</v>
      </c>
      <c r="BC29" s="6"/>
      <c r="BD29" s="47"/>
      <c r="BE29" s="5">
        <f t="shared" si="1"/>
        <v>0</v>
      </c>
      <c r="BF29" s="48"/>
      <c r="BG29" s="49"/>
      <c r="BH29" s="1">
        <f t="shared" si="2"/>
        <v>0</v>
      </c>
      <c r="BI29" s="50"/>
      <c r="BJ29" s="51"/>
      <c r="BK29" s="5">
        <f t="shared" si="3"/>
        <v>0</v>
      </c>
      <c r="BL29" s="48"/>
      <c r="BM29" s="49"/>
      <c r="BN29" s="1">
        <f t="shared" si="4"/>
        <v>0</v>
      </c>
      <c r="BO29" s="50"/>
      <c r="BP29" s="51"/>
      <c r="BQ29" s="5">
        <f t="shared" si="5"/>
        <v>0</v>
      </c>
      <c r="BR29" s="48"/>
      <c r="BS29" s="49"/>
      <c r="BT29" s="1">
        <f t="shared" si="6"/>
        <v>0</v>
      </c>
      <c r="BU29" s="50"/>
      <c r="BV29" s="51"/>
      <c r="BW29" s="5">
        <f t="shared" si="7"/>
        <v>0</v>
      </c>
      <c r="BX29" s="48"/>
      <c r="BY29" s="49"/>
      <c r="BZ29" s="2">
        <f t="shared" si="8"/>
        <v>0</v>
      </c>
      <c r="CA29" s="52"/>
    </row>
    <row r="30" spans="1:79" ht="15.75">
      <c r="A30" s="57">
        <v>43811</v>
      </c>
      <c r="B30" s="58" t="s">
        <v>391</v>
      </c>
      <c r="C30" s="34">
        <v>7077883</v>
      </c>
      <c r="D30" s="34" t="s">
        <v>76</v>
      </c>
      <c r="E30" s="59" t="s">
        <v>77</v>
      </c>
      <c r="F30" s="8">
        <v>469</v>
      </c>
      <c r="G30" s="4">
        <v>0</v>
      </c>
      <c r="H30" s="54">
        <v>0</v>
      </c>
      <c r="I30" s="4">
        <v>0</v>
      </c>
      <c r="J30" s="3">
        <v>0</v>
      </c>
      <c r="K30" s="44"/>
      <c r="L30" s="82">
        <v>1</v>
      </c>
      <c r="M30" s="82">
        <v>0</v>
      </c>
      <c r="N30" s="82">
        <v>0</v>
      </c>
      <c r="O30" s="82">
        <v>1</v>
      </c>
      <c r="P30" s="82">
        <v>0</v>
      </c>
      <c r="Q30" s="82">
        <v>0</v>
      </c>
      <c r="R30" s="83">
        <v>0</v>
      </c>
      <c r="S30" s="83">
        <v>1</v>
      </c>
      <c r="T30" s="83">
        <v>1</v>
      </c>
      <c r="U30" s="83">
        <v>0</v>
      </c>
      <c r="V30" s="83">
        <v>0</v>
      </c>
      <c r="W30" s="82">
        <v>0</v>
      </c>
      <c r="X30" s="82">
        <v>0</v>
      </c>
      <c r="Y30" s="83">
        <v>0</v>
      </c>
      <c r="Z30" s="84">
        <v>0</v>
      </c>
      <c r="AA30" s="82">
        <v>0</v>
      </c>
      <c r="AB30" s="82">
        <v>0</v>
      </c>
      <c r="AC30" s="82">
        <v>0</v>
      </c>
      <c r="AD30" s="82">
        <v>0</v>
      </c>
      <c r="AE30" s="82">
        <v>0</v>
      </c>
      <c r="AF30" s="84">
        <v>1</v>
      </c>
      <c r="AG30" s="84">
        <v>1</v>
      </c>
      <c r="AH30" s="85">
        <v>0</v>
      </c>
      <c r="AI30" s="85">
        <v>0</v>
      </c>
      <c r="AJ30" s="85">
        <v>0</v>
      </c>
      <c r="AK30" s="85">
        <v>0</v>
      </c>
      <c r="AL30" s="82">
        <v>0</v>
      </c>
      <c r="AM30" s="82">
        <v>0</v>
      </c>
      <c r="AN30" s="86">
        <v>0</v>
      </c>
      <c r="AO30" s="82">
        <v>0</v>
      </c>
      <c r="AP30" s="82">
        <v>0</v>
      </c>
      <c r="AQ30" s="82">
        <v>0</v>
      </c>
      <c r="AR30" s="87">
        <v>1</v>
      </c>
      <c r="AS30" s="87">
        <v>0</v>
      </c>
      <c r="AT30" s="87">
        <v>0</v>
      </c>
      <c r="AU30" s="87">
        <v>0</v>
      </c>
      <c r="AV30" s="87">
        <v>0</v>
      </c>
      <c r="AW30" s="87">
        <v>0</v>
      </c>
      <c r="AX30" s="87">
        <v>0</v>
      </c>
      <c r="AY30" s="82">
        <v>0</v>
      </c>
      <c r="AZ30" s="80"/>
      <c r="BA30" s="81"/>
      <c r="BB30" s="1">
        <f t="shared" si="0"/>
        <v>0</v>
      </c>
      <c r="BC30" s="6"/>
      <c r="BD30" s="47"/>
      <c r="BE30" s="5">
        <f t="shared" si="1"/>
        <v>0</v>
      </c>
      <c r="BF30" s="48"/>
      <c r="BG30" s="49"/>
      <c r="BH30" s="1">
        <f t="shared" si="2"/>
        <v>0</v>
      </c>
      <c r="BI30" s="50"/>
      <c r="BJ30" s="51"/>
      <c r="BK30" s="5">
        <f t="shared" si="3"/>
        <v>0</v>
      </c>
      <c r="BL30" s="48"/>
      <c r="BM30" s="49"/>
      <c r="BN30" s="1">
        <f t="shared" si="4"/>
        <v>0</v>
      </c>
      <c r="BO30" s="50"/>
      <c r="BP30" s="51"/>
      <c r="BQ30" s="5">
        <f t="shared" si="5"/>
        <v>0</v>
      </c>
      <c r="BR30" s="48"/>
      <c r="BS30" s="49"/>
      <c r="BT30" s="1">
        <f t="shared" si="6"/>
        <v>0</v>
      </c>
      <c r="BU30" s="50"/>
      <c r="BV30" s="51"/>
      <c r="BW30" s="5">
        <f t="shared" si="7"/>
        <v>0</v>
      </c>
      <c r="BX30" s="48"/>
      <c r="BY30" s="49"/>
      <c r="BZ30" s="2">
        <f t="shared" si="8"/>
        <v>0</v>
      </c>
      <c r="CA30" s="52"/>
    </row>
    <row r="31" spans="1:79" ht="15.75">
      <c r="A31" s="57">
        <v>44607</v>
      </c>
      <c r="B31" s="58" t="s">
        <v>390</v>
      </c>
      <c r="C31" s="55">
        <v>7104444</v>
      </c>
      <c r="D31" s="61" t="s">
        <v>200</v>
      </c>
      <c r="E31" s="61" t="s">
        <v>201</v>
      </c>
      <c r="F31" s="8">
        <v>477.82900000000006</v>
      </c>
      <c r="G31" s="4">
        <v>0</v>
      </c>
      <c r="H31" s="54">
        <v>0</v>
      </c>
      <c r="I31" s="4">
        <v>0</v>
      </c>
      <c r="J31" s="3">
        <v>0</v>
      </c>
      <c r="K31" s="44"/>
      <c r="L31" s="82">
        <v>1</v>
      </c>
      <c r="M31" s="82">
        <v>0</v>
      </c>
      <c r="N31" s="82">
        <v>1</v>
      </c>
      <c r="O31" s="82">
        <v>0</v>
      </c>
      <c r="P31" s="82">
        <v>0</v>
      </c>
      <c r="Q31" s="82">
        <v>0</v>
      </c>
      <c r="R31" s="83">
        <v>0</v>
      </c>
      <c r="S31" s="83">
        <v>0</v>
      </c>
      <c r="T31" s="83">
        <v>0</v>
      </c>
      <c r="U31" s="83">
        <v>0</v>
      </c>
      <c r="V31" s="83">
        <v>0</v>
      </c>
      <c r="W31" s="82">
        <v>0</v>
      </c>
      <c r="X31" s="82">
        <v>0</v>
      </c>
      <c r="Y31" s="83">
        <v>0</v>
      </c>
      <c r="Z31" s="84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4">
        <v>0</v>
      </c>
      <c r="AG31" s="84">
        <v>0</v>
      </c>
      <c r="AH31" s="85">
        <v>0</v>
      </c>
      <c r="AI31" s="85">
        <v>0</v>
      </c>
      <c r="AJ31" s="85">
        <v>0</v>
      </c>
      <c r="AK31" s="85">
        <v>0</v>
      </c>
      <c r="AL31" s="82">
        <v>0</v>
      </c>
      <c r="AM31" s="82">
        <v>0</v>
      </c>
      <c r="AN31" s="86">
        <v>0</v>
      </c>
      <c r="AO31" s="82">
        <v>0</v>
      </c>
      <c r="AP31" s="82">
        <v>0</v>
      </c>
      <c r="AQ31" s="82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2">
        <v>0</v>
      </c>
      <c r="AZ31" s="80"/>
      <c r="BA31" s="81"/>
      <c r="BB31" s="1">
        <f t="shared" si="0"/>
        <v>0</v>
      </c>
      <c r="BC31" s="6"/>
      <c r="BD31" s="47"/>
      <c r="BE31" s="5">
        <f t="shared" si="1"/>
        <v>0</v>
      </c>
      <c r="BF31" s="48"/>
      <c r="BG31" s="49"/>
      <c r="BH31" s="1">
        <f t="shared" si="2"/>
        <v>0</v>
      </c>
      <c r="BI31" s="50"/>
      <c r="BJ31" s="51"/>
      <c r="BK31" s="5">
        <f t="shared" si="3"/>
        <v>0</v>
      </c>
      <c r="BL31" s="48"/>
      <c r="BM31" s="49"/>
      <c r="BN31" s="1">
        <f t="shared" si="4"/>
        <v>0</v>
      </c>
      <c r="BO31" s="50"/>
      <c r="BP31" s="51"/>
      <c r="BQ31" s="5">
        <f t="shared" si="5"/>
        <v>0</v>
      </c>
      <c r="BR31" s="48"/>
      <c r="BS31" s="49"/>
      <c r="BT31" s="1">
        <f t="shared" si="6"/>
        <v>0</v>
      </c>
      <c r="BU31" s="50"/>
      <c r="BV31" s="51"/>
      <c r="BW31" s="5">
        <f t="shared" si="7"/>
        <v>0</v>
      </c>
      <c r="BX31" s="48"/>
      <c r="BY31" s="49"/>
      <c r="BZ31" s="2">
        <f t="shared" si="8"/>
        <v>0</v>
      </c>
      <c r="CA31" s="52"/>
    </row>
    <row r="32" spans="1:79" ht="15.75">
      <c r="A32" s="57">
        <v>44684</v>
      </c>
      <c r="B32" s="58" t="s">
        <v>387</v>
      </c>
      <c r="C32" s="34">
        <v>7104331</v>
      </c>
      <c r="D32" s="34" t="s">
        <v>265</v>
      </c>
      <c r="E32" s="59" t="s">
        <v>78</v>
      </c>
      <c r="F32" s="8">
        <v>478.34500000000003</v>
      </c>
      <c r="G32" s="4">
        <v>0</v>
      </c>
      <c r="H32" s="54">
        <v>0</v>
      </c>
      <c r="I32" s="4">
        <v>0</v>
      </c>
      <c r="J32" s="3">
        <v>0</v>
      </c>
      <c r="K32" s="44"/>
      <c r="L32" s="82">
        <v>0</v>
      </c>
      <c r="M32" s="82">
        <v>0</v>
      </c>
      <c r="N32" s="82">
        <v>1</v>
      </c>
      <c r="O32" s="82">
        <v>0</v>
      </c>
      <c r="P32" s="82">
        <v>0</v>
      </c>
      <c r="Q32" s="82">
        <v>0</v>
      </c>
      <c r="R32" s="83">
        <v>0</v>
      </c>
      <c r="S32" s="83">
        <v>1</v>
      </c>
      <c r="T32" s="83">
        <v>0</v>
      </c>
      <c r="U32" s="83">
        <v>0</v>
      </c>
      <c r="V32" s="83">
        <v>0</v>
      </c>
      <c r="W32" s="82">
        <v>0</v>
      </c>
      <c r="X32" s="82">
        <v>0</v>
      </c>
      <c r="Y32" s="83">
        <v>0</v>
      </c>
      <c r="Z32" s="84">
        <v>0</v>
      </c>
      <c r="AA32" s="82">
        <v>0</v>
      </c>
      <c r="AB32" s="82">
        <v>0</v>
      </c>
      <c r="AC32" s="82">
        <v>0</v>
      </c>
      <c r="AD32" s="82">
        <v>0</v>
      </c>
      <c r="AE32" s="82">
        <v>0</v>
      </c>
      <c r="AF32" s="84">
        <v>0</v>
      </c>
      <c r="AG32" s="84">
        <v>0</v>
      </c>
      <c r="AH32" s="85">
        <v>0</v>
      </c>
      <c r="AI32" s="85">
        <v>0</v>
      </c>
      <c r="AJ32" s="85">
        <v>0</v>
      </c>
      <c r="AK32" s="85">
        <v>0</v>
      </c>
      <c r="AL32" s="82">
        <v>0</v>
      </c>
      <c r="AM32" s="82">
        <v>0</v>
      </c>
      <c r="AN32" s="86">
        <v>0</v>
      </c>
      <c r="AO32" s="82">
        <v>0</v>
      </c>
      <c r="AP32" s="82">
        <v>0</v>
      </c>
      <c r="AQ32" s="82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2">
        <v>0</v>
      </c>
      <c r="AZ32" s="80"/>
      <c r="BA32" s="81"/>
      <c r="BB32" s="1">
        <f t="shared" si="0"/>
        <v>0</v>
      </c>
      <c r="BC32" s="6"/>
      <c r="BD32" s="47"/>
      <c r="BE32" s="5">
        <f t="shared" si="1"/>
        <v>0</v>
      </c>
      <c r="BF32" s="48"/>
      <c r="BG32" s="49"/>
      <c r="BH32" s="1">
        <f t="shared" si="2"/>
        <v>0</v>
      </c>
      <c r="BI32" s="50"/>
      <c r="BJ32" s="51"/>
      <c r="BK32" s="5">
        <f t="shared" si="3"/>
        <v>0</v>
      </c>
      <c r="BL32" s="48"/>
      <c r="BM32" s="49"/>
      <c r="BN32" s="1">
        <f t="shared" si="4"/>
        <v>0</v>
      </c>
      <c r="BO32" s="50"/>
      <c r="BP32" s="51"/>
      <c r="BQ32" s="5">
        <f t="shared" si="5"/>
        <v>0</v>
      </c>
      <c r="BR32" s="48"/>
      <c r="BS32" s="49"/>
      <c r="BT32" s="1">
        <f t="shared" si="6"/>
        <v>0</v>
      </c>
      <c r="BU32" s="50"/>
      <c r="BV32" s="51"/>
      <c r="BW32" s="5">
        <f t="shared" si="7"/>
        <v>0</v>
      </c>
      <c r="BX32" s="48"/>
      <c r="BY32" s="49"/>
      <c r="BZ32" s="2">
        <f t="shared" si="8"/>
        <v>0</v>
      </c>
      <c r="CA32" s="52"/>
    </row>
    <row r="33" spans="1:79" ht="15.75">
      <c r="A33" s="57">
        <v>44712</v>
      </c>
      <c r="B33" s="58" t="s">
        <v>389</v>
      </c>
      <c r="C33" s="34">
        <v>7104882</v>
      </c>
      <c r="D33" s="34" t="s">
        <v>303</v>
      </c>
      <c r="E33" s="59" t="s">
        <v>314</v>
      </c>
      <c r="F33" s="8">
        <v>480.55</v>
      </c>
      <c r="G33" s="4">
        <v>0</v>
      </c>
      <c r="H33" s="54">
        <v>0</v>
      </c>
      <c r="I33" s="4">
        <v>0</v>
      </c>
      <c r="J33" s="3">
        <v>0</v>
      </c>
      <c r="K33" s="44"/>
      <c r="L33" s="82">
        <v>1</v>
      </c>
      <c r="M33" s="82">
        <v>0</v>
      </c>
      <c r="N33" s="82">
        <v>1</v>
      </c>
      <c r="O33" s="82">
        <v>1</v>
      </c>
      <c r="P33" s="82">
        <v>0</v>
      </c>
      <c r="Q33" s="82">
        <v>0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2">
        <v>0</v>
      </c>
      <c r="X33" s="82">
        <v>0</v>
      </c>
      <c r="Y33" s="83">
        <v>0</v>
      </c>
      <c r="Z33" s="84">
        <v>0</v>
      </c>
      <c r="AA33" s="82">
        <v>0</v>
      </c>
      <c r="AB33" s="82">
        <v>0</v>
      </c>
      <c r="AC33" s="82">
        <v>0</v>
      </c>
      <c r="AD33" s="82">
        <v>0</v>
      </c>
      <c r="AE33" s="82">
        <v>0</v>
      </c>
      <c r="AF33" s="84">
        <v>0</v>
      </c>
      <c r="AG33" s="84">
        <v>0</v>
      </c>
      <c r="AH33" s="85">
        <v>0</v>
      </c>
      <c r="AI33" s="85">
        <v>0</v>
      </c>
      <c r="AJ33" s="85">
        <v>0</v>
      </c>
      <c r="AK33" s="85">
        <v>0</v>
      </c>
      <c r="AL33" s="82">
        <v>0</v>
      </c>
      <c r="AM33" s="82">
        <v>0</v>
      </c>
      <c r="AN33" s="86">
        <v>0</v>
      </c>
      <c r="AO33" s="82">
        <v>0</v>
      </c>
      <c r="AP33" s="82">
        <v>0</v>
      </c>
      <c r="AQ33" s="82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2">
        <v>0</v>
      </c>
      <c r="AZ33" s="80"/>
      <c r="BA33" s="81"/>
      <c r="BB33" s="1">
        <f t="shared" si="0"/>
        <v>0</v>
      </c>
      <c r="BC33" s="6"/>
      <c r="BD33" s="47"/>
      <c r="BE33" s="5">
        <f t="shared" si="1"/>
        <v>0</v>
      </c>
      <c r="BF33" s="48"/>
      <c r="BG33" s="49"/>
      <c r="BH33" s="1">
        <f t="shared" si="2"/>
        <v>0</v>
      </c>
      <c r="BI33" s="50"/>
      <c r="BJ33" s="51"/>
      <c r="BK33" s="5">
        <f t="shared" si="3"/>
        <v>0</v>
      </c>
      <c r="BL33" s="48"/>
      <c r="BM33" s="49"/>
      <c r="BN33" s="1">
        <f t="shared" si="4"/>
        <v>0</v>
      </c>
      <c r="BO33" s="50"/>
      <c r="BP33" s="51"/>
      <c r="BQ33" s="5">
        <f t="shared" si="5"/>
        <v>0</v>
      </c>
      <c r="BR33" s="48"/>
      <c r="BS33" s="49"/>
      <c r="BT33" s="1">
        <f t="shared" si="6"/>
        <v>0</v>
      </c>
      <c r="BU33" s="50"/>
      <c r="BV33" s="51"/>
      <c r="BW33" s="5">
        <f t="shared" si="7"/>
        <v>0</v>
      </c>
      <c r="BX33" s="48"/>
      <c r="BY33" s="49"/>
      <c r="BZ33" s="2">
        <f t="shared" si="8"/>
        <v>0</v>
      </c>
      <c r="CA33" s="52"/>
    </row>
    <row r="34" spans="1:79" ht="15.75">
      <c r="A34" s="57">
        <v>44712</v>
      </c>
      <c r="B34" s="58" t="s">
        <v>390</v>
      </c>
      <c r="C34" s="34">
        <v>7104857</v>
      </c>
      <c r="D34" s="34" t="s">
        <v>304</v>
      </c>
      <c r="E34" s="59" t="s">
        <v>315</v>
      </c>
      <c r="F34" s="8">
        <v>480.55</v>
      </c>
      <c r="G34" s="4">
        <v>0</v>
      </c>
      <c r="H34" s="54">
        <v>0</v>
      </c>
      <c r="I34" s="4">
        <v>0</v>
      </c>
      <c r="J34" s="3">
        <v>0</v>
      </c>
      <c r="K34" s="44"/>
      <c r="L34" s="82">
        <v>0</v>
      </c>
      <c r="M34" s="82">
        <v>0</v>
      </c>
      <c r="N34" s="82">
        <v>0</v>
      </c>
      <c r="O34" s="82">
        <v>0</v>
      </c>
      <c r="P34" s="82">
        <v>0</v>
      </c>
      <c r="Q34" s="82">
        <v>0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2">
        <v>0</v>
      </c>
      <c r="X34" s="82">
        <v>0</v>
      </c>
      <c r="Y34" s="83">
        <v>0</v>
      </c>
      <c r="Z34" s="84">
        <v>0</v>
      </c>
      <c r="AA34" s="82">
        <v>0</v>
      </c>
      <c r="AB34" s="82">
        <v>0</v>
      </c>
      <c r="AC34" s="82">
        <v>0</v>
      </c>
      <c r="AD34" s="82">
        <v>0</v>
      </c>
      <c r="AE34" s="82">
        <v>0</v>
      </c>
      <c r="AF34" s="84">
        <v>0</v>
      </c>
      <c r="AG34" s="84">
        <v>0</v>
      </c>
      <c r="AH34" s="85">
        <v>0</v>
      </c>
      <c r="AI34" s="85">
        <v>0</v>
      </c>
      <c r="AJ34" s="85">
        <v>0</v>
      </c>
      <c r="AK34" s="85">
        <v>0</v>
      </c>
      <c r="AL34" s="82">
        <v>0</v>
      </c>
      <c r="AM34" s="82">
        <v>0</v>
      </c>
      <c r="AN34" s="86">
        <v>0</v>
      </c>
      <c r="AO34" s="82">
        <v>0</v>
      </c>
      <c r="AP34" s="82">
        <v>0</v>
      </c>
      <c r="AQ34" s="82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1</v>
      </c>
      <c r="AY34" s="82">
        <v>0</v>
      </c>
      <c r="AZ34" s="80"/>
      <c r="BA34" s="81"/>
      <c r="BB34" s="1">
        <f t="shared" si="0"/>
        <v>0</v>
      </c>
      <c r="BC34" s="6"/>
      <c r="BD34" s="47"/>
      <c r="BE34" s="5">
        <f t="shared" si="1"/>
        <v>0</v>
      </c>
      <c r="BF34" s="48"/>
      <c r="BG34" s="49"/>
      <c r="BH34" s="1">
        <f t="shared" si="2"/>
        <v>0</v>
      </c>
      <c r="BI34" s="50"/>
      <c r="BJ34" s="51"/>
      <c r="BK34" s="5">
        <f t="shared" si="3"/>
        <v>0</v>
      </c>
      <c r="BL34" s="48"/>
      <c r="BM34" s="49"/>
      <c r="BN34" s="1">
        <f t="shared" si="4"/>
        <v>0</v>
      </c>
      <c r="BO34" s="50"/>
      <c r="BP34" s="51"/>
      <c r="BQ34" s="5">
        <f t="shared" si="5"/>
        <v>0</v>
      </c>
      <c r="BR34" s="48"/>
      <c r="BS34" s="49"/>
      <c r="BT34" s="1">
        <f t="shared" si="6"/>
        <v>0</v>
      </c>
      <c r="BU34" s="50"/>
      <c r="BV34" s="51"/>
      <c r="BW34" s="5">
        <f t="shared" si="7"/>
        <v>0</v>
      </c>
      <c r="BX34" s="48"/>
      <c r="BY34" s="49"/>
      <c r="BZ34" s="2">
        <f t="shared" si="8"/>
        <v>0</v>
      </c>
      <c r="CA34" s="52"/>
    </row>
    <row r="35" spans="1:79" ht="15.75">
      <c r="A35" s="57">
        <v>44712</v>
      </c>
      <c r="B35" s="58" t="s">
        <v>389</v>
      </c>
      <c r="C35" s="34">
        <v>7104846</v>
      </c>
      <c r="D35" s="34" t="s">
        <v>293</v>
      </c>
      <c r="E35" s="59" t="s">
        <v>356</v>
      </c>
      <c r="F35" s="8">
        <v>480.55</v>
      </c>
      <c r="G35" s="4">
        <v>0</v>
      </c>
      <c r="H35" s="54">
        <v>0</v>
      </c>
      <c r="I35" s="4">
        <v>0</v>
      </c>
      <c r="J35" s="3">
        <v>0</v>
      </c>
      <c r="K35" s="44"/>
      <c r="L35" s="82">
        <v>0</v>
      </c>
      <c r="M35" s="82">
        <v>0</v>
      </c>
      <c r="N35" s="82">
        <v>0</v>
      </c>
      <c r="O35" s="82">
        <v>0</v>
      </c>
      <c r="P35" s="82">
        <v>0</v>
      </c>
      <c r="Q35" s="82">
        <v>0</v>
      </c>
      <c r="R35" s="83">
        <v>0</v>
      </c>
      <c r="S35" s="83">
        <v>0</v>
      </c>
      <c r="T35" s="83">
        <v>0</v>
      </c>
      <c r="U35" s="83">
        <v>0</v>
      </c>
      <c r="V35" s="83">
        <v>0</v>
      </c>
      <c r="W35" s="82">
        <v>0</v>
      </c>
      <c r="X35" s="82">
        <v>0</v>
      </c>
      <c r="Y35" s="83">
        <v>0</v>
      </c>
      <c r="Z35" s="84">
        <v>0</v>
      </c>
      <c r="AA35" s="82">
        <v>0</v>
      </c>
      <c r="AB35" s="82">
        <v>0</v>
      </c>
      <c r="AC35" s="82">
        <v>0</v>
      </c>
      <c r="AD35" s="82">
        <v>0</v>
      </c>
      <c r="AE35" s="82">
        <v>0</v>
      </c>
      <c r="AF35" s="84">
        <v>0</v>
      </c>
      <c r="AG35" s="84">
        <v>0</v>
      </c>
      <c r="AH35" s="85">
        <v>0</v>
      </c>
      <c r="AI35" s="85">
        <v>0</v>
      </c>
      <c r="AJ35" s="85">
        <v>0</v>
      </c>
      <c r="AK35" s="85">
        <v>0</v>
      </c>
      <c r="AL35" s="82">
        <v>0</v>
      </c>
      <c r="AM35" s="82">
        <v>0</v>
      </c>
      <c r="AN35" s="86">
        <v>0</v>
      </c>
      <c r="AO35" s="82">
        <v>0</v>
      </c>
      <c r="AP35" s="82">
        <v>0</v>
      </c>
      <c r="AQ35" s="82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2">
        <v>0</v>
      </c>
      <c r="AZ35" s="80"/>
      <c r="BA35" s="81"/>
      <c r="BB35" s="1">
        <f t="shared" si="0"/>
        <v>0</v>
      </c>
      <c r="BC35" s="6"/>
      <c r="BD35" s="47"/>
      <c r="BE35" s="5">
        <f t="shared" si="1"/>
        <v>0</v>
      </c>
      <c r="BF35" s="48"/>
      <c r="BG35" s="49"/>
      <c r="BH35" s="1">
        <f t="shared" si="2"/>
        <v>0</v>
      </c>
      <c r="BI35" s="50"/>
      <c r="BJ35" s="51"/>
      <c r="BK35" s="5">
        <f t="shared" si="3"/>
        <v>0</v>
      </c>
      <c r="BL35" s="48"/>
      <c r="BM35" s="49"/>
      <c r="BN35" s="1">
        <f t="shared" si="4"/>
        <v>0</v>
      </c>
      <c r="BO35" s="50"/>
      <c r="BP35" s="51"/>
      <c r="BQ35" s="5">
        <f t="shared" si="5"/>
        <v>0</v>
      </c>
      <c r="BR35" s="48"/>
      <c r="BS35" s="49"/>
      <c r="BT35" s="1">
        <f t="shared" si="6"/>
        <v>0</v>
      </c>
      <c r="BU35" s="50"/>
      <c r="BV35" s="51"/>
      <c r="BW35" s="5">
        <f t="shared" si="7"/>
        <v>0</v>
      </c>
      <c r="BX35" s="48"/>
      <c r="BY35" s="49"/>
      <c r="BZ35" s="2">
        <f t="shared" si="8"/>
        <v>0</v>
      </c>
      <c r="CA35" s="52"/>
    </row>
    <row r="36" spans="1:79" ht="15.75">
      <c r="A36" s="57">
        <v>44712</v>
      </c>
      <c r="B36" s="58" t="s">
        <v>388</v>
      </c>
      <c r="C36" s="34">
        <v>7104871</v>
      </c>
      <c r="D36" s="34" t="s">
        <v>294</v>
      </c>
      <c r="E36" s="59" t="s">
        <v>301</v>
      </c>
      <c r="F36" s="8">
        <v>480.55</v>
      </c>
      <c r="G36" s="4">
        <v>0</v>
      </c>
      <c r="H36" s="54">
        <v>0</v>
      </c>
      <c r="I36" s="4">
        <v>0</v>
      </c>
      <c r="J36" s="3">
        <v>0</v>
      </c>
      <c r="K36" s="44"/>
      <c r="L36" s="82">
        <v>0</v>
      </c>
      <c r="M36" s="82">
        <v>0</v>
      </c>
      <c r="N36" s="82">
        <v>1</v>
      </c>
      <c r="O36" s="82">
        <v>1</v>
      </c>
      <c r="P36" s="82">
        <v>0</v>
      </c>
      <c r="Q36" s="82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2">
        <v>0</v>
      </c>
      <c r="X36" s="82">
        <v>0</v>
      </c>
      <c r="Y36" s="83">
        <v>0</v>
      </c>
      <c r="Z36" s="84">
        <v>0</v>
      </c>
      <c r="AA36" s="82">
        <v>0</v>
      </c>
      <c r="AB36" s="82">
        <v>0</v>
      </c>
      <c r="AC36" s="82">
        <v>0</v>
      </c>
      <c r="AD36" s="82">
        <v>0</v>
      </c>
      <c r="AE36" s="82">
        <v>0</v>
      </c>
      <c r="AF36" s="84">
        <v>0</v>
      </c>
      <c r="AG36" s="84">
        <v>0</v>
      </c>
      <c r="AH36" s="85">
        <v>0</v>
      </c>
      <c r="AI36" s="85">
        <v>0</v>
      </c>
      <c r="AJ36" s="85">
        <v>0</v>
      </c>
      <c r="AK36" s="85">
        <v>0</v>
      </c>
      <c r="AL36" s="82">
        <v>0</v>
      </c>
      <c r="AM36" s="82">
        <v>0</v>
      </c>
      <c r="AN36" s="86">
        <v>0</v>
      </c>
      <c r="AO36" s="82">
        <v>0</v>
      </c>
      <c r="AP36" s="82">
        <v>0</v>
      </c>
      <c r="AQ36" s="82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2">
        <v>0</v>
      </c>
      <c r="AZ36" s="80"/>
      <c r="BA36" s="81"/>
      <c r="BB36" s="1">
        <f t="shared" ref="BB36:BB67" si="9">BA36*2.5</f>
        <v>0</v>
      </c>
      <c r="BC36" s="6"/>
      <c r="BD36" s="47"/>
      <c r="BE36" s="5">
        <f t="shared" ref="BE36:BE67" si="10">BD36*1.625</f>
        <v>0</v>
      </c>
      <c r="BF36" s="48"/>
      <c r="BG36" s="49"/>
      <c r="BH36" s="1">
        <f t="shared" ref="BH36:BH67" si="11">BG36*1.625</f>
        <v>0</v>
      </c>
      <c r="BI36" s="50"/>
      <c r="BJ36" s="51"/>
      <c r="BK36" s="5">
        <f t="shared" ref="BK36:BK67" si="12">BJ36*1.625</f>
        <v>0</v>
      </c>
      <c r="BL36" s="48"/>
      <c r="BM36" s="49"/>
      <c r="BN36" s="1">
        <f t="shared" ref="BN36:BN67" si="13">BM36*1.625</f>
        <v>0</v>
      </c>
      <c r="BO36" s="50"/>
      <c r="BP36" s="51"/>
      <c r="BQ36" s="5">
        <f t="shared" ref="BQ36:BQ67" si="14">BP36*1.625</f>
        <v>0</v>
      </c>
      <c r="BR36" s="48"/>
      <c r="BS36" s="49"/>
      <c r="BT36" s="1">
        <f t="shared" ref="BT36:BT67" si="15">BS36*1.625</f>
        <v>0</v>
      </c>
      <c r="BU36" s="50"/>
      <c r="BV36" s="51"/>
      <c r="BW36" s="5">
        <f t="shared" ref="BW36:BW67" si="16">BV36*1.5</f>
        <v>0</v>
      </c>
      <c r="BX36" s="48"/>
      <c r="BY36" s="49"/>
      <c r="BZ36" s="2">
        <f t="shared" ref="BZ36:BZ67" si="17">BY36*2.5</f>
        <v>0</v>
      </c>
      <c r="CA36" s="52"/>
    </row>
    <row r="37" spans="1:79" ht="15.75">
      <c r="A37" s="57">
        <v>44712</v>
      </c>
      <c r="B37" s="58" t="s">
        <v>389</v>
      </c>
      <c r="C37" s="34">
        <v>7104865</v>
      </c>
      <c r="D37" s="34" t="s">
        <v>295</v>
      </c>
      <c r="E37" s="59" t="s">
        <v>302</v>
      </c>
      <c r="F37" s="8">
        <v>480.55</v>
      </c>
      <c r="G37" s="4">
        <v>0</v>
      </c>
      <c r="H37" s="54">
        <v>0</v>
      </c>
      <c r="I37" s="4">
        <v>0</v>
      </c>
      <c r="J37" s="3">
        <v>0</v>
      </c>
      <c r="K37" s="44"/>
      <c r="L37" s="82">
        <v>1</v>
      </c>
      <c r="M37" s="82">
        <v>0</v>
      </c>
      <c r="N37" s="82">
        <v>1</v>
      </c>
      <c r="O37" s="82">
        <v>0</v>
      </c>
      <c r="P37" s="82">
        <v>0</v>
      </c>
      <c r="Q37" s="82">
        <v>0</v>
      </c>
      <c r="R37" s="83">
        <v>0</v>
      </c>
      <c r="S37" s="83">
        <v>0</v>
      </c>
      <c r="T37" s="83">
        <v>0</v>
      </c>
      <c r="U37" s="83">
        <v>0</v>
      </c>
      <c r="V37" s="83">
        <v>0</v>
      </c>
      <c r="W37" s="82">
        <v>0</v>
      </c>
      <c r="X37" s="82">
        <v>0</v>
      </c>
      <c r="Y37" s="83">
        <v>0</v>
      </c>
      <c r="Z37" s="84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4">
        <v>0</v>
      </c>
      <c r="AG37" s="84">
        <v>0</v>
      </c>
      <c r="AH37" s="85">
        <v>0</v>
      </c>
      <c r="AI37" s="85">
        <v>0</v>
      </c>
      <c r="AJ37" s="85">
        <v>0</v>
      </c>
      <c r="AK37" s="85">
        <v>0</v>
      </c>
      <c r="AL37" s="82">
        <v>0</v>
      </c>
      <c r="AM37" s="82">
        <v>0</v>
      </c>
      <c r="AN37" s="86">
        <v>0</v>
      </c>
      <c r="AO37" s="82">
        <v>0</v>
      </c>
      <c r="AP37" s="82">
        <v>0</v>
      </c>
      <c r="AQ37" s="82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2">
        <v>0</v>
      </c>
      <c r="AZ37" s="80"/>
      <c r="BA37" s="81"/>
      <c r="BB37" s="1">
        <f t="shared" si="9"/>
        <v>0</v>
      </c>
      <c r="BC37" s="6"/>
      <c r="BD37" s="47"/>
      <c r="BE37" s="5">
        <f t="shared" si="10"/>
        <v>0</v>
      </c>
      <c r="BF37" s="48"/>
      <c r="BG37" s="49"/>
      <c r="BH37" s="1">
        <f t="shared" si="11"/>
        <v>0</v>
      </c>
      <c r="BI37" s="50"/>
      <c r="BJ37" s="51"/>
      <c r="BK37" s="5">
        <f t="shared" si="12"/>
        <v>0</v>
      </c>
      <c r="BL37" s="48"/>
      <c r="BM37" s="49"/>
      <c r="BN37" s="1">
        <f t="shared" si="13"/>
        <v>0</v>
      </c>
      <c r="BO37" s="50"/>
      <c r="BP37" s="51"/>
      <c r="BQ37" s="5">
        <f t="shared" si="14"/>
        <v>0</v>
      </c>
      <c r="BR37" s="48"/>
      <c r="BS37" s="49"/>
      <c r="BT37" s="1">
        <f t="shared" si="15"/>
        <v>0</v>
      </c>
      <c r="BU37" s="50"/>
      <c r="BV37" s="51"/>
      <c r="BW37" s="5">
        <f t="shared" si="16"/>
        <v>0</v>
      </c>
      <c r="BX37" s="48"/>
      <c r="BY37" s="49"/>
      <c r="BZ37" s="2">
        <f t="shared" si="17"/>
        <v>0</v>
      </c>
      <c r="CA37" s="52"/>
    </row>
    <row r="38" spans="1:79" ht="15.75">
      <c r="A38" s="57">
        <v>44684</v>
      </c>
      <c r="B38" s="58" t="s">
        <v>361</v>
      </c>
      <c r="C38" s="34">
        <v>7104370</v>
      </c>
      <c r="D38" s="34" t="s">
        <v>276</v>
      </c>
      <c r="E38" s="59" t="s">
        <v>277</v>
      </c>
      <c r="F38" s="8">
        <v>487.97</v>
      </c>
      <c r="G38" s="4">
        <v>0</v>
      </c>
      <c r="H38" s="54">
        <v>0</v>
      </c>
      <c r="I38" s="4">
        <v>0</v>
      </c>
      <c r="J38" s="3">
        <v>0</v>
      </c>
      <c r="K38" s="44"/>
      <c r="L38" s="82">
        <v>1</v>
      </c>
      <c r="M38" s="82">
        <v>0</v>
      </c>
      <c r="N38" s="82">
        <v>0</v>
      </c>
      <c r="O38" s="82">
        <v>0</v>
      </c>
      <c r="P38" s="82">
        <v>0</v>
      </c>
      <c r="Q38" s="82">
        <v>0</v>
      </c>
      <c r="R38" s="83">
        <v>0</v>
      </c>
      <c r="S38" s="83">
        <v>1</v>
      </c>
      <c r="T38" s="83">
        <v>0</v>
      </c>
      <c r="U38" s="83">
        <v>0</v>
      </c>
      <c r="V38" s="83">
        <v>0</v>
      </c>
      <c r="W38" s="82">
        <v>0</v>
      </c>
      <c r="X38" s="82">
        <v>0</v>
      </c>
      <c r="Y38" s="83">
        <v>0</v>
      </c>
      <c r="Z38" s="84">
        <v>0</v>
      </c>
      <c r="AA38" s="82">
        <v>0</v>
      </c>
      <c r="AB38" s="82">
        <v>0</v>
      </c>
      <c r="AC38" s="82">
        <v>0</v>
      </c>
      <c r="AD38" s="82">
        <v>0</v>
      </c>
      <c r="AE38" s="82">
        <v>0</v>
      </c>
      <c r="AF38" s="84">
        <v>0</v>
      </c>
      <c r="AG38" s="84">
        <v>0</v>
      </c>
      <c r="AH38" s="85">
        <v>0</v>
      </c>
      <c r="AI38" s="85">
        <v>0</v>
      </c>
      <c r="AJ38" s="85">
        <v>0</v>
      </c>
      <c r="AK38" s="85">
        <v>0</v>
      </c>
      <c r="AL38" s="82">
        <v>0</v>
      </c>
      <c r="AM38" s="82">
        <v>0</v>
      </c>
      <c r="AN38" s="86">
        <v>0</v>
      </c>
      <c r="AO38" s="82">
        <v>0</v>
      </c>
      <c r="AP38" s="82">
        <v>0</v>
      </c>
      <c r="AQ38" s="82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2">
        <v>0</v>
      </c>
      <c r="AZ38" s="80"/>
      <c r="BA38" s="81"/>
      <c r="BB38" s="1">
        <f t="shared" si="9"/>
        <v>0</v>
      </c>
      <c r="BC38" s="6"/>
      <c r="BD38" s="47"/>
      <c r="BE38" s="5">
        <f t="shared" si="10"/>
        <v>0</v>
      </c>
      <c r="BF38" s="48"/>
      <c r="BG38" s="49"/>
      <c r="BH38" s="1">
        <f t="shared" si="11"/>
        <v>0</v>
      </c>
      <c r="BI38" s="50"/>
      <c r="BJ38" s="51"/>
      <c r="BK38" s="5">
        <f t="shared" si="12"/>
        <v>0</v>
      </c>
      <c r="BL38" s="48"/>
      <c r="BM38" s="49"/>
      <c r="BN38" s="1">
        <f t="shared" si="13"/>
        <v>0</v>
      </c>
      <c r="BO38" s="50"/>
      <c r="BP38" s="51"/>
      <c r="BQ38" s="5">
        <f t="shared" si="14"/>
        <v>0</v>
      </c>
      <c r="BR38" s="48"/>
      <c r="BS38" s="49"/>
      <c r="BT38" s="1">
        <f t="shared" si="15"/>
        <v>0</v>
      </c>
      <c r="BU38" s="50"/>
      <c r="BV38" s="51"/>
      <c r="BW38" s="5">
        <f t="shared" si="16"/>
        <v>0</v>
      </c>
      <c r="BX38" s="48"/>
      <c r="BY38" s="49"/>
      <c r="BZ38" s="2">
        <f t="shared" si="17"/>
        <v>0</v>
      </c>
      <c r="CA38" s="52"/>
    </row>
    <row r="39" spans="1:79" ht="15.75">
      <c r="A39" s="57">
        <v>44726</v>
      </c>
      <c r="B39" s="58" t="s">
        <v>388</v>
      </c>
      <c r="C39" s="34">
        <v>7105001</v>
      </c>
      <c r="D39" s="34" t="s">
        <v>325</v>
      </c>
      <c r="E39" s="59" t="s">
        <v>329</v>
      </c>
      <c r="F39" s="8">
        <v>488.06</v>
      </c>
      <c r="G39" s="4">
        <v>0</v>
      </c>
      <c r="H39" s="54">
        <v>0</v>
      </c>
      <c r="I39" s="4">
        <v>0</v>
      </c>
      <c r="J39" s="3">
        <v>0</v>
      </c>
      <c r="K39" s="44"/>
      <c r="L39" s="82">
        <v>0</v>
      </c>
      <c r="M39" s="82">
        <v>0</v>
      </c>
      <c r="N39" s="82">
        <v>0</v>
      </c>
      <c r="O39" s="82">
        <v>0</v>
      </c>
      <c r="P39" s="82">
        <v>0</v>
      </c>
      <c r="Q39" s="82">
        <v>0</v>
      </c>
      <c r="R39" s="83">
        <v>0</v>
      </c>
      <c r="S39" s="83">
        <v>0</v>
      </c>
      <c r="T39" s="83">
        <v>0</v>
      </c>
      <c r="U39" s="83">
        <v>0</v>
      </c>
      <c r="V39" s="83">
        <v>0</v>
      </c>
      <c r="W39" s="82">
        <v>0</v>
      </c>
      <c r="X39" s="82">
        <v>0</v>
      </c>
      <c r="Y39" s="83">
        <v>0</v>
      </c>
      <c r="Z39" s="84">
        <v>0</v>
      </c>
      <c r="AA39" s="82">
        <v>0</v>
      </c>
      <c r="AB39" s="82">
        <v>0</v>
      </c>
      <c r="AC39" s="82">
        <v>0</v>
      </c>
      <c r="AD39" s="82">
        <v>0</v>
      </c>
      <c r="AE39" s="82">
        <v>0</v>
      </c>
      <c r="AF39" s="84">
        <v>0</v>
      </c>
      <c r="AG39" s="84">
        <v>0</v>
      </c>
      <c r="AH39" s="85">
        <v>0</v>
      </c>
      <c r="AI39" s="85">
        <v>0</v>
      </c>
      <c r="AJ39" s="85">
        <v>0</v>
      </c>
      <c r="AK39" s="85">
        <v>0</v>
      </c>
      <c r="AL39" s="82">
        <v>0</v>
      </c>
      <c r="AM39" s="82">
        <v>0</v>
      </c>
      <c r="AN39" s="86">
        <v>0</v>
      </c>
      <c r="AO39" s="82">
        <v>0</v>
      </c>
      <c r="AP39" s="82">
        <v>0</v>
      </c>
      <c r="AQ39" s="82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2">
        <v>0</v>
      </c>
      <c r="AZ39" s="80"/>
      <c r="BA39" s="81"/>
      <c r="BB39" s="1">
        <f t="shared" si="9"/>
        <v>0</v>
      </c>
      <c r="BC39" s="6"/>
      <c r="BD39" s="47"/>
      <c r="BE39" s="5">
        <f t="shared" si="10"/>
        <v>0</v>
      </c>
      <c r="BF39" s="48"/>
      <c r="BG39" s="49"/>
      <c r="BH39" s="1">
        <f t="shared" si="11"/>
        <v>0</v>
      </c>
      <c r="BI39" s="50"/>
      <c r="BJ39" s="51"/>
      <c r="BK39" s="5">
        <f t="shared" si="12"/>
        <v>0</v>
      </c>
      <c r="BL39" s="48"/>
      <c r="BM39" s="49"/>
      <c r="BN39" s="1">
        <f t="shared" si="13"/>
        <v>0</v>
      </c>
      <c r="BO39" s="50"/>
      <c r="BP39" s="51"/>
      <c r="BQ39" s="5">
        <f t="shared" si="14"/>
        <v>0</v>
      </c>
      <c r="BR39" s="48"/>
      <c r="BS39" s="49"/>
      <c r="BT39" s="1">
        <f t="shared" si="15"/>
        <v>0</v>
      </c>
      <c r="BU39" s="50"/>
      <c r="BV39" s="51"/>
      <c r="BW39" s="5">
        <f t="shared" si="16"/>
        <v>0</v>
      </c>
      <c r="BX39" s="48"/>
      <c r="BY39" s="49"/>
      <c r="BZ39" s="2">
        <f t="shared" si="17"/>
        <v>0</v>
      </c>
      <c r="CA39" s="52"/>
    </row>
    <row r="40" spans="1:79" ht="15.75">
      <c r="A40" s="57">
        <v>44726</v>
      </c>
      <c r="B40" s="58" t="s">
        <v>388</v>
      </c>
      <c r="C40" s="34">
        <v>7104924</v>
      </c>
      <c r="D40" s="34" t="s">
        <v>326</v>
      </c>
      <c r="E40" s="59" t="s">
        <v>330</v>
      </c>
      <c r="F40" s="8">
        <v>488.06</v>
      </c>
      <c r="G40" s="4">
        <v>0</v>
      </c>
      <c r="H40" s="54">
        <v>0</v>
      </c>
      <c r="I40" s="4">
        <v>0</v>
      </c>
      <c r="J40" s="3">
        <v>0</v>
      </c>
      <c r="K40" s="44"/>
      <c r="L40" s="82">
        <v>0</v>
      </c>
      <c r="M40" s="82">
        <v>0</v>
      </c>
      <c r="N40" s="82">
        <v>1</v>
      </c>
      <c r="O40" s="82">
        <v>0</v>
      </c>
      <c r="P40" s="82">
        <v>0</v>
      </c>
      <c r="Q40" s="82">
        <v>0</v>
      </c>
      <c r="R40" s="83">
        <v>0</v>
      </c>
      <c r="S40" s="83">
        <v>1</v>
      </c>
      <c r="T40" s="83">
        <v>0</v>
      </c>
      <c r="U40" s="83">
        <v>0</v>
      </c>
      <c r="V40" s="83">
        <v>0</v>
      </c>
      <c r="W40" s="82">
        <v>0</v>
      </c>
      <c r="X40" s="82">
        <v>0</v>
      </c>
      <c r="Y40" s="83">
        <v>0</v>
      </c>
      <c r="Z40" s="84">
        <v>1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4">
        <v>0</v>
      </c>
      <c r="AG40" s="84">
        <v>0</v>
      </c>
      <c r="AH40" s="85">
        <v>0</v>
      </c>
      <c r="AI40" s="85">
        <v>0</v>
      </c>
      <c r="AJ40" s="85">
        <v>0</v>
      </c>
      <c r="AK40" s="85">
        <v>0</v>
      </c>
      <c r="AL40" s="82">
        <v>0</v>
      </c>
      <c r="AM40" s="82">
        <v>0</v>
      </c>
      <c r="AN40" s="86">
        <v>0</v>
      </c>
      <c r="AO40" s="82">
        <v>0</v>
      </c>
      <c r="AP40" s="82">
        <v>0</v>
      </c>
      <c r="AQ40" s="82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2">
        <v>0</v>
      </c>
      <c r="AZ40" s="80"/>
      <c r="BA40" s="81"/>
      <c r="BB40" s="1">
        <f t="shared" si="9"/>
        <v>0</v>
      </c>
      <c r="BC40" s="6"/>
      <c r="BD40" s="47"/>
      <c r="BE40" s="5">
        <f t="shared" si="10"/>
        <v>0</v>
      </c>
      <c r="BF40" s="48"/>
      <c r="BG40" s="49"/>
      <c r="BH40" s="1">
        <f t="shared" si="11"/>
        <v>0</v>
      </c>
      <c r="BI40" s="50"/>
      <c r="BJ40" s="51"/>
      <c r="BK40" s="5">
        <f t="shared" si="12"/>
        <v>0</v>
      </c>
      <c r="BL40" s="48"/>
      <c r="BM40" s="49"/>
      <c r="BN40" s="1">
        <f t="shared" si="13"/>
        <v>0</v>
      </c>
      <c r="BO40" s="50"/>
      <c r="BP40" s="51"/>
      <c r="BQ40" s="5">
        <f t="shared" si="14"/>
        <v>0</v>
      </c>
      <c r="BR40" s="48"/>
      <c r="BS40" s="49"/>
      <c r="BT40" s="1">
        <f t="shared" si="15"/>
        <v>0</v>
      </c>
      <c r="BU40" s="50"/>
      <c r="BV40" s="51"/>
      <c r="BW40" s="5">
        <f t="shared" si="16"/>
        <v>0</v>
      </c>
      <c r="BX40" s="48"/>
      <c r="BY40" s="49"/>
      <c r="BZ40" s="2">
        <f t="shared" si="17"/>
        <v>0</v>
      </c>
      <c r="CA40" s="52"/>
    </row>
    <row r="41" spans="1:79" ht="15.75">
      <c r="A41" s="57">
        <v>44726</v>
      </c>
      <c r="B41" s="58" t="s">
        <v>389</v>
      </c>
      <c r="C41" s="34">
        <v>7104950</v>
      </c>
      <c r="D41" s="34" t="s">
        <v>327</v>
      </c>
      <c r="E41" s="59" t="s">
        <v>331</v>
      </c>
      <c r="F41" s="95">
        <v>488.06</v>
      </c>
      <c r="G41" s="4">
        <v>0</v>
      </c>
      <c r="H41" s="54">
        <v>0</v>
      </c>
      <c r="I41" s="4">
        <v>0</v>
      </c>
      <c r="J41" s="3">
        <v>0</v>
      </c>
      <c r="K41" s="44"/>
      <c r="L41" s="82">
        <v>0</v>
      </c>
      <c r="M41" s="82">
        <v>0</v>
      </c>
      <c r="N41" s="82">
        <v>0</v>
      </c>
      <c r="O41" s="82">
        <v>1</v>
      </c>
      <c r="P41" s="82">
        <v>0</v>
      </c>
      <c r="Q41" s="82">
        <v>0</v>
      </c>
      <c r="R41" s="83">
        <v>0</v>
      </c>
      <c r="S41" s="83">
        <v>0</v>
      </c>
      <c r="T41" s="83">
        <v>0</v>
      </c>
      <c r="U41" s="83">
        <v>0</v>
      </c>
      <c r="V41" s="83">
        <v>0</v>
      </c>
      <c r="W41" s="82">
        <v>0</v>
      </c>
      <c r="X41" s="82">
        <v>0</v>
      </c>
      <c r="Y41" s="83">
        <v>0</v>
      </c>
      <c r="Z41" s="84">
        <v>0</v>
      </c>
      <c r="AA41" s="82">
        <v>0</v>
      </c>
      <c r="AB41" s="82">
        <v>0</v>
      </c>
      <c r="AC41" s="82">
        <v>0</v>
      </c>
      <c r="AD41" s="82">
        <v>0</v>
      </c>
      <c r="AE41" s="82">
        <v>0</v>
      </c>
      <c r="AF41" s="84">
        <v>0</v>
      </c>
      <c r="AG41" s="84">
        <v>0</v>
      </c>
      <c r="AH41" s="85">
        <v>0</v>
      </c>
      <c r="AI41" s="85">
        <v>0</v>
      </c>
      <c r="AJ41" s="85">
        <v>0</v>
      </c>
      <c r="AK41" s="85">
        <v>0</v>
      </c>
      <c r="AL41" s="82">
        <v>0</v>
      </c>
      <c r="AM41" s="82">
        <v>0</v>
      </c>
      <c r="AN41" s="86">
        <v>0</v>
      </c>
      <c r="AO41" s="82">
        <v>0</v>
      </c>
      <c r="AP41" s="82">
        <v>0</v>
      </c>
      <c r="AQ41" s="82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2">
        <v>0</v>
      </c>
      <c r="AZ41" s="80"/>
      <c r="BA41" s="81"/>
      <c r="BB41" s="1">
        <f t="shared" si="9"/>
        <v>0</v>
      </c>
      <c r="BC41" s="6"/>
      <c r="BD41" s="47"/>
      <c r="BE41" s="5">
        <f t="shared" si="10"/>
        <v>0</v>
      </c>
      <c r="BF41" s="48"/>
      <c r="BG41" s="49"/>
      <c r="BH41" s="1">
        <f t="shared" si="11"/>
        <v>0</v>
      </c>
      <c r="BI41" s="50"/>
      <c r="BJ41" s="51"/>
      <c r="BK41" s="5">
        <f t="shared" si="12"/>
        <v>0</v>
      </c>
      <c r="BL41" s="48"/>
      <c r="BM41" s="49"/>
      <c r="BN41" s="1">
        <f t="shared" si="13"/>
        <v>0</v>
      </c>
      <c r="BO41" s="50"/>
      <c r="BP41" s="51"/>
      <c r="BQ41" s="5">
        <f t="shared" si="14"/>
        <v>0</v>
      </c>
      <c r="BR41" s="48"/>
      <c r="BS41" s="49"/>
      <c r="BT41" s="1">
        <f t="shared" si="15"/>
        <v>0</v>
      </c>
      <c r="BU41" s="50"/>
      <c r="BV41" s="51"/>
      <c r="BW41" s="5">
        <f t="shared" si="16"/>
        <v>0</v>
      </c>
      <c r="BX41" s="48"/>
      <c r="BY41" s="49"/>
      <c r="BZ41" s="2">
        <f t="shared" si="17"/>
        <v>0</v>
      </c>
      <c r="CA41" s="52"/>
    </row>
    <row r="42" spans="1:79" ht="15.75">
      <c r="A42" s="57">
        <v>44781</v>
      </c>
      <c r="B42" s="58" t="s">
        <v>389</v>
      </c>
      <c r="C42" s="34">
        <v>7105245</v>
      </c>
      <c r="D42" s="34" t="s">
        <v>346</v>
      </c>
      <c r="E42" s="59" t="s">
        <v>350</v>
      </c>
      <c r="F42" s="8">
        <v>492.32</v>
      </c>
      <c r="G42" s="4">
        <v>0</v>
      </c>
      <c r="H42" s="54">
        <v>0</v>
      </c>
      <c r="I42" s="4">
        <v>0</v>
      </c>
      <c r="J42" s="3">
        <v>0</v>
      </c>
      <c r="K42" s="44"/>
      <c r="L42" s="82">
        <v>0</v>
      </c>
      <c r="M42" s="82">
        <v>0</v>
      </c>
      <c r="N42" s="82">
        <v>0</v>
      </c>
      <c r="O42" s="82">
        <v>1</v>
      </c>
      <c r="P42" s="82">
        <v>0</v>
      </c>
      <c r="Q42" s="82">
        <v>0</v>
      </c>
      <c r="R42" s="83">
        <v>0</v>
      </c>
      <c r="S42" s="83">
        <v>1</v>
      </c>
      <c r="T42" s="83">
        <v>0</v>
      </c>
      <c r="U42" s="83">
        <v>0</v>
      </c>
      <c r="V42" s="83">
        <v>0</v>
      </c>
      <c r="W42" s="82">
        <v>0</v>
      </c>
      <c r="X42" s="82">
        <v>0</v>
      </c>
      <c r="Y42" s="83">
        <v>0</v>
      </c>
      <c r="Z42" s="84">
        <v>0</v>
      </c>
      <c r="AA42" s="82">
        <v>0</v>
      </c>
      <c r="AB42" s="82">
        <v>0</v>
      </c>
      <c r="AC42" s="82">
        <v>0</v>
      </c>
      <c r="AD42" s="82">
        <v>0</v>
      </c>
      <c r="AE42" s="82">
        <v>0</v>
      </c>
      <c r="AF42" s="84">
        <v>0</v>
      </c>
      <c r="AG42" s="84">
        <v>0</v>
      </c>
      <c r="AH42" s="85">
        <v>0</v>
      </c>
      <c r="AI42" s="85">
        <v>0</v>
      </c>
      <c r="AJ42" s="85">
        <v>0</v>
      </c>
      <c r="AK42" s="85">
        <v>0</v>
      </c>
      <c r="AL42" s="82">
        <v>0</v>
      </c>
      <c r="AM42" s="82">
        <v>0</v>
      </c>
      <c r="AN42" s="86">
        <v>0</v>
      </c>
      <c r="AO42" s="82">
        <v>0</v>
      </c>
      <c r="AP42" s="82">
        <v>0</v>
      </c>
      <c r="AQ42" s="82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2">
        <v>0</v>
      </c>
      <c r="AZ42" s="80"/>
      <c r="BA42" s="81"/>
      <c r="BB42" s="1">
        <f t="shared" si="9"/>
        <v>0</v>
      </c>
      <c r="BC42" s="6"/>
      <c r="BD42" s="47"/>
      <c r="BE42" s="5">
        <f t="shared" si="10"/>
        <v>0</v>
      </c>
      <c r="BF42" s="48"/>
      <c r="BG42" s="49"/>
      <c r="BH42" s="1">
        <f t="shared" si="11"/>
        <v>0</v>
      </c>
      <c r="BI42" s="50"/>
      <c r="BJ42" s="51"/>
      <c r="BK42" s="5">
        <f t="shared" si="12"/>
        <v>0</v>
      </c>
      <c r="BL42" s="48"/>
      <c r="BM42" s="49"/>
      <c r="BN42" s="1">
        <f t="shared" si="13"/>
        <v>0</v>
      </c>
      <c r="BO42" s="50"/>
      <c r="BP42" s="51"/>
      <c r="BQ42" s="5">
        <f t="shared" si="14"/>
        <v>0</v>
      </c>
      <c r="BR42" s="48"/>
      <c r="BS42" s="49"/>
      <c r="BT42" s="1">
        <f t="shared" si="15"/>
        <v>0</v>
      </c>
      <c r="BU42" s="50"/>
      <c r="BV42" s="51"/>
      <c r="BW42" s="5">
        <f t="shared" si="16"/>
        <v>0</v>
      </c>
      <c r="BX42" s="48"/>
      <c r="BY42" s="49"/>
      <c r="BZ42" s="2">
        <f t="shared" si="17"/>
        <v>0</v>
      </c>
      <c r="CA42" s="52"/>
    </row>
    <row r="43" spans="1:79" s="41" customFormat="1" ht="15.75">
      <c r="A43" s="57">
        <v>44781</v>
      </c>
      <c r="B43" s="58" t="s">
        <v>389</v>
      </c>
      <c r="C43" s="34">
        <v>7105289</v>
      </c>
      <c r="D43" s="34" t="s">
        <v>347</v>
      </c>
      <c r="E43" s="59" t="s">
        <v>351</v>
      </c>
      <c r="F43" s="8">
        <v>492.32</v>
      </c>
      <c r="G43" s="4">
        <v>0</v>
      </c>
      <c r="H43" s="54">
        <v>0</v>
      </c>
      <c r="I43" s="4">
        <v>0</v>
      </c>
      <c r="J43" s="3">
        <v>0</v>
      </c>
      <c r="K43" s="44"/>
      <c r="L43" s="82">
        <v>0</v>
      </c>
      <c r="M43" s="82">
        <v>0</v>
      </c>
      <c r="N43" s="82">
        <v>0</v>
      </c>
      <c r="O43" s="82">
        <v>0</v>
      </c>
      <c r="P43" s="82">
        <v>0</v>
      </c>
      <c r="Q43" s="82">
        <v>0</v>
      </c>
      <c r="R43" s="83">
        <v>0</v>
      </c>
      <c r="S43" s="83">
        <v>1</v>
      </c>
      <c r="T43" s="83">
        <v>0</v>
      </c>
      <c r="U43" s="83">
        <v>0</v>
      </c>
      <c r="V43" s="83">
        <v>0</v>
      </c>
      <c r="W43" s="82">
        <v>0</v>
      </c>
      <c r="X43" s="82">
        <v>0</v>
      </c>
      <c r="Y43" s="83">
        <v>0</v>
      </c>
      <c r="Z43" s="84">
        <v>0</v>
      </c>
      <c r="AA43" s="82">
        <v>0</v>
      </c>
      <c r="AB43" s="82">
        <v>0</v>
      </c>
      <c r="AC43" s="82">
        <v>0</v>
      </c>
      <c r="AD43" s="82">
        <v>0</v>
      </c>
      <c r="AE43" s="82">
        <v>0</v>
      </c>
      <c r="AF43" s="84">
        <v>0</v>
      </c>
      <c r="AG43" s="84">
        <v>0</v>
      </c>
      <c r="AH43" s="85">
        <v>0</v>
      </c>
      <c r="AI43" s="85">
        <v>0</v>
      </c>
      <c r="AJ43" s="85">
        <v>0</v>
      </c>
      <c r="AK43" s="85">
        <v>0</v>
      </c>
      <c r="AL43" s="82">
        <v>0</v>
      </c>
      <c r="AM43" s="82">
        <v>0</v>
      </c>
      <c r="AN43" s="86">
        <v>0</v>
      </c>
      <c r="AO43" s="82">
        <v>0</v>
      </c>
      <c r="AP43" s="82">
        <v>0</v>
      </c>
      <c r="AQ43" s="82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2">
        <v>0</v>
      </c>
      <c r="AZ43" s="80"/>
      <c r="BA43" s="81"/>
      <c r="BB43" s="1">
        <f t="shared" si="9"/>
        <v>0</v>
      </c>
      <c r="BC43" s="6"/>
      <c r="BD43" s="47"/>
      <c r="BE43" s="5">
        <f t="shared" si="10"/>
        <v>0</v>
      </c>
      <c r="BF43" s="48"/>
      <c r="BG43" s="49"/>
      <c r="BH43" s="1">
        <f t="shared" si="11"/>
        <v>0</v>
      </c>
      <c r="BI43" s="50"/>
      <c r="BJ43" s="51"/>
      <c r="BK43" s="5">
        <f t="shared" si="12"/>
        <v>0</v>
      </c>
      <c r="BL43" s="48"/>
      <c r="BM43" s="49"/>
      <c r="BN43" s="1">
        <f t="shared" si="13"/>
        <v>0</v>
      </c>
      <c r="BO43" s="50"/>
      <c r="BP43" s="51"/>
      <c r="BQ43" s="5">
        <f t="shared" si="14"/>
        <v>0</v>
      </c>
      <c r="BR43" s="48"/>
      <c r="BS43" s="49"/>
      <c r="BT43" s="1">
        <f t="shared" si="15"/>
        <v>0</v>
      </c>
      <c r="BU43" s="50"/>
      <c r="BV43" s="51"/>
      <c r="BW43" s="5">
        <f t="shared" si="16"/>
        <v>0</v>
      </c>
      <c r="BX43" s="48"/>
      <c r="BY43" s="49"/>
      <c r="BZ43" s="2">
        <f t="shared" si="17"/>
        <v>0</v>
      </c>
      <c r="CA43" s="52"/>
    </row>
    <row r="44" spans="1:79" s="41" customFormat="1" ht="15.75">
      <c r="A44" s="57">
        <v>44781</v>
      </c>
      <c r="B44" s="58" t="s">
        <v>389</v>
      </c>
      <c r="C44" s="34">
        <v>7105291</v>
      </c>
      <c r="D44" s="34" t="s">
        <v>348</v>
      </c>
      <c r="E44" s="59" t="s">
        <v>74</v>
      </c>
      <c r="F44" s="8">
        <v>492.32</v>
      </c>
      <c r="G44" s="4">
        <v>0</v>
      </c>
      <c r="H44" s="54">
        <v>0</v>
      </c>
      <c r="I44" s="4">
        <v>0</v>
      </c>
      <c r="J44" s="3">
        <v>0</v>
      </c>
      <c r="K44" s="44"/>
      <c r="L44" s="82">
        <v>0</v>
      </c>
      <c r="M44" s="82">
        <v>0</v>
      </c>
      <c r="N44" s="82">
        <v>1</v>
      </c>
      <c r="O44" s="82">
        <v>0</v>
      </c>
      <c r="P44" s="82">
        <v>0</v>
      </c>
      <c r="Q44" s="82">
        <v>0</v>
      </c>
      <c r="R44" s="83">
        <v>0</v>
      </c>
      <c r="S44" s="83">
        <v>0</v>
      </c>
      <c r="T44" s="83">
        <v>0</v>
      </c>
      <c r="U44" s="83">
        <v>0</v>
      </c>
      <c r="V44" s="83">
        <v>0</v>
      </c>
      <c r="W44" s="82">
        <v>0</v>
      </c>
      <c r="X44" s="82">
        <v>0</v>
      </c>
      <c r="Y44" s="83">
        <v>0</v>
      </c>
      <c r="Z44" s="84">
        <v>0</v>
      </c>
      <c r="AA44" s="82">
        <v>0</v>
      </c>
      <c r="AB44" s="82">
        <v>0</v>
      </c>
      <c r="AC44" s="82">
        <v>0</v>
      </c>
      <c r="AD44" s="82">
        <v>0</v>
      </c>
      <c r="AE44" s="82">
        <v>0</v>
      </c>
      <c r="AF44" s="84">
        <v>0</v>
      </c>
      <c r="AG44" s="84">
        <v>0</v>
      </c>
      <c r="AH44" s="85">
        <v>0</v>
      </c>
      <c r="AI44" s="85">
        <v>0</v>
      </c>
      <c r="AJ44" s="85">
        <v>0</v>
      </c>
      <c r="AK44" s="85">
        <v>0</v>
      </c>
      <c r="AL44" s="82">
        <v>0</v>
      </c>
      <c r="AM44" s="82">
        <v>0</v>
      </c>
      <c r="AN44" s="86">
        <v>0</v>
      </c>
      <c r="AO44" s="82">
        <v>0</v>
      </c>
      <c r="AP44" s="82">
        <v>0</v>
      </c>
      <c r="AQ44" s="82">
        <v>0</v>
      </c>
      <c r="AR44" s="87">
        <v>0</v>
      </c>
      <c r="AS44" s="87">
        <v>0</v>
      </c>
      <c r="AT44" s="87">
        <v>0</v>
      </c>
      <c r="AU44" s="87">
        <v>0</v>
      </c>
      <c r="AV44" s="87">
        <v>0</v>
      </c>
      <c r="AW44" s="87">
        <v>0</v>
      </c>
      <c r="AX44" s="87">
        <v>0</v>
      </c>
      <c r="AY44" s="82">
        <v>0</v>
      </c>
      <c r="AZ44" s="80"/>
      <c r="BA44" s="81"/>
      <c r="BB44" s="1">
        <f t="shared" si="9"/>
        <v>0</v>
      </c>
      <c r="BC44" s="6"/>
      <c r="BD44" s="47"/>
      <c r="BE44" s="5">
        <f t="shared" si="10"/>
        <v>0</v>
      </c>
      <c r="BF44" s="48"/>
      <c r="BG44" s="49"/>
      <c r="BH44" s="1">
        <f t="shared" si="11"/>
        <v>0</v>
      </c>
      <c r="BI44" s="50"/>
      <c r="BJ44" s="51"/>
      <c r="BK44" s="5">
        <f t="shared" si="12"/>
        <v>0</v>
      </c>
      <c r="BL44" s="48"/>
      <c r="BM44" s="49"/>
      <c r="BN44" s="1">
        <f t="shared" si="13"/>
        <v>0</v>
      </c>
      <c r="BO44" s="50"/>
      <c r="BP44" s="51"/>
      <c r="BQ44" s="5">
        <f t="shared" si="14"/>
        <v>0</v>
      </c>
      <c r="BR44" s="48"/>
      <c r="BS44" s="49"/>
      <c r="BT44" s="1">
        <f t="shared" si="15"/>
        <v>0</v>
      </c>
      <c r="BU44" s="50"/>
      <c r="BV44" s="51"/>
      <c r="BW44" s="5">
        <f t="shared" si="16"/>
        <v>0</v>
      </c>
      <c r="BX44" s="48"/>
      <c r="BY44" s="49"/>
      <c r="BZ44" s="2">
        <f t="shared" si="17"/>
        <v>0</v>
      </c>
      <c r="CA44" s="52"/>
    </row>
    <row r="45" spans="1:79" s="41" customFormat="1" ht="15.75">
      <c r="A45" s="57">
        <v>44781</v>
      </c>
      <c r="B45" s="58" t="s">
        <v>387</v>
      </c>
      <c r="C45" s="34">
        <v>7105290</v>
      </c>
      <c r="D45" s="34" t="s">
        <v>349</v>
      </c>
      <c r="E45" s="59" t="s">
        <v>355</v>
      </c>
      <c r="F45" s="8">
        <v>492.32</v>
      </c>
      <c r="G45" s="4">
        <v>0</v>
      </c>
      <c r="H45" s="54">
        <v>0</v>
      </c>
      <c r="I45" s="4">
        <v>0</v>
      </c>
      <c r="J45" s="3">
        <v>0</v>
      </c>
      <c r="K45" s="44"/>
      <c r="L45" s="82">
        <v>0</v>
      </c>
      <c r="M45" s="82">
        <v>0</v>
      </c>
      <c r="N45" s="82">
        <v>0</v>
      </c>
      <c r="O45" s="82">
        <v>0</v>
      </c>
      <c r="P45" s="82">
        <v>0</v>
      </c>
      <c r="Q45" s="82">
        <v>0</v>
      </c>
      <c r="R45" s="83">
        <v>0</v>
      </c>
      <c r="S45" s="83">
        <v>0</v>
      </c>
      <c r="T45" s="83">
        <v>0</v>
      </c>
      <c r="U45" s="83">
        <v>0</v>
      </c>
      <c r="V45" s="83">
        <v>0</v>
      </c>
      <c r="W45" s="82">
        <v>0</v>
      </c>
      <c r="X45" s="82">
        <v>0</v>
      </c>
      <c r="Y45" s="83">
        <v>0</v>
      </c>
      <c r="Z45" s="84">
        <v>0</v>
      </c>
      <c r="AA45" s="82">
        <v>0</v>
      </c>
      <c r="AB45" s="82">
        <v>0</v>
      </c>
      <c r="AC45" s="82">
        <v>0</v>
      </c>
      <c r="AD45" s="82">
        <v>0</v>
      </c>
      <c r="AE45" s="82">
        <v>0</v>
      </c>
      <c r="AF45" s="84">
        <v>0</v>
      </c>
      <c r="AG45" s="84">
        <v>0</v>
      </c>
      <c r="AH45" s="85">
        <v>0</v>
      </c>
      <c r="AI45" s="85">
        <v>0</v>
      </c>
      <c r="AJ45" s="85">
        <v>0</v>
      </c>
      <c r="AK45" s="85">
        <v>0</v>
      </c>
      <c r="AL45" s="82">
        <v>0</v>
      </c>
      <c r="AM45" s="82">
        <v>0</v>
      </c>
      <c r="AN45" s="86">
        <v>0</v>
      </c>
      <c r="AO45" s="82">
        <v>0</v>
      </c>
      <c r="AP45" s="82">
        <v>0</v>
      </c>
      <c r="AQ45" s="82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2">
        <v>0</v>
      </c>
      <c r="AZ45" s="80"/>
      <c r="BA45" s="81"/>
      <c r="BB45" s="1">
        <f t="shared" si="9"/>
        <v>0</v>
      </c>
      <c r="BC45" s="6"/>
      <c r="BD45" s="47"/>
      <c r="BE45" s="5">
        <f t="shared" si="10"/>
        <v>0</v>
      </c>
      <c r="BF45" s="48"/>
      <c r="BG45" s="49"/>
      <c r="BH45" s="1">
        <f t="shared" si="11"/>
        <v>0</v>
      </c>
      <c r="BI45" s="50"/>
      <c r="BJ45" s="51"/>
      <c r="BK45" s="5">
        <f t="shared" si="12"/>
        <v>0</v>
      </c>
      <c r="BL45" s="48"/>
      <c r="BM45" s="49"/>
      <c r="BN45" s="1">
        <f t="shared" si="13"/>
        <v>0</v>
      </c>
      <c r="BO45" s="50"/>
      <c r="BP45" s="51"/>
      <c r="BQ45" s="5">
        <f t="shared" si="14"/>
        <v>0</v>
      </c>
      <c r="BR45" s="48"/>
      <c r="BS45" s="49"/>
      <c r="BT45" s="1">
        <f t="shared" si="15"/>
        <v>0</v>
      </c>
      <c r="BU45" s="50"/>
      <c r="BV45" s="51"/>
      <c r="BW45" s="5">
        <f t="shared" si="16"/>
        <v>0</v>
      </c>
      <c r="BX45" s="48"/>
      <c r="BY45" s="49"/>
      <c r="BZ45" s="2">
        <f t="shared" si="17"/>
        <v>0</v>
      </c>
      <c r="CA45" s="52"/>
    </row>
    <row r="46" spans="1:79" s="41" customFormat="1" ht="15.75">
      <c r="A46" s="57">
        <v>44789</v>
      </c>
      <c r="B46" s="58" t="s">
        <v>389</v>
      </c>
      <c r="C46" s="34">
        <v>7105318</v>
      </c>
      <c r="D46" s="34" t="s">
        <v>352</v>
      </c>
      <c r="E46" s="59" t="s">
        <v>358</v>
      </c>
      <c r="F46" s="8">
        <v>492.33</v>
      </c>
      <c r="G46" s="4">
        <v>0</v>
      </c>
      <c r="H46" s="54">
        <v>0</v>
      </c>
      <c r="I46" s="4">
        <v>0</v>
      </c>
      <c r="J46" s="3">
        <v>0</v>
      </c>
      <c r="K46" s="44"/>
      <c r="L46" s="82">
        <v>0</v>
      </c>
      <c r="M46" s="82">
        <v>0</v>
      </c>
      <c r="N46" s="82">
        <v>1</v>
      </c>
      <c r="O46" s="82">
        <v>0</v>
      </c>
      <c r="P46" s="82">
        <v>0</v>
      </c>
      <c r="Q46" s="82">
        <v>0</v>
      </c>
      <c r="R46" s="83">
        <v>0</v>
      </c>
      <c r="S46" s="83">
        <v>0</v>
      </c>
      <c r="T46" s="83">
        <v>0</v>
      </c>
      <c r="U46" s="83">
        <v>0</v>
      </c>
      <c r="V46" s="83">
        <v>0</v>
      </c>
      <c r="W46" s="82">
        <v>0</v>
      </c>
      <c r="X46" s="82">
        <v>0</v>
      </c>
      <c r="Y46" s="83">
        <v>0</v>
      </c>
      <c r="Z46" s="84">
        <v>0</v>
      </c>
      <c r="AA46" s="82">
        <v>0</v>
      </c>
      <c r="AB46" s="82">
        <v>0</v>
      </c>
      <c r="AC46" s="82">
        <v>0</v>
      </c>
      <c r="AD46" s="82">
        <v>0</v>
      </c>
      <c r="AE46" s="82">
        <v>0</v>
      </c>
      <c r="AF46" s="84">
        <v>0</v>
      </c>
      <c r="AG46" s="84">
        <v>0</v>
      </c>
      <c r="AH46" s="85">
        <v>0</v>
      </c>
      <c r="AI46" s="85">
        <v>0</v>
      </c>
      <c r="AJ46" s="85">
        <v>0</v>
      </c>
      <c r="AK46" s="85">
        <v>0</v>
      </c>
      <c r="AL46" s="82">
        <v>0</v>
      </c>
      <c r="AM46" s="82">
        <v>0</v>
      </c>
      <c r="AN46" s="86">
        <v>0</v>
      </c>
      <c r="AO46" s="82">
        <v>0</v>
      </c>
      <c r="AP46" s="82">
        <v>0</v>
      </c>
      <c r="AQ46" s="82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2">
        <v>0</v>
      </c>
      <c r="AZ46" s="80"/>
      <c r="BA46" s="81"/>
      <c r="BB46" s="1">
        <f t="shared" si="9"/>
        <v>0</v>
      </c>
      <c r="BC46" s="6"/>
      <c r="BD46" s="47"/>
      <c r="BE46" s="5">
        <f t="shared" si="10"/>
        <v>0</v>
      </c>
      <c r="BF46" s="48"/>
      <c r="BG46" s="49"/>
      <c r="BH46" s="1">
        <f t="shared" si="11"/>
        <v>0</v>
      </c>
      <c r="BI46" s="50"/>
      <c r="BJ46" s="51"/>
      <c r="BK46" s="5">
        <f t="shared" si="12"/>
        <v>0</v>
      </c>
      <c r="BL46" s="48"/>
      <c r="BM46" s="49"/>
      <c r="BN46" s="1">
        <f t="shared" si="13"/>
        <v>0</v>
      </c>
      <c r="BO46" s="50"/>
      <c r="BP46" s="51"/>
      <c r="BQ46" s="5">
        <f t="shared" si="14"/>
        <v>0</v>
      </c>
      <c r="BR46" s="48"/>
      <c r="BS46" s="49"/>
      <c r="BT46" s="1">
        <f t="shared" si="15"/>
        <v>0</v>
      </c>
      <c r="BU46" s="50"/>
      <c r="BV46" s="51"/>
      <c r="BW46" s="5">
        <f t="shared" si="16"/>
        <v>0</v>
      </c>
      <c r="BX46" s="48"/>
      <c r="BY46" s="49"/>
      <c r="BZ46" s="2">
        <f t="shared" si="17"/>
        <v>0</v>
      </c>
      <c r="CA46" s="52"/>
    </row>
    <row r="47" spans="1:79" s="41" customFormat="1" ht="15.75">
      <c r="A47" s="57">
        <v>44789</v>
      </c>
      <c r="B47" s="58" t="s">
        <v>388</v>
      </c>
      <c r="C47" s="34">
        <v>7105307</v>
      </c>
      <c r="D47" s="34" t="s">
        <v>353</v>
      </c>
      <c r="E47" s="59" t="s">
        <v>359</v>
      </c>
      <c r="F47" s="8">
        <v>492.33</v>
      </c>
      <c r="G47" s="4">
        <v>0</v>
      </c>
      <c r="H47" s="54">
        <v>0</v>
      </c>
      <c r="I47" s="4">
        <v>0</v>
      </c>
      <c r="J47" s="3">
        <v>0</v>
      </c>
      <c r="K47" s="44"/>
      <c r="L47" s="82">
        <v>0</v>
      </c>
      <c r="M47" s="82">
        <v>0</v>
      </c>
      <c r="N47" s="82">
        <v>0</v>
      </c>
      <c r="O47" s="82">
        <v>0</v>
      </c>
      <c r="P47" s="82">
        <v>0</v>
      </c>
      <c r="Q47" s="82">
        <v>0</v>
      </c>
      <c r="R47" s="83">
        <v>0</v>
      </c>
      <c r="S47" s="83">
        <v>0</v>
      </c>
      <c r="T47" s="83">
        <v>0</v>
      </c>
      <c r="U47" s="83">
        <v>0</v>
      </c>
      <c r="V47" s="83">
        <v>0</v>
      </c>
      <c r="W47" s="82">
        <v>0</v>
      </c>
      <c r="X47" s="82">
        <v>0</v>
      </c>
      <c r="Y47" s="83">
        <v>0</v>
      </c>
      <c r="Z47" s="84">
        <v>0</v>
      </c>
      <c r="AA47" s="82">
        <v>0</v>
      </c>
      <c r="AB47" s="82">
        <v>0</v>
      </c>
      <c r="AC47" s="82">
        <v>0</v>
      </c>
      <c r="AD47" s="82">
        <v>0</v>
      </c>
      <c r="AE47" s="82">
        <v>0</v>
      </c>
      <c r="AF47" s="84">
        <v>0</v>
      </c>
      <c r="AG47" s="84">
        <v>0</v>
      </c>
      <c r="AH47" s="85">
        <v>0</v>
      </c>
      <c r="AI47" s="85">
        <v>0</v>
      </c>
      <c r="AJ47" s="85">
        <v>0</v>
      </c>
      <c r="AK47" s="85">
        <v>0</v>
      </c>
      <c r="AL47" s="82">
        <v>0</v>
      </c>
      <c r="AM47" s="82">
        <v>0</v>
      </c>
      <c r="AN47" s="86">
        <v>0</v>
      </c>
      <c r="AO47" s="82">
        <v>0</v>
      </c>
      <c r="AP47" s="82">
        <v>0</v>
      </c>
      <c r="AQ47" s="82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2">
        <v>0</v>
      </c>
      <c r="AZ47" s="80"/>
      <c r="BA47" s="81"/>
      <c r="BB47" s="1">
        <f t="shared" si="9"/>
        <v>0</v>
      </c>
      <c r="BC47" s="6"/>
      <c r="BD47" s="47"/>
      <c r="BE47" s="5">
        <f t="shared" si="10"/>
        <v>0</v>
      </c>
      <c r="BF47" s="48"/>
      <c r="BG47" s="49"/>
      <c r="BH47" s="1">
        <f t="shared" si="11"/>
        <v>0</v>
      </c>
      <c r="BI47" s="50"/>
      <c r="BJ47" s="51"/>
      <c r="BK47" s="5">
        <f t="shared" si="12"/>
        <v>0</v>
      </c>
      <c r="BL47" s="48"/>
      <c r="BM47" s="49"/>
      <c r="BN47" s="1">
        <f t="shared" si="13"/>
        <v>0</v>
      </c>
      <c r="BO47" s="50"/>
      <c r="BP47" s="51"/>
      <c r="BQ47" s="5">
        <f t="shared" si="14"/>
        <v>0</v>
      </c>
      <c r="BR47" s="48"/>
      <c r="BS47" s="49"/>
      <c r="BT47" s="1">
        <f t="shared" si="15"/>
        <v>0</v>
      </c>
      <c r="BU47" s="50"/>
      <c r="BV47" s="51"/>
      <c r="BW47" s="5">
        <f t="shared" si="16"/>
        <v>0</v>
      </c>
      <c r="BX47" s="48"/>
      <c r="BY47" s="49"/>
      <c r="BZ47" s="2">
        <f t="shared" si="17"/>
        <v>0</v>
      </c>
      <c r="CA47" s="52"/>
    </row>
    <row r="48" spans="1:79" s="41" customFormat="1" ht="15.75">
      <c r="A48" s="57">
        <v>44656</v>
      </c>
      <c r="B48" s="58" t="s">
        <v>397</v>
      </c>
      <c r="C48" s="34">
        <v>7104427</v>
      </c>
      <c r="D48" s="34" t="s">
        <v>233</v>
      </c>
      <c r="E48" s="59" t="s">
        <v>217</v>
      </c>
      <c r="F48" s="8">
        <v>492.59</v>
      </c>
      <c r="G48" s="4">
        <v>0</v>
      </c>
      <c r="H48" s="54">
        <v>0</v>
      </c>
      <c r="I48" s="4">
        <v>0</v>
      </c>
      <c r="J48" s="3">
        <v>0</v>
      </c>
      <c r="K48" s="44"/>
      <c r="L48" s="82">
        <v>1</v>
      </c>
      <c r="M48" s="82">
        <v>0</v>
      </c>
      <c r="N48" s="82">
        <v>1</v>
      </c>
      <c r="O48" s="82">
        <v>0</v>
      </c>
      <c r="P48" s="82">
        <v>0</v>
      </c>
      <c r="Q48" s="82">
        <v>0</v>
      </c>
      <c r="R48" s="83">
        <v>0</v>
      </c>
      <c r="S48" s="83">
        <v>0</v>
      </c>
      <c r="T48" s="83">
        <v>0</v>
      </c>
      <c r="U48" s="83">
        <v>0</v>
      </c>
      <c r="V48" s="83">
        <v>0</v>
      </c>
      <c r="W48" s="82">
        <v>0</v>
      </c>
      <c r="X48" s="82">
        <v>0</v>
      </c>
      <c r="Y48" s="83">
        <v>0</v>
      </c>
      <c r="Z48" s="84">
        <v>1</v>
      </c>
      <c r="AA48" s="82">
        <v>0</v>
      </c>
      <c r="AB48" s="82">
        <v>0</v>
      </c>
      <c r="AC48" s="82">
        <v>0</v>
      </c>
      <c r="AD48" s="82">
        <v>0</v>
      </c>
      <c r="AE48" s="82">
        <v>0</v>
      </c>
      <c r="AF48" s="84">
        <v>0</v>
      </c>
      <c r="AG48" s="84">
        <v>0</v>
      </c>
      <c r="AH48" s="85">
        <v>0</v>
      </c>
      <c r="AI48" s="85">
        <v>0</v>
      </c>
      <c r="AJ48" s="85">
        <v>0</v>
      </c>
      <c r="AK48" s="85">
        <v>0</v>
      </c>
      <c r="AL48" s="82">
        <v>0</v>
      </c>
      <c r="AM48" s="82">
        <v>0</v>
      </c>
      <c r="AN48" s="86">
        <v>0</v>
      </c>
      <c r="AO48" s="82">
        <v>0</v>
      </c>
      <c r="AP48" s="82">
        <v>0</v>
      </c>
      <c r="AQ48" s="82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2">
        <v>0</v>
      </c>
      <c r="AZ48" s="80"/>
      <c r="BA48" s="81"/>
      <c r="BB48" s="1">
        <f t="shared" si="9"/>
        <v>0</v>
      </c>
      <c r="BC48" s="6"/>
      <c r="BD48" s="47"/>
      <c r="BE48" s="5">
        <f t="shared" si="10"/>
        <v>0</v>
      </c>
      <c r="BF48" s="48"/>
      <c r="BG48" s="49"/>
      <c r="BH48" s="1">
        <f t="shared" si="11"/>
        <v>0</v>
      </c>
      <c r="BI48" s="50"/>
      <c r="BJ48" s="51"/>
      <c r="BK48" s="5">
        <f t="shared" si="12"/>
        <v>0</v>
      </c>
      <c r="BL48" s="48"/>
      <c r="BM48" s="49"/>
      <c r="BN48" s="1">
        <f t="shared" si="13"/>
        <v>0</v>
      </c>
      <c r="BO48" s="50"/>
      <c r="BP48" s="51"/>
      <c r="BQ48" s="5">
        <f t="shared" si="14"/>
        <v>0</v>
      </c>
      <c r="BR48" s="48"/>
      <c r="BS48" s="49"/>
      <c r="BT48" s="1">
        <f t="shared" si="15"/>
        <v>0</v>
      </c>
      <c r="BU48" s="50"/>
      <c r="BV48" s="51"/>
      <c r="BW48" s="5">
        <f t="shared" si="16"/>
        <v>0</v>
      </c>
      <c r="BX48" s="48"/>
      <c r="BY48" s="49"/>
      <c r="BZ48" s="2">
        <f t="shared" si="17"/>
        <v>0</v>
      </c>
      <c r="CA48" s="52"/>
    </row>
    <row r="49" spans="1:79" s="41" customFormat="1" ht="15.75">
      <c r="A49" s="57">
        <v>44817</v>
      </c>
      <c r="B49" s="58" t="s">
        <v>389</v>
      </c>
      <c r="C49" s="34">
        <v>7105382</v>
      </c>
      <c r="D49" s="34" t="s">
        <v>374</v>
      </c>
      <c r="E49" s="59" t="s">
        <v>375</v>
      </c>
      <c r="F49" s="8">
        <v>493.2</v>
      </c>
      <c r="G49" s="4">
        <v>0</v>
      </c>
      <c r="H49" s="54">
        <v>0</v>
      </c>
      <c r="I49" s="4">
        <v>0</v>
      </c>
      <c r="J49" s="3">
        <v>0</v>
      </c>
      <c r="K49" s="44"/>
      <c r="L49" s="82">
        <v>0</v>
      </c>
      <c r="M49" s="82">
        <v>0</v>
      </c>
      <c r="N49" s="82">
        <v>0</v>
      </c>
      <c r="O49" s="82">
        <v>0</v>
      </c>
      <c r="P49" s="82">
        <v>0</v>
      </c>
      <c r="Q49" s="82">
        <v>0</v>
      </c>
      <c r="R49" s="83">
        <v>0</v>
      </c>
      <c r="S49" s="83">
        <v>0</v>
      </c>
      <c r="T49" s="83">
        <v>0</v>
      </c>
      <c r="U49" s="83">
        <v>0</v>
      </c>
      <c r="V49" s="83">
        <v>0</v>
      </c>
      <c r="W49" s="82">
        <v>0</v>
      </c>
      <c r="X49" s="82">
        <v>0</v>
      </c>
      <c r="Y49" s="83">
        <v>0</v>
      </c>
      <c r="Z49" s="84">
        <v>0</v>
      </c>
      <c r="AA49" s="82">
        <v>0</v>
      </c>
      <c r="AB49" s="82">
        <v>0</v>
      </c>
      <c r="AC49" s="82">
        <v>0</v>
      </c>
      <c r="AD49" s="82">
        <v>0</v>
      </c>
      <c r="AE49" s="82">
        <v>0</v>
      </c>
      <c r="AF49" s="84">
        <v>0</v>
      </c>
      <c r="AG49" s="84">
        <v>0</v>
      </c>
      <c r="AH49" s="85">
        <v>0</v>
      </c>
      <c r="AI49" s="85">
        <v>0</v>
      </c>
      <c r="AJ49" s="85">
        <v>0</v>
      </c>
      <c r="AK49" s="85">
        <v>0</v>
      </c>
      <c r="AL49" s="82">
        <v>0</v>
      </c>
      <c r="AM49" s="82">
        <v>0</v>
      </c>
      <c r="AN49" s="86">
        <v>0</v>
      </c>
      <c r="AO49" s="82">
        <v>0</v>
      </c>
      <c r="AP49" s="82">
        <v>0</v>
      </c>
      <c r="AQ49" s="82">
        <v>0</v>
      </c>
      <c r="AR49" s="87">
        <v>0</v>
      </c>
      <c r="AS49" s="87">
        <v>0</v>
      </c>
      <c r="AT49" s="87">
        <v>0</v>
      </c>
      <c r="AU49" s="87">
        <v>0</v>
      </c>
      <c r="AV49" s="87">
        <v>0</v>
      </c>
      <c r="AW49" s="87">
        <v>0</v>
      </c>
      <c r="AX49" s="87">
        <v>0</v>
      </c>
      <c r="AY49" s="82">
        <v>0</v>
      </c>
      <c r="AZ49" s="80"/>
      <c r="BA49" s="81"/>
      <c r="BB49" s="1">
        <f t="shared" si="9"/>
        <v>0</v>
      </c>
      <c r="BC49" s="6"/>
      <c r="BD49" s="47"/>
      <c r="BE49" s="5">
        <f t="shared" si="10"/>
        <v>0</v>
      </c>
      <c r="BF49" s="48"/>
      <c r="BG49" s="49"/>
      <c r="BH49" s="1">
        <f t="shared" si="11"/>
        <v>0</v>
      </c>
      <c r="BI49" s="50"/>
      <c r="BJ49" s="51"/>
      <c r="BK49" s="5">
        <f t="shared" si="12"/>
        <v>0</v>
      </c>
      <c r="BL49" s="48"/>
      <c r="BM49" s="49"/>
      <c r="BN49" s="1">
        <f t="shared" si="13"/>
        <v>0</v>
      </c>
      <c r="BO49" s="50"/>
      <c r="BP49" s="51"/>
      <c r="BQ49" s="5">
        <f t="shared" si="14"/>
        <v>0</v>
      </c>
      <c r="BR49" s="48"/>
      <c r="BS49" s="49"/>
      <c r="BT49" s="1">
        <f t="shared" si="15"/>
        <v>0</v>
      </c>
      <c r="BU49" s="50"/>
      <c r="BV49" s="51"/>
      <c r="BW49" s="5">
        <f t="shared" si="16"/>
        <v>0</v>
      </c>
      <c r="BX49" s="48"/>
      <c r="BY49" s="49"/>
      <c r="BZ49" s="2">
        <f t="shared" si="17"/>
        <v>0</v>
      </c>
      <c r="CA49" s="52"/>
    </row>
    <row r="50" spans="1:79" s="41" customFormat="1" ht="15.75">
      <c r="A50" s="57">
        <v>44817</v>
      </c>
      <c r="B50" s="58" t="s">
        <v>387</v>
      </c>
      <c r="C50" s="34">
        <v>7105419</v>
      </c>
      <c r="D50" s="34" t="s">
        <v>376</v>
      </c>
      <c r="E50" s="59" t="s">
        <v>377</v>
      </c>
      <c r="F50" s="8">
        <v>493.2</v>
      </c>
      <c r="G50" s="4">
        <v>0</v>
      </c>
      <c r="H50" s="54">
        <v>0</v>
      </c>
      <c r="I50" s="4">
        <v>0</v>
      </c>
      <c r="J50" s="3">
        <v>0</v>
      </c>
      <c r="K50" s="44"/>
      <c r="L50" s="82">
        <v>0</v>
      </c>
      <c r="M50" s="82">
        <v>0</v>
      </c>
      <c r="N50" s="82">
        <v>0</v>
      </c>
      <c r="O50" s="82">
        <v>0</v>
      </c>
      <c r="P50" s="82">
        <v>0</v>
      </c>
      <c r="Q50" s="82">
        <v>0</v>
      </c>
      <c r="R50" s="83">
        <v>0</v>
      </c>
      <c r="S50" s="83">
        <v>0</v>
      </c>
      <c r="T50" s="83">
        <v>0</v>
      </c>
      <c r="U50" s="83">
        <v>0</v>
      </c>
      <c r="V50" s="83">
        <v>0</v>
      </c>
      <c r="W50" s="82">
        <v>0</v>
      </c>
      <c r="X50" s="82">
        <v>0</v>
      </c>
      <c r="Y50" s="83">
        <v>0</v>
      </c>
      <c r="Z50" s="84">
        <v>0</v>
      </c>
      <c r="AA50" s="82">
        <v>0</v>
      </c>
      <c r="AB50" s="82">
        <v>0</v>
      </c>
      <c r="AC50" s="82">
        <v>0</v>
      </c>
      <c r="AD50" s="82">
        <v>0</v>
      </c>
      <c r="AE50" s="82">
        <v>0</v>
      </c>
      <c r="AF50" s="84">
        <v>0</v>
      </c>
      <c r="AG50" s="84">
        <v>0</v>
      </c>
      <c r="AH50" s="85">
        <v>0</v>
      </c>
      <c r="AI50" s="85">
        <v>0</v>
      </c>
      <c r="AJ50" s="85">
        <v>0</v>
      </c>
      <c r="AK50" s="85">
        <v>0</v>
      </c>
      <c r="AL50" s="82">
        <v>0</v>
      </c>
      <c r="AM50" s="82">
        <v>0</v>
      </c>
      <c r="AN50" s="86">
        <v>0</v>
      </c>
      <c r="AO50" s="82">
        <v>0</v>
      </c>
      <c r="AP50" s="82">
        <v>0</v>
      </c>
      <c r="AQ50" s="82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2">
        <v>0</v>
      </c>
      <c r="AZ50" s="80"/>
      <c r="BA50" s="81"/>
      <c r="BB50" s="1">
        <f t="shared" si="9"/>
        <v>0</v>
      </c>
      <c r="BC50" s="6"/>
      <c r="BD50" s="47"/>
      <c r="BE50" s="5">
        <f t="shared" si="10"/>
        <v>0</v>
      </c>
      <c r="BF50" s="48"/>
      <c r="BG50" s="49"/>
      <c r="BH50" s="1">
        <f t="shared" si="11"/>
        <v>0</v>
      </c>
      <c r="BI50" s="50"/>
      <c r="BJ50" s="51"/>
      <c r="BK50" s="5">
        <f t="shared" si="12"/>
        <v>0</v>
      </c>
      <c r="BL50" s="48"/>
      <c r="BM50" s="49"/>
      <c r="BN50" s="1">
        <f t="shared" si="13"/>
        <v>0</v>
      </c>
      <c r="BO50" s="50"/>
      <c r="BP50" s="51"/>
      <c r="BQ50" s="5">
        <f t="shared" si="14"/>
        <v>0</v>
      </c>
      <c r="BR50" s="48"/>
      <c r="BS50" s="49"/>
      <c r="BT50" s="1">
        <f t="shared" si="15"/>
        <v>0</v>
      </c>
      <c r="BU50" s="50"/>
      <c r="BV50" s="51"/>
      <c r="BW50" s="5">
        <f t="shared" si="16"/>
        <v>0</v>
      </c>
      <c r="BX50" s="48"/>
      <c r="BY50" s="49"/>
      <c r="BZ50" s="2">
        <f t="shared" si="17"/>
        <v>0</v>
      </c>
      <c r="CA50" s="52"/>
    </row>
    <row r="51" spans="1:79" s="41" customFormat="1" ht="15.75">
      <c r="A51" s="57">
        <v>44817</v>
      </c>
      <c r="B51" s="58" t="s">
        <v>388</v>
      </c>
      <c r="C51" s="34">
        <v>7105393</v>
      </c>
      <c r="D51" s="34" t="s">
        <v>378</v>
      </c>
      <c r="E51" s="59" t="s">
        <v>379</v>
      </c>
      <c r="F51" s="8">
        <v>493.2</v>
      </c>
      <c r="G51" s="4">
        <v>0</v>
      </c>
      <c r="H51" s="54">
        <v>0</v>
      </c>
      <c r="I51" s="4">
        <v>0</v>
      </c>
      <c r="J51" s="3">
        <v>0</v>
      </c>
      <c r="K51" s="44"/>
      <c r="L51" s="82">
        <v>0</v>
      </c>
      <c r="M51" s="82">
        <v>0</v>
      </c>
      <c r="N51" s="82">
        <v>0</v>
      </c>
      <c r="O51" s="82">
        <v>0</v>
      </c>
      <c r="P51" s="82">
        <v>0</v>
      </c>
      <c r="Q51" s="82">
        <v>0</v>
      </c>
      <c r="R51" s="83">
        <v>0</v>
      </c>
      <c r="S51" s="83">
        <v>0</v>
      </c>
      <c r="T51" s="83">
        <v>0</v>
      </c>
      <c r="U51" s="83">
        <v>0</v>
      </c>
      <c r="V51" s="83">
        <v>0</v>
      </c>
      <c r="W51" s="82">
        <v>0</v>
      </c>
      <c r="X51" s="82">
        <v>0</v>
      </c>
      <c r="Y51" s="83">
        <v>0</v>
      </c>
      <c r="Z51" s="84">
        <v>0</v>
      </c>
      <c r="AA51" s="82">
        <v>0</v>
      </c>
      <c r="AB51" s="82">
        <v>0</v>
      </c>
      <c r="AC51" s="82">
        <v>0</v>
      </c>
      <c r="AD51" s="82">
        <v>0</v>
      </c>
      <c r="AE51" s="82">
        <v>0</v>
      </c>
      <c r="AF51" s="84">
        <v>0</v>
      </c>
      <c r="AG51" s="84">
        <v>0</v>
      </c>
      <c r="AH51" s="85">
        <v>0</v>
      </c>
      <c r="AI51" s="85">
        <v>0</v>
      </c>
      <c r="AJ51" s="85">
        <v>0</v>
      </c>
      <c r="AK51" s="85">
        <v>0</v>
      </c>
      <c r="AL51" s="82">
        <v>0</v>
      </c>
      <c r="AM51" s="82">
        <v>0</v>
      </c>
      <c r="AN51" s="86">
        <v>0</v>
      </c>
      <c r="AO51" s="82">
        <v>0</v>
      </c>
      <c r="AP51" s="82">
        <v>0</v>
      </c>
      <c r="AQ51" s="82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2">
        <v>0</v>
      </c>
      <c r="AZ51" s="80"/>
      <c r="BA51" s="81"/>
      <c r="BB51" s="1">
        <f t="shared" si="9"/>
        <v>0</v>
      </c>
      <c r="BC51" s="6"/>
      <c r="BD51" s="47"/>
      <c r="BE51" s="5">
        <f t="shared" si="10"/>
        <v>0</v>
      </c>
      <c r="BF51" s="48"/>
      <c r="BG51" s="49"/>
      <c r="BH51" s="1">
        <f t="shared" si="11"/>
        <v>0</v>
      </c>
      <c r="BI51" s="50"/>
      <c r="BJ51" s="51"/>
      <c r="BK51" s="5">
        <f t="shared" si="12"/>
        <v>0</v>
      </c>
      <c r="BL51" s="48"/>
      <c r="BM51" s="49"/>
      <c r="BN51" s="1">
        <f t="shared" si="13"/>
        <v>0</v>
      </c>
      <c r="BO51" s="50"/>
      <c r="BP51" s="51"/>
      <c r="BQ51" s="5">
        <f t="shared" si="14"/>
        <v>0</v>
      </c>
      <c r="BR51" s="48"/>
      <c r="BS51" s="49"/>
      <c r="BT51" s="1">
        <f t="shared" si="15"/>
        <v>0</v>
      </c>
      <c r="BU51" s="50"/>
      <c r="BV51" s="51"/>
      <c r="BW51" s="5">
        <f t="shared" si="16"/>
        <v>0</v>
      </c>
      <c r="BX51" s="48"/>
      <c r="BY51" s="49"/>
      <c r="BZ51" s="2">
        <f t="shared" si="17"/>
        <v>0</v>
      </c>
      <c r="CA51" s="52"/>
    </row>
    <row r="52" spans="1:79" s="41" customFormat="1" ht="15.75">
      <c r="A52" s="57">
        <v>44817</v>
      </c>
      <c r="B52" s="58" t="s">
        <v>391</v>
      </c>
      <c r="C52" s="34">
        <v>7105363</v>
      </c>
      <c r="D52" s="34" t="s">
        <v>380</v>
      </c>
      <c r="E52" s="59" t="s">
        <v>381</v>
      </c>
      <c r="F52" s="8">
        <v>493.2</v>
      </c>
      <c r="G52" s="4">
        <v>0</v>
      </c>
      <c r="H52" s="54">
        <v>0</v>
      </c>
      <c r="I52" s="4">
        <v>0</v>
      </c>
      <c r="J52" s="3">
        <v>0</v>
      </c>
      <c r="K52" s="44"/>
      <c r="L52" s="82">
        <v>0</v>
      </c>
      <c r="M52" s="82">
        <v>0</v>
      </c>
      <c r="N52" s="82">
        <v>0</v>
      </c>
      <c r="O52" s="82">
        <v>0</v>
      </c>
      <c r="P52" s="82">
        <v>0</v>
      </c>
      <c r="Q52" s="82">
        <v>0</v>
      </c>
      <c r="R52" s="83">
        <v>0</v>
      </c>
      <c r="S52" s="83">
        <v>0</v>
      </c>
      <c r="T52" s="83">
        <v>0</v>
      </c>
      <c r="U52" s="83">
        <v>0</v>
      </c>
      <c r="V52" s="83">
        <v>0</v>
      </c>
      <c r="W52" s="82">
        <v>0</v>
      </c>
      <c r="X52" s="82">
        <v>0</v>
      </c>
      <c r="Y52" s="83">
        <v>0</v>
      </c>
      <c r="Z52" s="84">
        <v>0</v>
      </c>
      <c r="AA52" s="82">
        <v>0</v>
      </c>
      <c r="AB52" s="82">
        <v>0</v>
      </c>
      <c r="AC52" s="82">
        <v>0</v>
      </c>
      <c r="AD52" s="82">
        <v>0</v>
      </c>
      <c r="AE52" s="82">
        <v>0</v>
      </c>
      <c r="AF52" s="84">
        <v>0</v>
      </c>
      <c r="AG52" s="84">
        <v>0</v>
      </c>
      <c r="AH52" s="85">
        <v>0</v>
      </c>
      <c r="AI52" s="85">
        <v>0</v>
      </c>
      <c r="AJ52" s="85">
        <v>0</v>
      </c>
      <c r="AK52" s="85">
        <v>0</v>
      </c>
      <c r="AL52" s="82">
        <v>0</v>
      </c>
      <c r="AM52" s="82">
        <v>0</v>
      </c>
      <c r="AN52" s="86">
        <v>0</v>
      </c>
      <c r="AO52" s="82">
        <v>0</v>
      </c>
      <c r="AP52" s="82">
        <v>0</v>
      </c>
      <c r="AQ52" s="82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2">
        <v>0</v>
      </c>
      <c r="AZ52" s="80"/>
      <c r="BA52" s="81"/>
      <c r="BB52" s="1">
        <f t="shared" si="9"/>
        <v>0</v>
      </c>
      <c r="BC52" s="6"/>
      <c r="BD52" s="47"/>
      <c r="BE52" s="5">
        <f t="shared" si="10"/>
        <v>0</v>
      </c>
      <c r="BF52" s="48"/>
      <c r="BG52" s="49"/>
      <c r="BH52" s="1">
        <f t="shared" si="11"/>
        <v>0</v>
      </c>
      <c r="BI52" s="50"/>
      <c r="BJ52" s="51"/>
      <c r="BK52" s="5">
        <f t="shared" si="12"/>
        <v>0</v>
      </c>
      <c r="BL52" s="48"/>
      <c r="BM52" s="49"/>
      <c r="BN52" s="1">
        <f t="shared" si="13"/>
        <v>0</v>
      </c>
      <c r="BO52" s="50"/>
      <c r="BP52" s="51"/>
      <c r="BQ52" s="5">
        <f t="shared" si="14"/>
        <v>0</v>
      </c>
      <c r="BR52" s="48"/>
      <c r="BS52" s="49"/>
      <c r="BT52" s="1">
        <f t="shared" si="15"/>
        <v>0</v>
      </c>
      <c r="BU52" s="50"/>
      <c r="BV52" s="51"/>
      <c r="BW52" s="5">
        <f t="shared" si="16"/>
        <v>0</v>
      </c>
      <c r="BX52" s="48"/>
      <c r="BY52" s="49"/>
      <c r="BZ52" s="2">
        <f t="shared" si="17"/>
        <v>0</v>
      </c>
      <c r="CA52" s="52"/>
    </row>
    <row r="53" spans="1:79" ht="15.75">
      <c r="A53" s="57">
        <v>44817</v>
      </c>
      <c r="B53" s="58" t="s">
        <v>388</v>
      </c>
      <c r="C53" s="34">
        <v>7105427</v>
      </c>
      <c r="D53" s="34" t="s">
        <v>382</v>
      </c>
      <c r="E53" s="59" t="s">
        <v>383</v>
      </c>
      <c r="F53" s="8">
        <v>493.2</v>
      </c>
      <c r="G53" s="4">
        <v>0</v>
      </c>
      <c r="H53" s="54">
        <v>0</v>
      </c>
      <c r="I53" s="4">
        <v>0</v>
      </c>
      <c r="J53" s="3">
        <v>0</v>
      </c>
      <c r="K53" s="44"/>
      <c r="L53" s="82">
        <v>0</v>
      </c>
      <c r="M53" s="82">
        <v>0</v>
      </c>
      <c r="N53" s="82">
        <v>0</v>
      </c>
      <c r="O53" s="82">
        <v>0</v>
      </c>
      <c r="P53" s="82">
        <v>0</v>
      </c>
      <c r="Q53" s="82">
        <v>0</v>
      </c>
      <c r="R53" s="83">
        <v>0</v>
      </c>
      <c r="S53" s="83">
        <v>0</v>
      </c>
      <c r="T53" s="83">
        <v>0</v>
      </c>
      <c r="U53" s="83">
        <v>0</v>
      </c>
      <c r="V53" s="83">
        <v>0</v>
      </c>
      <c r="W53" s="82">
        <v>0</v>
      </c>
      <c r="X53" s="82">
        <v>0</v>
      </c>
      <c r="Y53" s="83">
        <v>0</v>
      </c>
      <c r="Z53" s="84">
        <v>0</v>
      </c>
      <c r="AA53" s="82">
        <v>0</v>
      </c>
      <c r="AB53" s="82">
        <v>0</v>
      </c>
      <c r="AC53" s="82">
        <v>0</v>
      </c>
      <c r="AD53" s="82">
        <v>0</v>
      </c>
      <c r="AE53" s="82">
        <v>0</v>
      </c>
      <c r="AF53" s="84">
        <v>0</v>
      </c>
      <c r="AG53" s="84">
        <v>0</v>
      </c>
      <c r="AH53" s="85">
        <v>0</v>
      </c>
      <c r="AI53" s="85">
        <v>0</v>
      </c>
      <c r="AJ53" s="85">
        <v>0</v>
      </c>
      <c r="AK53" s="85">
        <v>0</v>
      </c>
      <c r="AL53" s="82">
        <v>0</v>
      </c>
      <c r="AM53" s="82">
        <v>0</v>
      </c>
      <c r="AN53" s="86">
        <v>0</v>
      </c>
      <c r="AO53" s="82">
        <v>0</v>
      </c>
      <c r="AP53" s="82">
        <v>0</v>
      </c>
      <c r="AQ53" s="82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2">
        <v>0</v>
      </c>
      <c r="AZ53" s="80"/>
      <c r="BA53" s="81"/>
      <c r="BB53" s="1">
        <f t="shared" si="9"/>
        <v>0</v>
      </c>
      <c r="BC53" s="6"/>
      <c r="BD53" s="47"/>
      <c r="BE53" s="5">
        <f t="shared" si="10"/>
        <v>0</v>
      </c>
      <c r="BF53" s="48"/>
      <c r="BG53" s="49"/>
      <c r="BH53" s="1">
        <f t="shared" si="11"/>
        <v>0</v>
      </c>
      <c r="BI53" s="50"/>
      <c r="BJ53" s="51"/>
      <c r="BK53" s="5">
        <f t="shared" si="12"/>
        <v>0</v>
      </c>
      <c r="BL53" s="48"/>
      <c r="BM53" s="49"/>
      <c r="BN53" s="1">
        <f t="shared" si="13"/>
        <v>0</v>
      </c>
      <c r="BO53" s="50"/>
      <c r="BP53" s="51"/>
      <c r="BQ53" s="5">
        <f t="shared" si="14"/>
        <v>0</v>
      </c>
      <c r="BR53" s="48"/>
      <c r="BS53" s="49"/>
      <c r="BT53" s="1">
        <f t="shared" si="15"/>
        <v>0</v>
      </c>
      <c r="BU53" s="50"/>
      <c r="BV53" s="51"/>
      <c r="BW53" s="5">
        <f t="shared" si="16"/>
        <v>0</v>
      </c>
      <c r="BX53" s="48"/>
      <c r="BY53" s="49"/>
      <c r="BZ53" s="2">
        <f t="shared" si="17"/>
        <v>0</v>
      </c>
      <c r="CA53" s="52"/>
    </row>
    <row r="54" spans="1:79" ht="15.75">
      <c r="A54" s="57">
        <v>44817</v>
      </c>
      <c r="B54" s="58" t="s">
        <v>391</v>
      </c>
      <c r="C54" s="34">
        <v>7105431</v>
      </c>
      <c r="D54" s="34" t="s">
        <v>384</v>
      </c>
      <c r="E54" s="59" t="s">
        <v>385</v>
      </c>
      <c r="F54" s="8">
        <v>493.2</v>
      </c>
      <c r="G54" s="4">
        <v>0</v>
      </c>
      <c r="H54" s="54">
        <v>0</v>
      </c>
      <c r="I54" s="4">
        <v>0</v>
      </c>
      <c r="J54" s="3">
        <v>0</v>
      </c>
      <c r="K54" s="44"/>
      <c r="L54" s="82">
        <v>0</v>
      </c>
      <c r="M54" s="82">
        <v>0</v>
      </c>
      <c r="N54" s="82">
        <v>0</v>
      </c>
      <c r="O54" s="82">
        <v>0</v>
      </c>
      <c r="P54" s="82">
        <v>0</v>
      </c>
      <c r="Q54" s="82">
        <v>0</v>
      </c>
      <c r="R54" s="83">
        <v>0</v>
      </c>
      <c r="S54" s="83">
        <v>0</v>
      </c>
      <c r="T54" s="83">
        <v>0</v>
      </c>
      <c r="U54" s="83">
        <v>0</v>
      </c>
      <c r="V54" s="83">
        <v>0</v>
      </c>
      <c r="W54" s="82">
        <v>0</v>
      </c>
      <c r="X54" s="82">
        <v>0</v>
      </c>
      <c r="Y54" s="83">
        <v>0</v>
      </c>
      <c r="Z54" s="84">
        <v>0</v>
      </c>
      <c r="AA54" s="82">
        <v>0</v>
      </c>
      <c r="AB54" s="82">
        <v>0</v>
      </c>
      <c r="AC54" s="82">
        <v>0</v>
      </c>
      <c r="AD54" s="82">
        <v>0</v>
      </c>
      <c r="AE54" s="82">
        <v>0</v>
      </c>
      <c r="AF54" s="84">
        <v>0</v>
      </c>
      <c r="AG54" s="84">
        <v>0</v>
      </c>
      <c r="AH54" s="85">
        <v>0</v>
      </c>
      <c r="AI54" s="85">
        <v>0</v>
      </c>
      <c r="AJ54" s="85">
        <v>0</v>
      </c>
      <c r="AK54" s="85">
        <v>0</v>
      </c>
      <c r="AL54" s="82">
        <v>0</v>
      </c>
      <c r="AM54" s="82">
        <v>0</v>
      </c>
      <c r="AN54" s="86">
        <v>0</v>
      </c>
      <c r="AO54" s="82">
        <v>0</v>
      </c>
      <c r="AP54" s="82">
        <v>0</v>
      </c>
      <c r="AQ54" s="82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2">
        <v>0</v>
      </c>
      <c r="AZ54" s="80"/>
      <c r="BA54" s="81"/>
      <c r="BB54" s="1">
        <f t="shared" si="9"/>
        <v>0</v>
      </c>
      <c r="BC54" s="6"/>
      <c r="BD54" s="47"/>
      <c r="BE54" s="5">
        <f t="shared" si="10"/>
        <v>0</v>
      </c>
      <c r="BF54" s="48"/>
      <c r="BG54" s="49"/>
      <c r="BH54" s="1">
        <f t="shared" si="11"/>
        <v>0</v>
      </c>
      <c r="BI54" s="50"/>
      <c r="BJ54" s="51"/>
      <c r="BK54" s="5">
        <f t="shared" si="12"/>
        <v>0</v>
      </c>
      <c r="BL54" s="48"/>
      <c r="BM54" s="49"/>
      <c r="BN54" s="1">
        <f t="shared" si="13"/>
        <v>0</v>
      </c>
      <c r="BO54" s="50"/>
      <c r="BP54" s="51"/>
      <c r="BQ54" s="5">
        <f t="shared" si="14"/>
        <v>0</v>
      </c>
      <c r="BR54" s="48"/>
      <c r="BS54" s="49"/>
      <c r="BT54" s="1">
        <f t="shared" si="15"/>
        <v>0</v>
      </c>
      <c r="BU54" s="50"/>
      <c r="BV54" s="51"/>
      <c r="BW54" s="5">
        <f t="shared" si="16"/>
        <v>0</v>
      </c>
      <c r="BX54" s="48"/>
      <c r="BY54" s="49"/>
      <c r="BZ54" s="2">
        <f t="shared" si="17"/>
        <v>0</v>
      </c>
      <c r="CA54" s="52"/>
    </row>
    <row r="55" spans="1:79" ht="15.75">
      <c r="A55" s="57">
        <v>44621</v>
      </c>
      <c r="B55" s="58" t="s">
        <v>387</v>
      </c>
      <c r="C55" s="34">
        <v>7104212</v>
      </c>
      <c r="D55" s="34" t="s">
        <v>206</v>
      </c>
      <c r="E55" s="59" t="s">
        <v>207</v>
      </c>
      <c r="F55" s="8">
        <v>495.87</v>
      </c>
      <c r="G55" s="4">
        <v>0</v>
      </c>
      <c r="H55" s="54">
        <v>0</v>
      </c>
      <c r="I55" s="4">
        <v>0</v>
      </c>
      <c r="J55" s="3">
        <v>0</v>
      </c>
      <c r="K55" s="44"/>
      <c r="L55" s="82">
        <v>1</v>
      </c>
      <c r="M55" s="82">
        <v>0</v>
      </c>
      <c r="N55" s="82">
        <v>1</v>
      </c>
      <c r="O55" s="82">
        <v>0</v>
      </c>
      <c r="P55" s="82">
        <v>0</v>
      </c>
      <c r="Q55" s="82">
        <v>0</v>
      </c>
      <c r="R55" s="83">
        <v>0</v>
      </c>
      <c r="S55" s="83">
        <v>0</v>
      </c>
      <c r="T55" s="83">
        <v>0</v>
      </c>
      <c r="U55" s="83">
        <v>0</v>
      </c>
      <c r="V55" s="83">
        <v>0</v>
      </c>
      <c r="W55" s="82">
        <v>0</v>
      </c>
      <c r="X55" s="82">
        <v>0</v>
      </c>
      <c r="Y55" s="83">
        <v>0</v>
      </c>
      <c r="Z55" s="84">
        <v>0</v>
      </c>
      <c r="AA55" s="82">
        <v>0</v>
      </c>
      <c r="AB55" s="82">
        <v>0</v>
      </c>
      <c r="AC55" s="82">
        <v>0</v>
      </c>
      <c r="AD55" s="82">
        <v>0</v>
      </c>
      <c r="AE55" s="82">
        <v>0</v>
      </c>
      <c r="AF55" s="84">
        <v>0</v>
      </c>
      <c r="AG55" s="84">
        <v>0</v>
      </c>
      <c r="AH55" s="85">
        <v>0</v>
      </c>
      <c r="AI55" s="85">
        <v>0</v>
      </c>
      <c r="AJ55" s="85">
        <v>0</v>
      </c>
      <c r="AK55" s="85">
        <v>0</v>
      </c>
      <c r="AL55" s="82">
        <v>0</v>
      </c>
      <c r="AM55" s="82">
        <v>0</v>
      </c>
      <c r="AN55" s="86">
        <v>0</v>
      </c>
      <c r="AO55" s="82">
        <v>0</v>
      </c>
      <c r="AP55" s="82">
        <v>0</v>
      </c>
      <c r="AQ55" s="82">
        <v>0</v>
      </c>
      <c r="AR55" s="87">
        <v>0</v>
      </c>
      <c r="AS55" s="87">
        <v>0</v>
      </c>
      <c r="AT55" s="87">
        <v>0</v>
      </c>
      <c r="AU55" s="87">
        <v>0</v>
      </c>
      <c r="AV55" s="87">
        <v>0</v>
      </c>
      <c r="AW55" s="87">
        <v>0</v>
      </c>
      <c r="AX55" s="87">
        <v>0</v>
      </c>
      <c r="AY55" s="82">
        <v>0</v>
      </c>
      <c r="AZ55" s="80"/>
      <c r="BA55" s="81"/>
      <c r="BB55" s="1">
        <f t="shared" si="9"/>
        <v>0</v>
      </c>
      <c r="BC55" s="6"/>
      <c r="BD55" s="47"/>
      <c r="BE55" s="5">
        <f t="shared" si="10"/>
        <v>0</v>
      </c>
      <c r="BF55" s="48"/>
      <c r="BG55" s="49"/>
      <c r="BH55" s="1">
        <f t="shared" si="11"/>
        <v>0</v>
      </c>
      <c r="BI55" s="50"/>
      <c r="BJ55" s="51"/>
      <c r="BK55" s="5">
        <f t="shared" si="12"/>
        <v>0</v>
      </c>
      <c r="BL55" s="48"/>
      <c r="BM55" s="49"/>
      <c r="BN55" s="1">
        <f t="shared" si="13"/>
        <v>0</v>
      </c>
      <c r="BO55" s="50"/>
      <c r="BP55" s="51"/>
      <c r="BQ55" s="5">
        <f t="shared" si="14"/>
        <v>0</v>
      </c>
      <c r="BR55" s="48"/>
      <c r="BS55" s="49"/>
      <c r="BT55" s="1">
        <f t="shared" si="15"/>
        <v>0</v>
      </c>
      <c r="BU55" s="50"/>
      <c r="BV55" s="51"/>
      <c r="BW55" s="5">
        <f t="shared" si="16"/>
        <v>0</v>
      </c>
      <c r="BX55" s="48"/>
      <c r="BY55" s="49"/>
      <c r="BZ55" s="2">
        <f t="shared" si="17"/>
        <v>0</v>
      </c>
      <c r="CA55" s="52"/>
    </row>
    <row r="56" spans="1:79" ht="15.75">
      <c r="A56" s="57">
        <v>44803</v>
      </c>
      <c r="B56" s="58" t="s">
        <v>387</v>
      </c>
      <c r="C56" s="34">
        <v>7105341</v>
      </c>
      <c r="D56" s="34" t="s">
        <v>362</v>
      </c>
      <c r="E56" s="59" t="s">
        <v>363</v>
      </c>
      <c r="F56" s="8">
        <v>498.39</v>
      </c>
      <c r="G56" s="4">
        <v>0</v>
      </c>
      <c r="H56" s="54">
        <v>0</v>
      </c>
      <c r="I56" s="4">
        <v>0</v>
      </c>
      <c r="J56" s="3">
        <v>0</v>
      </c>
      <c r="K56" s="44"/>
      <c r="L56" s="82">
        <v>0</v>
      </c>
      <c r="M56" s="82">
        <v>0</v>
      </c>
      <c r="N56" s="82">
        <v>0</v>
      </c>
      <c r="O56" s="82">
        <v>0</v>
      </c>
      <c r="P56" s="82">
        <v>0</v>
      </c>
      <c r="Q56" s="82">
        <v>0</v>
      </c>
      <c r="R56" s="83">
        <v>0</v>
      </c>
      <c r="S56" s="83">
        <v>0</v>
      </c>
      <c r="T56" s="83">
        <v>0</v>
      </c>
      <c r="U56" s="83">
        <v>0</v>
      </c>
      <c r="V56" s="83">
        <v>0</v>
      </c>
      <c r="W56" s="82">
        <v>0</v>
      </c>
      <c r="X56" s="82">
        <v>0</v>
      </c>
      <c r="Y56" s="83">
        <v>0</v>
      </c>
      <c r="Z56" s="84">
        <v>0</v>
      </c>
      <c r="AA56" s="82">
        <v>0</v>
      </c>
      <c r="AB56" s="82">
        <v>0</v>
      </c>
      <c r="AC56" s="82">
        <v>0</v>
      </c>
      <c r="AD56" s="82">
        <v>0</v>
      </c>
      <c r="AE56" s="82">
        <v>0</v>
      </c>
      <c r="AF56" s="84">
        <v>0</v>
      </c>
      <c r="AG56" s="84">
        <v>0</v>
      </c>
      <c r="AH56" s="85">
        <v>0</v>
      </c>
      <c r="AI56" s="85">
        <v>0</v>
      </c>
      <c r="AJ56" s="85">
        <v>0</v>
      </c>
      <c r="AK56" s="85">
        <v>0</v>
      </c>
      <c r="AL56" s="82">
        <v>0</v>
      </c>
      <c r="AM56" s="82">
        <v>0</v>
      </c>
      <c r="AN56" s="86">
        <v>0</v>
      </c>
      <c r="AO56" s="82">
        <v>0</v>
      </c>
      <c r="AP56" s="82">
        <v>0</v>
      </c>
      <c r="AQ56" s="82">
        <v>0</v>
      </c>
      <c r="AR56" s="87">
        <v>0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2">
        <v>0</v>
      </c>
      <c r="AZ56" s="80"/>
      <c r="BA56" s="81"/>
      <c r="BB56" s="1">
        <f t="shared" si="9"/>
        <v>0</v>
      </c>
      <c r="BC56" s="6"/>
      <c r="BD56" s="47"/>
      <c r="BE56" s="5">
        <f t="shared" si="10"/>
        <v>0</v>
      </c>
      <c r="BF56" s="48"/>
      <c r="BG56" s="49"/>
      <c r="BH56" s="1">
        <f t="shared" si="11"/>
        <v>0</v>
      </c>
      <c r="BI56" s="50"/>
      <c r="BJ56" s="51"/>
      <c r="BK56" s="5">
        <f t="shared" si="12"/>
        <v>0</v>
      </c>
      <c r="BL56" s="48"/>
      <c r="BM56" s="49"/>
      <c r="BN56" s="1">
        <f t="shared" si="13"/>
        <v>0</v>
      </c>
      <c r="BO56" s="50"/>
      <c r="BP56" s="51"/>
      <c r="BQ56" s="5">
        <f t="shared" si="14"/>
        <v>0</v>
      </c>
      <c r="BR56" s="48"/>
      <c r="BS56" s="49"/>
      <c r="BT56" s="1">
        <f t="shared" si="15"/>
        <v>0</v>
      </c>
      <c r="BU56" s="50"/>
      <c r="BV56" s="51"/>
      <c r="BW56" s="5">
        <f t="shared" si="16"/>
        <v>0</v>
      </c>
      <c r="BX56" s="48"/>
      <c r="BY56" s="49"/>
      <c r="BZ56" s="2">
        <f t="shared" si="17"/>
        <v>0</v>
      </c>
      <c r="CA56" s="52"/>
    </row>
    <row r="57" spans="1:79" ht="15.75">
      <c r="A57" s="57">
        <v>44803</v>
      </c>
      <c r="B57" s="58" t="s">
        <v>388</v>
      </c>
      <c r="C57" s="34">
        <v>7105315</v>
      </c>
      <c r="D57" s="34" t="s">
        <v>113</v>
      </c>
      <c r="E57" s="59" t="s">
        <v>366</v>
      </c>
      <c r="F57" s="8">
        <v>498.39</v>
      </c>
      <c r="G57" s="4">
        <v>0</v>
      </c>
      <c r="H57" s="54">
        <v>0</v>
      </c>
      <c r="I57" s="4">
        <v>0</v>
      </c>
      <c r="J57" s="3">
        <v>0</v>
      </c>
      <c r="K57" s="44"/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3">
        <v>0</v>
      </c>
      <c r="S57" s="83">
        <v>0</v>
      </c>
      <c r="T57" s="83">
        <v>0</v>
      </c>
      <c r="U57" s="83">
        <v>0</v>
      </c>
      <c r="V57" s="83">
        <v>0</v>
      </c>
      <c r="W57" s="82">
        <v>0</v>
      </c>
      <c r="X57" s="82">
        <v>0</v>
      </c>
      <c r="Y57" s="83">
        <v>0</v>
      </c>
      <c r="Z57" s="84">
        <v>0</v>
      </c>
      <c r="AA57" s="82">
        <v>0</v>
      </c>
      <c r="AB57" s="82">
        <v>0</v>
      </c>
      <c r="AC57" s="82">
        <v>0</v>
      </c>
      <c r="AD57" s="82">
        <v>0</v>
      </c>
      <c r="AE57" s="82">
        <v>0</v>
      </c>
      <c r="AF57" s="84">
        <v>0</v>
      </c>
      <c r="AG57" s="84">
        <v>0</v>
      </c>
      <c r="AH57" s="85">
        <v>0</v>
      </c>
      <c r="AI57" s="85">
        <v>0</v>
      </c>
      <c r="AJ57" s="85">
        <v>0</v>
      </c>
      <c r="AK57" s="85">
        <v>0</v>
      </c>
      <c r="AL57" s="82">
        <v>0</v>
      </c>
      <c r="AM57" s="82">
        <v>0</v>
      </c>
      <c r="AN57" s="86">
        <v>0</v>
      </c>
      <c r="AO57" s="82">
        <v>0</v>
      </c>
      <c r="AP57" s="82">
        <v>0</v>
      </c>
      <c r="AQ57" s="82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2">
        <v>0</v>
      </c>
      <c r="AZ57" s="80"/>
      <c r="BA57" s="81"/>
      <c r="BB57" s="1">
        <f t="shared" si="9"/>
        <v>0</v>
      </c>
      <c r="BC57" s="6"/>
      <c r="BD57" s="47"/>
      <c r="BE57" s="5">
        <f t="shared" si="10"/>
        <v>0</v>
      </c>
      <c r="BF57" s="48"/>
      <c r="BG57" s="49"/>
      <c r="BH57" s="1">
        <f t="shared" si="11"/>
        <v>0</v>
      </c>
      <c r="BI57" s="50"/>
      <c r="BJ57" s="51"/>
      <c r="BK57" s="5">
        <f t="shared" si="12"/>
        <v>0</v>
      </c>
      <c r="BL57" s="48"/>
      <c r="BM57" s="49"/>
      <c r="BN57" s="1">
        <f t="shared" si="13"/>
        <v>0</v>
      </c>
      <c r="BO57" s="50"/>
      <c r="BP57" s="51"/>
      <c r="BQ57" s="5">
        <f t="shared" si="14"/>
        <v>0</v>
      </c>
      <c r="BR57" s="48"/>
      <c r="BS57" s="49"/>
      <c r="BT57" s="1">
        <f t="shared" si="15"/>
        <v>0</v>
      </c>
      <c r="BU57" s="50"/>
      <c r="BV57" s="51"/>
      <c r="BW57" s="5">
        <f t="shared" si="16"/>
        <v>0</v>
      </c>
      <c r="BX57" s="48"/>
      <c r="BY57" s="49"/>
      <c r="BZ57" s="2">
        <f t="shared" si="17"/>
        <v>0</v>
      </c>
      <c r="CA57" s="52"/>
    </row>
    <row r="58" spans="1:79" ht="15.75">
      <c r="A58" s="57">
        <v>44803</v>
      </c>
      <c r="B58" s="58" t="s">
        <v>389</v>
      </c>
      <c r="C58" s="34">
        <v>7105345</v>
      </c>
      <c r="D58" s="34" t="s">
        <v>368</v>
      </c>
      <c r="E58" s="59" t="s">
        <v>369</v>
      </c>
      <c r="F58" s="8">
        <v>498.39</v>
      </c>
      <c r="G58" s="4">
        <v>0</v>
      </c>
      <c r="H58" s="54">
        <v>0</v>
      </c>
      <c r="I58" s="4">
        <v>0</v>
      </c>
      <c r="J58" s="3">
        <v>0</v>
      </c>
      <c r="K58" s="44"/>
      <c r="L58" s="82">
        <v>0</v>
      </c>
      <c r="M58" s="82">
        <v>0</v>
      </c>
      <c r="N58" s="82">
        <v>0</v>
      </c>
      <c r="O58" s="82">
        <v>0</v>
      </c>
      <c r="P58" s="82">
        <v>0</v>
      </c>
      <c r="Q58" s="82">
        <v>0</v>
      </c>
      <c r="R58" s="83">
        <v>0</v>
      </c>
      <c r="S58" s="83">
        <v>0</v>
      </c>
      <c r="T58" s="83">
        <v>0</v>
      </c>
      <c r="U58" s="83">
        <v>0</v>
      </c>
      <c r="V58" s="83">
        <v>0</v>
      </c>
      <c r="W58" s="82">
        <v>0</v>
      </c>
      <c r="X58" s="82">
        <v>0</v>
      </c>
      <c r="Y58" s="83">
        <v>0</v>
      </c>
      <c r="Z58" s="84">
        <v>0</v>
      </c>
      <c r="AA58" s="82">
        <v>0</v>
      </c>
      <c r="AB58" s="82">
        <v>0</v>
      </c>
      <c r="AC58" s="82">
        <v>0</v>
      </c>
      <c r="AD58" s="82">
        <v>0</v>
      </c>
      <c r="AE58" s="82">
        <v>0</v>
      </c>
      <c r="AF58" s="84">
        <v>0</v>
      </c>
      <c r="AG58" s="84">
        <v>0</v>
      </c>
      <c r="AH58" s="85">
        <v>0</v>
      </c>
      <c r="AI58" s="85">
        <v>0</v>
      </c>
      <c r="AJ58" s="85">
        <v>0</v>
      </c>
      <c r="AK58" s="85">
        <v>0</v>
      </c>
      <c r="AL58" s="82">
        <v>0</v>
      </c>
      <c r="AM58" s="82">
        <v>0</v>
      </c>
      <c r="AN58" s="86">
        <v>0</v>
      </c>
      <c r="AO58" s="82">
        <v>0</v>
      </c>
      <c r="AP58" s="82">
        <v>0</v>
      </c>
      <c r="AQ58" s="82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2">
        <v>0</v>
      </c>
      <c r="AZ58" s="80"/>
      <c r="BA58" s="81"/>
      <c r="BB58" s="1">
        <f t="shared" si="9"/>
        <v>0</v>
      </c>
      <c r="BC58" s="6"/>
      <c r="BD58" s="47"/>
      <c r="BE58" s="5">
        <f t="shared" si="10"/>
        <v>0</v>
      </c>
      <c r="BF58" s="48"/>
      <c r="BG58" s="49"/>
      <c r="BH58" s="1">
        <f t="shared" si="11"/>
        <v>0</v>
      </c>
      <c r="BI58" s="50"/>
      <c r="BJ58" s="51"/>
      <c r="BK58" s="5">
        <f t="shared" si="12"/>
        <v>0</v>
      </c>
      <c r="BL58" s="48"/>
      <c r="BM58" s="49"/>
      <c r="BN58" s="1">
        <f t="shared" si="13"/>
        <v>0</v>
      </c>
      <c r="BO58" s="50"/>
      <c r="BP58" s="51"/>
      <c r="BQ58" s="5">
        <f t="shared" si="14"/>
        <v>0</v>
      </c>
      <c r="BR58" s="48"/>
      <c r="BS58" s="49"/>
      <c r="BT58" s="1">
        <f t="shared" si="15"/>
        <v>0</v>
      </c>
      <c r="BU58" s="50"/>
      <c r="BV58" s="51"/>
      <c r="BW58" s="5">
        <f t="shared" si="16"/>
        <v>0</v>
      </c>
      <c r="BX58" s="48"/>
      <c r="BY58" s="49"/>
      <c r="BZ58" s="2">
        <f t="shared" si="17"/>
        <v>0</v>
      </c>
      <c r="CA58" s="52"/>
    </row>
    <row r="59" spans="1:79" ht="15.75">
      <c r="A59" s="57">
        <v>44803</v>
      </c>
      <c r="B59" s="58" t="s">
        <v>387</v>
      </c>
      <c r="C59" s="34">
        <v>7105367</v>
      </c>
      <c r="D59" s="34" t="s">
        <v>370</v>
      </c>
      <c r="E59" s="59" t="s">
        <v>371</v>
      </c>
      <c r="F59" s="8">
        <v>498.39</v>
      </c>
      <c r="G59" s="4">
        <v>0</v>
      </c>
      <c r="H59" s="54">
        <v>0</v>
      </c>
      <c r="I59" s="4">
        <v>0</v>
      </c>
      <c r="J59" s="3">
        <v>0</v>
      </c>
      <c r="K59" s="44"/>
      <c r="L59" s="82">
        <v>0</v>
      </c>
      <c r="M59" s="82">
        <v>0</v>
      </c>
      <c r="N59" s="82">
        <v>0</v>
      </c>
      <c r="O59" s="82">
        <v>0</v>
      </c>
      <c r="P59" s="82">
        <v>0</v>
      </c>
      <c r="Q59" s="82">
        <v>0</v>
      </c>
      <c r="R59" s="83">
        <v>0</v>
      </c>
      <c r="S59" s="83">
        <v>0</v>
      </c>
      <c r="T59" s="83">
        <v>0</v>
      </c>
      <c r="U59" s="83">
        <v>0</v>
      </c>
      <c r="V59" s="83">
        <v>0</v>
      </c>
      <c r="W59" s="82">
        <v>0</v>
      </c>
      <c r="X59" s="82">
        <v>0</v>
      </c>
      <c r="Y59" s="83">
        <v>0</v>
      </c>
      <c r="Z59" s="84">
        <v>0</v>
      </c>
      <c r="AA59" s="82">
        <v>0</v>
      </c>
      <c r="AB59" s="82">
        <v>0</v>
      </c>
      <c r="AC59" s="82">
        <v>0</v>
      </c>
      <c r="AD59" s="82">
        <v>0</v>
      </c>
      <c r="AE59" s="82">
        <v>0</v>
      </c>
      <c r="AF59" s="84">
        <v>0</v>
      </c>
      <c r="AG59" s="84">
        <v>0</v>
      </c>
      <c r="AH59" s="85">
        <v>0</v>
      </c>
      <c r="AI59" s="85">
        <v>0</v>
      </c>
      <c r="AJ59" s="85">
        <v>0</v>
      </c>
      <c r="AK59" s="85">
        <v>0</v>
      </c>
      <c r="AL59" s="82">
        <v>0</v>
      </c>
      <c r="AM59" s="82">
        <v>0</v>
      </c>
      <c r="AN59" s="86">
        <v>0</v>
      </c>
      <c r="AO59" s="82">
        <v>0</v>
      </c>
      <c r="AP59" s="82">
        <v>0</v>
      </c>
      <c r="AQ59" s="82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2">
        <v>0</v>
      </c>
      <c r="AZ59" s="80"/>
      <c r="BA59" s="81"/>
      <c r="BB59" s="1">
        <f t="shared" si="9"/>
        <v>0</v>
      </c>
      <c r="BC59" s="6"/>
      <c r="BD59" s="47"/>
      <c r="BE59" s="5">
        <f t="shared" si="10"/>
        <v>0</v>
      </c>
      <c r="BF59" s="48"/>
      <c r="BG59" s="49"/>
      <c r="BH59" s="1">
        <f t="shared" si="11"/>
        <v>0</v>
      </c>
      <c r="BI59" s="50"/>
      <c r="BJ59" s="51"/>
      <c r="BK59" s="5">
        <f t="shared" si="12"/>
        <v>0</v>
      </c>
      <c r="BL59" s="48"/>
      <c r="BM59" s="49"/>
      <c r="BN59" s="1">
        <f t="shared" si="13"/>
        <v>0</v>
      </c>
      <c r="BO59" s="50"/>
      <c r="BP59" s="51"/>
      <c r="BQ59" s="5">
        <f t="shared" si="14"/>
        <v>0</v>
      </c>
      <c r="BR59" s="48"/>
      <c r="BS59" s="49"/>
      <c r="BT59" s="1">
        <f t="shared" si="15"/>
        <v>0</v>
      </c>
      <c r="BU59" s="50"/>
      <c r="BV59" s="51"/>
      <c r="BW59" s="5">
        <f t="shared" si="16"/>
        <v>0</v>
      </c>
      <c r="BX59" s="48"/>
      <c r="BY59" s="49"/>
      <c r="BZ59" s="2">
        <f t="shared" si="17"/>
        <v>0</v>
      </c>
      <c r="CA59" s="52"/>
    </row>
    <row r="60" spans="1:79" ht="15.75">
      <c r="A60" s="57">
        <v>44803</v>
      </c>
      <c r="B60" s="58" t="s">
        <v>387</v>
      </c>
      <c r="C60" s="34">
        <v>7105319</v>
      </c>
      <c r="D60" s="34" t="s">
        <v>372</v>
      </c>
      <c r="E60" s="59" t="s">
        <v>373</v>
      </c>
      <c r="F60" s="8">
        <v>498.39</v>
      </c>
      <c r="G60" s="4">
        <v>0</v>
      </c>
      <c r="H60" s="54">
        <v>0</v>
      </c>
      <c r="I60" s="4">
        <v>0</v>
      </c>
      <c r="J60" s="3">
        <v>0</v>
      </c>
      <c r="K60" s="44"/>
      <c r="L60" s="82">
        <v>0</v>
      </c>
      <c r="M60" s="82">
        <v>0</v>
      </c>
      <c r="N60" s="82">
        <v>0</v>
      </c>
      <c r="O60" s="82">
        <v>0</v>
      </c>
      <c r="P60" s="82">
        <v>0</v>
      </c>
      <c r="Q60" s="82">
        <v>0</v>
      </c>
      <c r="R60" s="83">
        <v>0</v>
      </c>
      <c r="S60" s="83">
        <v>0</v>
      </c>
      <c r="T60" s="83">
        <v>0</v>
      </c>
      <c r="U60" s="83">
        <v>0</v>
      </c>
      <c r="V60" s="83">
        <v>0</v>
      </c>
      <c r="W60" s="82">
        <v>0</v>
      </c>
      <c r="X60" s="82">
        <v>0</v>
      </c>
      <c r="Y60" s="83">
        <v>0</v>
      </c>
      <c r="Z60" s="84">
        <v>0</v>
      </c>
      <c r="AA60" s="82">
        <v>0</v>
      </c>
      <c r="AB60" s="82">
        <v>0</v>
      </c>
      <c r="AC60" s="82">
        <v>0</v>
      </c>
      <c r="AD60" s="82">
        <v>0</v>
      </c>
      <c r="AE60" s="82">
        <v>0</v>
      </c>
      <c r="AF60" s="84">
        <v>0</v>
      </c>
      <c r="AG60" s="84">
        <v>0</v>
      </c>
      <c r="AH60" s="85">
        <v>0</v>
      </c>
      <c r="AI60" s="85">
        <v>0</v>
      </c>
      <c r="AJ60" s="85">
        <v>0</v>
      </c>
      <c r="AK60" s="85">
        <v>0</v>
      </c>
      <c r="AL60" s="82">
        <v>0</v>
      </c>
      <c r="AM60" s="82">
        <v>0</v>
      </c>
      <c r="AN60" s="86">
        <v>0</v>
      </c>
      <c r="AO60" s="82">
        <v>0</v>
      </c>
      <c r="AP60" s="82">
        <v>0</v>
      </c>
      <c r="AQ60" s="82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2">
        <v>0</v>
      </c>
      <c r="AZ60" s="80"/>
      <c r="BA60" s="81"/>
      <c r="BB60" s="1">
        <f t="shared" si="9"/>
        <v>0</v>
      </c>
      <c r="BC60" s="6"/>
      <c r="BD60" s="47"/>
      <c r="BE60" s="5">
        <f t="shared" si="10"/>
        <v>0</v>
      </c>
      <c r="BF60" s="48"/>
      <c r="BG60" s="49"/>
      <c r="BH60" s="1">
        <f t="shared" si="11"/>
        <v>0</v>
      </c>
      <c r="BI60" s="50"/>
      <c r="BJ60" s="51"/>
      <c r="BK60" s="5">
        <f t="shared" si="12"/>
        <v>0</v>
      </c>
      <c r="BL60" s="48"/>
      <c r="BM60" s="49"/>
      <c r="BN60" s="1">
        <f t="shared" si="13"/>
        <v>0</v>
      </c>
      <c r="BO60" s="50"/>
      <c r="BP60" s="51"/>
      <c r="BQ60" s="5">
        <f t="shared" si="14"/>
        <v>0</v>
      </c>
      <c r="BR60" s="48"/>
      <c r="BS60" s="49"/>
      <c r="BT60" s="1">
        <f t="shared" si="15"/>
        <v>0</v>
      </c>
      <c r="BU60" s="50"/>
      <c r="BV60" s="51"/>
      <c r="BW60" s="5">
        <f t="shared" si="16"/>
        <v>0</v>
      </c>
      <c r="BX60" s="48"/>
      <c r="BY60" s="49"/>
      <c r="BZ60" s="2">
        <f t="shared" si="17"/>
        <v>0</v>
      </c>
      <c r="CA60" s="52"/>
    </row>
    <row r="61" spans="1:79" ht="15.75">
      <c r="A61" s="57">
        <v>44748</v>
      </c>
      <c r="B61" s="58" t="s">
        <v>387</v>
      </c>
      <c r="C61" s="34">
        <v>7105038</v>
      </c>
      <c r="D61" s="34" t="s">
        <v>332</v>
      </c>
      <c r="E61" s="59" t="s">
        <v>335</v>
      </c>
      <c r="F61" s="8">
        <v>502.22</v>
      </c>
      <c r="G61" s="4">
        <v>0</v>
      </c>
      <c r="H61" s="54">
        <v>0</v>
      </c>
      <c r="I61" s="4">
        <v>0</v>
      </c>
      <c r="J61" s="3">
        <v>0</v>
      </c>
      <c r="K61" s="44"/>
      <c r="L61" s="82">
        <v>1</v>
      </c>
      <c r="M61" s="82">
        <v>0</v>
      </c>
      <c r="N61" s="82">
        <v>1</v>
      </c>
      <c r="O61" s="82">
        <v>0</v>
      </c>
      <c r="P61" s="82">
        <v>0</v>
      </c>
      <c r="Q61" s="82">
        <v>0</v>
      </c>
      <c r="R61" s="83">
        <v>0</v>
      </c>
      <c r="S61" s="83">
        <v>0</v>
      </c>
      <c r="T61" s="83">
        <v>0</v>
      </c>
      <c r="U61" s="83">
        <v>0</v>
      </c>
      <c r="V61" s="83">
        <v>0</v>
      </c>
      <c r="W61" s="82">
        <v>0</v>
      </c>
      <c r="X61" s="82">
        <v>0</v>
      </c>
      <c r="Y61" s="83">
        <v>0</v>
      </c>
      <c r="Z61" s="84">
        <v>0</v>
      </c>
      <c r="AA61" s="82">
        <v>0</v>
      </c>
      <c r="AB61" s="82">
        <v>0</v>
      </c>
      <c r="AC61" s="82">
        <v>0</v>
      </c>
      <c r="AD61" s="82">
        <v>0</v>
      </c>
      <c r="AE61" s="82">
        <v>0</v>
      </c>
      <c r="AF61" s="84">
        <v>0</v>
      </c>
      <c r="AG61" s="84">
        <v>0</v>
      </c>
      <c r="AH61" s="85">
        <v>0</v>
      </c>
      <c r="AI61" s="85">
        <v>0</v>
      </c>
      <c r="AJ61" s="85">
        <v>0</v>
      </c>
      <c r="AK61" s="85">
        <v>0</v>
      </c>
      <c r="AL61" s="82">
        <v>0</v>
      </c>
      <c r="AM61" s="82">
        <v>0</v>
      </c>
      <c r="AN61" s="86">
        <v>0</v>
      </c>
      <c r="AO61" s="82">
        <v>0</v>
      </c>
      <c r="AP61" s="82">
        <v>0</v>
      </c>
      <c r="AQ61" s="82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2">
        <v>0</v>
      </c>
      <c r="AZ61" s="80"/>
      <c r="BA61" s="81"/>
      <c r="BB61" s="1">
        <f t="shared" si="9"/>
        <v>0</v>
      </c>
      <c r="BC61" s="6"/>
      <c r="BD61" s="47"/>
      <c r="BE61" s="5">
        <f t="shared" si="10"/>
        <v>0</v>
      </c>
      <c r="BF61" s="48"/>
      <c r="BG61" s="49"/>
      <c r="BH61" s="1">
        <f t="shared" si="11"/>
        <v>0</v>
      </c>
      <c r="BI61" s="50"/>
      <c r="BJ61" s="51"/>
      <c r="BK61" s="5">
        <f t="shared" si="12"/>
        <v>0</v>
      </c>
      <c r="BL61" s="48"/>
      <c r="BM61" s="49"/>
      <c r="BN61" s="1">
        <f t="shared" si="13"/>
        <v>0</v>
      </c>
      <c r="BO61" s="50"/>
      <c r="BP61" s="51"/>
      <c r="BQ61" s="5">
        <f t="shared" si="14"/>
        <v>0</v>
      </c>
      <c r="BR61" s="48"/>
      <c r="BS61" s="49"/>
      <c r="BT61" s="1">
        <f t="shared" si="15"/>
        <v>0</v>
      </c>
      <c r="BU61" s="50"/>
      <c r="BV61" s="51"/>
      <c r="BW61" s="5">
        <f t="shared" si="16"/>
        <v>0</v>
      </c>
      <c r="BX61" s="48"/>
      <c r="BY61" s="49"/>
      <c r="BZ61" s="2">
        <f t="shared" si="17"/>
        <v>0</v>
      </c>
      <c r="CA61" s="52"/>
    </row>
    <row r="62" spans="1:79" ht="15.75">
      <c r="A62" s="57">
        <v>44698</v>
      </c>
      <c r="B62" s="58" t="s">
        <v>397</v>
      </c>
      <c r="C62" s="34">
        <v>7096686</v>
      </c>
      <c r="D62" s="34" t="s">
        <v>289</v>
      </c>
      <c r="E62" s="59" t="s">
        <v>58</v>
      </c>
      <c r="F62" s="8">
        <v>504.17</v>
      </c>
      <c r="G62" s="4">
        <v>0</v>
      </c>
      <c r="H62" s="54">
        <v>0</v>
      </c>
      <c r="I62" s="4">
        <v>0</v>
      </c>
      <c r="J62" s="3">
        <v>0</v>
      </c>
      <c r="K62" s="44"/>
      <c r="L62" s="82">
        <v>1</v>
      </c>
      <c r="M62" s="82">
        <v>0</v>
      </c>
      <c r="N62" s="82">
        <v>0</v>
      </c>
      <c r="O62" s="82">
        <v>0</v>
      </c>
      <c r="P62" s="82">
        <v>0</v>
      </c>
      <c r="Q62" s="82">
        <v>0</v>
      </c>
      <c r="R62" s="83">
        <v>0</v>
      </c>
      <c r="S62" s="83">
        <v>1</v>
      </c>
      <c r="T62" s="83">
        <v>0</v>
      </c>
      <c r="U62" s="83">
        <v>0</v>
      </c>
      <c r="V62" s="83">
        <v>0</v>
      </c>
      <c r="W62" s="82">
        <v>0</v>
      </c>
      <c r="X62" s="82">
        <v>0</v>
      </c>
      <c r="Y62" s="83">
        <v>0</v>
      </c>
      <c r="Z62" s="84">
        <v>0</v>
      </c>
      <c r="AA62" s="82">
        <v>0</v>
      </c>
      <c r="AB62" s="82">
        <v>0</v>
      </c>
      <c r="AC62" s="82">
        <v>0</v>
      </c>
      <c r="AD62" s="82">
        <v>0</v>
      </c>
      <c r="AE62" s="82">
        <v>0</v>
      </c>
      <c r="AF62" s="84">
        <v>0</v>
      </c>
      <c r="AG62" s="84">
        <v>0</v>
      </c>
      <c r="AH62" s="85">
        <v>0</v>
      </c>
      <c r="AI62" s="85">
        <v>0</v>
      </c>
      <c r="AJ62" s="85">
        <v>0</v>
      </c>
      <c r="AK62" s="85">
        <v>0</v>
      </c>
      <c r="AL62" s="82">
        <v>0</v>
      </c>
      <c r="AM62" s="82">
        <v>0</v>
      </c>
      <c r="AN62" s="86">
        <v>0</v>
      </c>
      <c r="AO62" s="82">
        <v>0</v>
      </c>
      <c r="AP62" s="82">
        <v>0</v>
      </c>
      <c r="AQ62" s="82">
        <v>0</v>
      </c>
      <c r="AR62" s="87">
        <v>0</v>
      </c>
      <c r="AS62" s="87">
        <v>0</v>
      </c>
      <c r="AT62" s="87">
        <v>1</v>
      </c>
      <c r="AU62" s="87">
        <v>1</v>
      </c>
      <c r="AV62" s="87">
        <v>1</v>
      </c>
      <c r="AW62" s="87">
        <v>1</v>
      </c>
      <c r="AX62" s="87">
        <v>0</v>
      </c>
      <c r="AY62" s="82">
        <v>0</v>
      </c>
      <c r="AZ62" s="80"/>
      <c r="BA62" s="81"/>
      <c r="BB62" s="1">
        <f t="shared" si="9"/>
        <v>0</v>
      </c>
      <c r="BC62" s="6"/>
      <c r="BD62" s="47"/>
      <c r="BE62" s="5">
        <f t="shared" si="10"/>
        <v>0</v>
      </c>
      <c r="BF62" s="48"/>
      <c r="BG62" s="49"/>
      <c r="BH62" s="1">
        <f t="shared" si="11"/>
        <v>0</v>
      </c>
      <c r="BI62" s="50"/>
      <c r="BJ62" s="51"/>
      <c r="BK62" s="5">
        <f t="shared" si="12"/>
        <v>0</v>
      </c>
      <c r="BL62" s="48"/>
      <c r="BM62" s="49"/>
      <c r="BN62" s="1">
        <f t="shared" si="13"/>
        <v>0</v>
      </c>
      <c r="BO62" s="50"/>
      <c r="BP62" s="51"/>
      <c r="BQ62" s="5">
        <f t="shared" si="14"/>
        <v>0</v>
      </c>
      <c r="BR62" s="48"/>
      <c r="BS62" s="49"/>
      <c r="BT62" s="1">
        <f t="shared" si="15"/>
        <v>0</v>
      </c>
      <c r="BU62" s="50"/>
      <c r="BV62" s="51"/>
      <c r="BW62" s="5">
        <f t="shared" si="16"/>
        <v>0</v>
      </c>
      <c r="BX62" s="48"/>
      <c r="BY62" s="49"/>
      <c r="BZ62" s="2">
        <f t="shared" si="17"/>
        <v>0</v>
      </c>
      <c r="CA62" s="52"/>
    </row>
    <row r="63" spans="1:79" ht="15.75">
      <c r="A63" s="57">
        <v>44761</v>
      </c>
      <c r="B63" s="58" t="s">
        <v>388</v>
      </c>
      <c r="C63" s="34">
        <v>7105184</v>
      </c>
      <c r="D63" s="34" t="s">
        <v>340</v>
      </c>
      <c r="E63" s="59" t="s">
        <v>343</v>
      </c>
      <c r="F63" s="8">
        <v>506.26</v>
      </c>
      <c r="G63" s="4">
        <v>0</v>
      </c>
      <c r="H63" s="54">
        <v>0</v>
      </c>
      <c r="I63" s="4">
        <v>0</v>
      </c>
      <c r="J63" s="3">
        <v>0</v>
      </c>
      <c r="K63" s="44"/>
      <c r="L63" s="82">
        <v>0</v>
      </c>
      <c r="M63" s="82">
        <v>0</v>
      </c>
      <c r="N63" s="82">
        <v>0</v>
      </c>
      <c r="O63" s="82">
        <v>0</v>
      </c>
      <c r="P63" s="82">
        <v>0</v>
      </c>
      <c r="Q63" s="82">
        <v>0</v>
      </c>
      <c r="R63" s="83">
        <v>0</v>
      </c>
      <c r="S63" s="83">
        <v>0</v>
      </c>
      <c r="T63" s="83">
        <v>0</v>
      </c>
      <c r="U63" s="83">
        <v>0</v>
      </c>
      <c r="V63" s="83">
        <v>0</v>
      </c>
      <c r="W63" s="82">
        <v>0</v>
      </c>
      <c r="X63" s="82">
        <v>0</v>
      </c>
      <c r="Y63" s="83">
        <v>0</v>
      </c>
      <c r="Z63" s="84">
        <v>0</v>
      </c>
      <c r="AA63" s="82">
        <v>0</v>
      </c>
      <c r="AB63" s="82">
        <v>0</v>
      </c>
      <c r="AC63" s="82">
        <v>0</v>
      </c>
      <c r="AD63" s="82">
        <v>0</v>
      </c>
      <c r="AE63" s="82">
        <v>0</v>
      </c>
      <c r="AF63" s="84">
        <v>0</v>
      </c>
      <c r="AG63" s="84">
        <v>0</v>
      </c>
      <c r="AH63" s="85">
        <v>0</v>
      </c>
      <c r="AI63" s="85">
        <v>0</v>
      </c>
      <c r="AJ63" s="85">
        <v>0</v>
      </c>
      <c r="AK63" s="85">
        <v>0</v>
      </c>
      <c r="AL63" s="82">
        <v>0</v>
      </c>
      <c r="AM63" s="82">
        <v>0</v>
      </c>
      <c r="AN63" s="86">
        <v>0</v>
      </c>
      <c r="AO63" s="82">
        <v>0</v>
      </c>
      <c r="AP63" s="82">
        <v>0</v>
      </c>
      <c r="AQ63" s="82">
        <v>0</v>
      </c>
      <c r="AR63" s="87">
        <v>0</v>
      </c>
      <c r="AS63" s="87">
        <v>0</v>
      </c>
      <c r="AT63" s="87">
        <v>0</v>
      </c>
      <c r="AU63" s="87">
        <v>0</v>
      </c>
      <c r="AV63" s="87">
        <v>0</v>
      </c>
      <c r="AW63" s="87">
        <v>0</v>
      </c>
      <c r="AX63" s="87">
        <v>0</v>
      </c>
      <c r="AY63" s="82">
        <v>0</v>
      </c>
      <c r="AZ63" s="80"/>
      <c r="BA63" s="81"/>
      <c r="BB63" s="1">
        <f t="shared" si="9"/>
        <v>0</v>
      </c>
      <c r="BC63" s="6"/>
      <c r="BD63" s="47"/>
      <c r="BE63" s="5">
        <f t="shared" si="10"/>
        <v>0</v>
      </c>
      <c r="BF63" s="48"/>
      <c r="BG63" s="49"/>
      <c r="BH63" s="1">
        <f t="shared" si="11"/>
        <v>0</v>
      </c>
      <c r="BI63" s="50"/>
      <c r="BJ63" s="51"/>
      <c r="BK63" s="5">
        <f t="shared" si="12"/>
        <v>0</v>
      </c>
      <c r="BL63" s="48"/>
      <c r="BM63" s="49"/>
      <c r="BN63" s="1">
        <f t="shared" si="13"/>
        <v>0</v>
      </c>
      <c r="BO63" s="50"/>
      <c r="BP63" s="51"/>
      <c r="BQ63" s="5">
        <f t="shared" si="14"/>
        <v>0</v>
      </c>
      <c r="BR63" s="48"/>
      <c r="BS63" s="49"/>
      <c r="BT63" s="1">
        <f t="shared" si="15"/>
        <v>0</v>
      </c>
      <c r="BU63" s="50"/>
      <c r="BV63" s="51"/>
      <c r="BW63" s="5">
        <f t="shared" si="16"/>
        <v>0</v>
      </c>
      <c r="BX63" s="48"/>
      <c r="BY63" s="49"/>
      <c r="BZ63" s="2">
        <f t="shared" si="17"/>
        <v>0</v>
      </c>
      <c r="CA63" s="52"/>
    </row>
    <row r="64" spans="1:79" ht="15.75">
      <c r="A64" s="57">
        <v>44761</v>
      </c>
      <c r="B64" s="58" t="s">
        <v>389</v>
      </c>
      <c r="C64" s="34">
        <v>7105177</v>
      </c>
      <c r="D64" s="34" t="s">
        <v>341</v>
      </c>
      <c r="E64" s="59" t="s">
        <v>344</v>
      </c>
      <c r="F64" s="8">
        <v>506.26</v>
      </c>
      <c r="G64" s="4">
        <v>0</v>
      </c>
      <c r="H64" s="54">
        <v>0</v>
      </c>
      <c r="I64" s="4">
        <v>0</v>
      </c>
      <c r="J64" s="3">
        <v>0</v>
      </c>
      <c r="K64" s="44"/>
      <c r="L64" s="82">
        <v>0</v>
      </c>
      <c r="M64" s="82">
        <v>0</v>
      </c>
      <c r="N64" s="82">
        <v>0</v>
      </c>
      <c r="O64" s="82">
        <v>0</v>
      </c>
      <c r="P64" s="82">
        <v>0</v>
      </c>
      <c r="Q64" s="82">
        <v>0</v>
      </c>
      <c r="R64" s="83">
        <v>0</v>
      </c>
      <c r="S64" s="83">
        <v>0</v>
      </c>
      <c r="T64" s="83">
        <v>0</v>
      </c>
      <c r="U64" s="83">
        <v>0</v>
      </c>
      <c r="V64" s="83">
        <v>0</v>
      </c>
      <c r="W64" s="82">
        <v>0</v>
      </c>
      <c r="X64" s="82">
        <v>0</v>
      </c>
      <c r="Y64" s="83">
        <v>0</v>
      </c>
      <c r="Z64" s="84">
        <v>0</v>
      </c>
      <c r="AA64" s="82">
        <v>0</v>
      </c>
      <c r="AB64" s="82">
        <v>0</v>
      </c>
      <c r="AC64" s="82">
        <v>0</v>
      </c>
      <c r="AD64" s="82">
        <v>0</v>
      </c>
      <c r="AE64" s="82">
        <v>0</v>
      </c>
      <c r="AF64" s="84">
        <v>0</v>
      </c>
      <c r="AG64" s="84">
        <v>0</v>
      </c>
      <c r="AH64" s="85">
        <v>0</v>
      </c>
      <c r="AI64" s="85">
        <v>0</v>
      </c>
      <c r="AJ64" s="85">
        <v>0</v>
      </c>
      <c r="AK64" s="85">
        <v>0</v>
      </c>
      <c r="AL64" s="82">
        <v>0</v>
      </c>
      <c r="AM64" s="82">
        <v>0</v>
      </c>
      <c r="AN64" s="86">
        <v>0</v>
      </c>
      <c r="AO64" s="82">
        <v>0</v>
      </c>
      <c r="AP64" s="82">
        <v>0</v>
      </c>
      <c r="AQ64" s="82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2">
        <v>0</v>
      </c>
      <c r="AZ64" s="80"/>
      <c r="BA64" s="81"/>
      <c r="BB64" s="1">
        <f t="shared" si="9"/>
        <v>0</v>
      </c>
      <c r="BC64" s="6"/>
      <c r="BD64" s="47"/>
      <c r="BE64" s="5">
        <f t="shared" si="10"/>
        <v>0</v>
      </c>
      <c r="BF64" s="48"/>
      <c r="BG64" s="49"/>
      <c r="BH64" s="1">
        <f t="shared" si="11"/>
        <v>0</v>
      </c>
      <c r="BI64" s="50"/>
      <c r="BJ64" s="51"/>
      <c r="BK64" s="5">
        <f t="shared" si="12"/>
        <v>0</v>
      </c>
      <c r="BL64" s="48"/>
      <c r="BM64" s="49"/>
      <c r="BN64" s="1">
        <f t="shared" si="13"/>
        <v>0</v>
      </c>
      <c r="BO64" s="50"/>
      <c r="BP64" s="51"/>
      <c r="BQ64" s="5">
        <f t="shared" si="14"/>
        <v>0</v>
      </c>
      <c r="BR64" s="48"/>
      <c r="BS64" s="49"/>
      <c r="BT64" s="1">
        <f t="shared" si="15"/>
        <v>0</v>
      </c>
      <c r="BU64" s="50"/>
      <c r="BV64" s="51"/>
      <c r="BW64" s="5">
        <f t="shared" si="16"/>
        <v>0</v>
      </c>
      <c r="BX64" s="48"/>
      <c r="BY64" s="49"/>
      <c r="BZ64" s="2">
        <f t="shared" si="17"/>
        <v>0</v>
      </c>
      <c r="CA64" s="52"/>
    </row>
    <row r="65" spans="1:79" ht="15.75">
      <c r="A65" s="57">
        <v>44586</v>
      </c>
      <c r="B65" s="58" t="s">
        <v>387</v>
      </c>
      <c r="C65" s="34">
        <v>7101072</v>
      </c>
      <c r="D65" s="34" t="s">
        <v>172</v>
      </c>
      <c r="E65" s="59" t="s">
        <v>173</v>
      </c>
      <c r="F65" s="96">
        <v>506.315</v>
      </c>
      <c r="G65" s="4">
        <v>0</v>
      </c>
      <c r="H65" s="54">
        <v>0</v>
      </c>
      <c r="I65" s="4">
        <v>0</v>
      </c>
      <c r="J65" s="3">
        <v>0</v>
      </c>
      <c r="K65" s="44"/>
      <c r="L65" s="82">
        <v>1</v>
      </c>
      <c r="M65" s="82">
        <v>0</v>
      </c>
      <c r="N65" s="82">
        <v>0</v>
      </c>
      <c r="O65" s="82">
        <v>0</v>
      </c>
      <c r="P65" s="82">
        <v>0</v>
      </c>
      <c r="Q65" s="82">
        <v>0</v>
      </c>
      <c r="R65" s="83">
        <v>0</v>
      </c>
      <c r="S65" s="83">
        <v>0</v>
      </c>
      <c r="T65" s="83">
        <v>0</v>
      </c>
      <c r="U65" s="83">
        <v>0</v>
      </c>
      <c r="V65" s="83">
        <v>0</v>
      </c>
      <c r="W65" s="82">
        <v>0</v>
      </c>
      <c r="X65" s="82">
        <v>0</v>
      </c>
      <c r="Y65" s="83">
        <v>0</v>
      </c>
      <c r="Z65" s="84">
        <v>0</v>
      </c>
      <c r="AA65" s="82">
        <v>0</v>
      </c>
      <c r="AB65" s="82">
        <v>0</v>
      </c>
      <c r="AC65" s="82">
        <v>0</v>
      </c>
      <c r="AD65" s="82">
        <v>0</v>
      </c>
      <c r="AE65" s="82">
        <v>0</v>
      </c>
      <c r="AF65" s="84">
        <v>0</v>
      </c>
      <c r="AG65" s="84">
        <v>0</v>
      </c>
      <c r="AH65" s="85">
        <v>0</v>
      </c>
      <c r="AI65" s="85">
        <v>0</v>
      </c>
      <c r="AJ65" s="85">
        <v>0</v>
      </c>
      <c r="AK65" s="85">
        <v>0</v>
      </c>
      <c r="AL65" s="82">
        <v>0</v>
      </c>
      <c r="AM65" s="82">
        <v>0</v>
      </c>
      <c r="AN65" s="86">
        <v>0</v>
      </c>
      <c r="AO65" s="82">
        <v>0</v>
      </c>
      <c r="AP65" s="82">
        <v>0</v>
      </c>
      <c r="AQ65" s="82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2">
        <v>0</v>
      </c>
      <c r="AZ65" s="80"/>
      <c r="BA65" s="81"/>
      <c r="BB65" s="1">
        <f t="shared" si="9"/>
        <v>0</v>
      </c>
      <c r="BC65" s="6"/>
      <c r="BD65" s="47"/>
      <c r="BE65" s="5">
        <f t="shared" si="10"/>
        <v>0</v>
      </c>
      <c r="BF65" s="48"/>
      <c r="BG65" s="49"/>
      <c r="BH65" s="1">
        <f t="shared" si="11"/>
        <v>0</v>
      </c>
      <c r="BI65" s="50"/>
      <c r="BJ65" s="51"/>
      <c r="BK65" s="5">
        <f t="shared" si="12"/>
        <v>0</v>
      </c>
      <c r="BL65" s="48"/>
      <c r="BM65" s="49"/>
      <c r="BN65" s="1">
        <f t="shared" si="13"/>
        <v>0</v>
      </c>
      <c r="BO65" s="50"/>
      <c r="BP65" s="51"/>
      <c r="BQ65" s="5">
        <f t="shared" si="14"/>
        <v>0</v>
      </c>
      <c r="BR65" s="48"/>
      <c r="BS65" s="49"/>
      <c r="BT65" s="1">
        <f t="shared" si="15"/>
        <v>0</v>
      </c>
      <c r="BU65" s="50"/>
      <c r="BV65" s="51"/>
      <c r="BW65" s="5">
        <f t="shared" si="16"/>
        <v>0</v>
      </c>
      <c r="BX65" s="48"/>
      <c r="BY65" s="49"/>
      <c r="BZ65" s="2">
        <f t="shared" si="17"/>
        <v>0</v>
      </c>
      <c r="CA65" s="52"/>
    </row>
    <row r="66" spans="1:79" ht="15.75">
      <c r="A66" s="53">
        <v>44712</v>
      </c>
      <c r="B66" s="58" t="s">
        <v>389</v>
      </c>
      <c r="C66" s="55">
        <v>7104858</v>
      </c>
      <c r="D66" s="34" t="s">
        <v>312</v>
      </c>
      <c r="E66" s="34" t="s">
        <v>322</v>
      </c>
      <c r="F66" s="8">
        <v>508.55</v>
      </c>
      <c r="G66" s="4">
        <v>0</v>
      </c>
      <c r="H66" s="54">
        <v>0</v>
      </c>
      <c r="I66" s="4">
        <v>0</v>
      </c>
      <c r="J66" s="3">
        <v>0</v>
      </c>
      <c r="K66" s="44"/>
      <c r="L66" s="82">
        <v>1</v>
      </c>
      <c r="M66" s="82">
        <v>0</v>
      </c>
      <c r="N66" s="82">
        <v>1</v>
      </c>
      <c r="O66" s="82">
        <v>0</v>
      </c>
      <c r="P66" s="82">
        <v>0</v>
      </c>
      <c r="Q66" s="82">
        <v>0</v>
      </c>
      <c r="R66" s="83">
        <v>0</v>
      </c>
      <c r="S66" s="83">
        <v>0</v>
      </c>
      <c r="T66" s="83">
        <v>0</v>
      </c>
      <c r="U66" s="83">
        <v>0</v>
      </c>
      <c r="V66" s="83">
        <v>0</v>
      </c>
      <c r="W66" s="82">
        <v>0</v>
      </c>
      <c r="X66" s="82">
        <v>0</v>
      </c>
      <c r="Y66" s="83">
        <v>0</v>
      </c>
      <c r="Z66" s="84">
        <v>0</v>
      </c>
      <c r="AA66" s="82">
        <v>0</v>
      </c>
      <c r="AB66" s="82">
        <v>0</v>
      </c>
      <c r="AC66" s="82">
        <v>0</v>
      </c>
      <c r="AD66" s="82">
        <v>0</v>
      </c>
      <c r="AE66" s="82">
        <v>0</v>
      </c>
      <c r="AF66" s="84">
        <v>0</v>
      </c>
      <c r="AG66" s="84">
        <v>0</v>
      </c>
      <c r="AH66" s="85">
        <v>0</v>
      </c>
      <c r="AI66" s="85">
        <v>0</v>
      </c>
      <c r="AJ66" s="85">
        <v>0</v>
      </c>
      <c r="AK66" s="85">
        <v>0</v>
      </c>
      <c r="AL66" s="82">
        <v>0</v>
      </c>
      <c r="AM66" s="82">
        <v>0</v>
      </c>
      <c r="AN66" s="86">
        <v>0</v>
      </c>
      <c r="AO66" s="82">
        <v>0</v>
      </c>
      <c r="AP66" s="82">
        <v>0</v>
      </c>
      <c r="AQ66" s="82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2">
        <v>0</v>
      </c>
      <c r="AZ66" s="80"/>
      <c r="BA66" s="81"/>
      <c r="BB66" s="1">
        <f t="shared" si="9"/>
        <v>0</v>
      </c>
      <c r="BC66" s="6"/>
      <c r="BD66" s="47"/>
      <c r="BE66" s="5">
        <f t="shared" si="10"/>
        <v>0</v>
      </c>
      <c r="BF66" s="48"/>
      <c r="BG66" s="49"/>
      <c r="BH66" s="1">
        <f t="shared" si="11"/>
        <v>0</v>
      </c>
      <c r="BI66" s="50"/>
      <c r="BJ66" s="51"/>
      <c r="BK66" s="5">
        <f t="shared" si="12"/>
        <v>0</v>
      </c>
      <c r="BL66" s="48"/>
      <c r="BM66" s="49"/>
      <c r="BN66" s="1">
        <f t="shared" si="13"/>
        <v>0</v>
      </c>
      <c r="BO66" s="50"/>
      <c r="BP66" s="51"/>
      <c r="BQ66" s="5">
        <f t="shared" si="14"/>
        <v>0</v>
      </c>
      <c r="BR66" s="48"/>
      <c r="BS66" s="49"/>
      <c r="BT66" s="1">
        <f t="shared" si="15"/>
        <v>0</v>
      </c>
      <c r="BU66" s="50"/>
      <c r="BV66" s="51"/>
      <c r="BW66" s="5">
        <f t="shared" si="16"/>
        <v>0</v>
      </c>
      <c r="BX66" s="48"/>
      <c r="BY66" s="49"/>
      <c r="BZ66" s="2">
        <f t="shared" si="17"/>
        <v>0</v>
      </c>
      <c r="CA66" s="52"/>
    </row>
    <row r="67" spans="1:79" ht="15.75">
      <c r="A67" s="57">
        <v>44515</v>
      </c>
      <c r="B67" s="58" t="s">
        <v>390</v>
      </c>
      <c r="C67" s="34">
        <v>7403455</v>
      </c>
      <c r="D67" s="34" t="s">
        <v>163</v>
      </c>
      <c r="E67" s="59" t="s">
        <v>97</v>
      </c>
      <c r="F67" s="8">
        <v>522</v>
      </c>
      <c r="G67" s="4">
        <v>0</v>
      </c>
      <c r="H67" s="54">
        <v>0</v>
      </c>
      <c r="I67" s="4">
        <v>0</v>
      </c>
      <c r="J67" s="3">
        <v>0</v>
      </c>
      <c r="K67" s="44"/>
      <c r="L67" s="82">
        <v>1</v>
      </c>
      <c r="M67" s="82">
        <v>0</v>
      </c>
      <c r="N67" s="82">
        <v>0</v>
      </c>
      <c r="O67" s="82">
        <v>0</v>
      </c>
      <c r="P67" s="82">
        <v>0</v>
      </c>
      <c r="Q67" s="82">
        <v>0</v>
      </c>
      <c r="R67" s="83">
        <v>0</v>
      </c>
      <c r="S67" s="83">
        <v>0</v>
      </c>
      <c r="T67" s="83">
        <v>0</v>
      </c>
      <c r="U67" s="83">
        <v>0</v>
      </c>
      <c r="V67" s="83">
        <v>0</v>
      </c>
      <c r="W67" s="82">
        <v>0</v>
      </c>
      <c r="X67" s="82">
        <v>0</v>
      </c>
      <c r="Y67" s="83">
        <v>0</v>
      </c>
      <c r="Z67" s="84">
        <v>0</v>
      </c>
      <c r="AA67" s="82">
        <v>0</v>
      </c>
      <c r="AB67" s="82">
        <v>0</v>
      </c>
      <c r="AC67" s="82">
        <v>0</v>
      </c>
      <c r="AD67" s="82">
        <v>0</v>
      </c>
      <c r="AE67" s="82">
        <v>0</v>
      </c>
      <c r="AF67" s="84">
        <v>0</v>
      </c>
      <c r="AG67" s="84">
        <v>0</v>
      </c>
      <c r="AH67" s="85">
        <v>0</v>
      </c>
      <c r="AI67" s="85">
        <v>0</v>
      </c>
      <c r="AJ67" s="85">
        <v>0</v>
      </c>
      <c r="AK67" s="85">
        <v>0</v>
      </c>
      <c r="AL67" s="82">
        <v>0</v>
      </c>
      <c r="AM67" s="82">
        <v>0</v>
      </c>
      <c r="AN67" s="86">
        <v>0</v>
      </c>
      <c r="AO67" s="82">
        <v>0</v>
      </c>
      <c r="AP67" s="82">
        <v>0</v>
      </c>
      <c r="AQ67" s="82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2">
        <v>0</v>
      </c>
      <c r="AZ67" s="80"/>
      <c r="BA67" s="81"/>
      <c r="BB67" s="1">
        <f t="shared" si="9"/>
        <v>0</v>
      </c>
      <c r="BC67" s="6"/>
      <c r="BD67" s="47"/>
      <c r="BE67" s="5">
        <f t="shared" si="10"/>
        <v>0</v>
      </c>
      <c r="BF67" s="48"/>
      <c r="BG67" s="49"/>
      <c r="BH67" s="1">
        <f t="shared" si="11"/>
        <v>0</v>
      </c>
      <c r="BI67" s="50"/>
      <c r="BJ67" s="51"/>
      <c r="BK67" s="5">
        <f t="shared" si="12"/>
        <v>0</v>
      </c>
      <c r="BL67" s="48"/>
      <c r="BM67" s="49"/>
      <c r="BN67" s="1">
        <f t="shared" si="13"/>
        <v>0</v>
      </c>
      <c r="BO67" s="50"/>
      <c r="BP67" s="51"/>
      <c r="BQ67" s="5">
        <f t="shared" si="14"/>
        <v>0</v>
      </c>
      <c r="BR67" s="48"/>
      <c r="BS67" s="49"/>
      <c r="BT67" s="1">
        <f t="shared" si="15"/>
        <v>0</v>
      </c>
      <c r="BU67" s="50"/>
      <c r="BV67" s="51"/>
      <c r="BW67" s="5">
        <f t="shared" si="16"/>
        <v>0</v>
      </c>
      <c r="BX67" s="48"/>
      <c r="BY67" s="49"/>
      <c r="BZ67" s="2">
        <f t="shared" si="17"/>
        <v>0</v>
      </c>
      <c r="CA67" s="52"/>
    </row>
    <row r="68" spans="1:79" ht="15.75">
      <c r="A68" s="57">
        <v>44481</v>
      </c>
      <c r="B68" s="58" t="s">
        <v>390</v>
      </c>
      <c r="C68" s="34">
        <v>7403368</v>
      </c>
      <c r="D68" s="34" t="s">
        <v>139</v>
      </c>
      <c r="E68" s="59" t="s">
        <v>140</v>
      </c>
      <c r="F68" s="8">
        <v>531.875</v>
      </c>
      <c r="G68" s="4">
        <v>0</v>
      </c>
      <c r="H68" s="54">
        <v>0</v>
      </c>
      <c r="I68" s="4">
        <v>0</v>
      </c>
      <c r="J68" s="3">
        <v>0</v>
      </c>
      <c r="K68" s="44"/>
      <c r="L68" s="82">
        <v>1</v>
      </c>
      <c r="M68" s="82">
        <v>0</v>
      </c>
      <c r="N68" s="82">
        <v>0</v>
      </c>
      <c r="O68" s="82">
        <v>0</v>
      </c>
      <c r="P68" s="82">
        <v>0</v>
      </c>
      <c r="Q68" s="82">
        <v>0</v>
      </c>
      <c r="R68" s="83">
        <v>0</v>
      </c>
      <c r="S68" s="83">
        <v>0</v>
      </c>
      <c r="T68" s="83">
        <v>0</v>
      </c>
      <c r="U68" s="83">
        <v>0</v>
      </c>
      <c r="V68" s="83">
        <v>0</v>
      </c>
      <c r="W68" s="82">
        <v>0</v>
      </c>
      <c r="X68" s="82">
        <v>0</v>
      </c>
      <c r="Y68" s="83">
        <v>0</v>
      </c>
      <c r="Z68" s="84">
        <v>0</v>
      </c>
      <c r="AA68" s="82">
        <v>0</v>
      </c>
      <c r="AB68" s="82">
        <v>0</v>
      </c>
      <c r="AC68" s="82">
        <v>0</v>
      </c>
      <c r="AD68" s="82">
        <v>0</v>
      </c>
      <c r="AE68" s="82">
        <v>1</v>
      </c>
      <c r="AF68" s="84">
        <v>0</v>
      </c>
      <c r="AG68" s="84">
        <v>0</v>
      </c>
      <c r="AH68" s="85">
        <v>0</v>
      </c>
      <c r="AI68" s="85">
        <v>0</v>
      </c>
      <c r="AJ68" s="85">
        <v>0</v>
      </c>
      <c r="AK68" s="85">
        <v>0</v>
      </c>
      <c r="AL68" s="82">
        <v>0</v>
      </c>
      <c r="AM68" s="82">
        <v>0</v>
      </c>
      <c r="AN68" s="86">
        <v>0</v>
      </c>
      <c r="AO68" s="82">
        <v>0</v>
      </c>
      <c r="AP68" s="82">
        <v>0</v>
      </c>
      <c r="AQ68" s="82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2">
        <v>0</v>
      </c>
      <c r="AZ68" s="80"/>
      <c r="BA68" s="81"/>
      <c r="BB68" s="1">
        <f t="shared" ref="BB68:BB80" si="18">BA68*2.5</f>
        <v>0</v>
      </c>
      <c r="BC68" s="6"/>
      <c r="BD68" s="47"/>
      <c r="BE68" s="5">
        <f t="shared" ref="BE68:BE80" si="19">BD68*1.625</f>
        <v>0</v>
      </c>
      <c r="BF68" s="48"/>
      <c r="BG68" s="49"/>
      <c r="BH68" s="1">
        <f t="shared" ref="BH68:BH80" si="20">BG68*1.625</f>
        <v>0</v>
      </c>
      <c r="BI68" s="50"/>
      <c r="BJ68" s="51"/>
      <c r="BK68" s="5">
        <f t="shared" ref="BK68:BK80" si="21">BJ68*1.625</f>
        <v>0</v>
      </c>
      <c r="BL68" s="48"/>
      <c r="BM68" s="49"/>
      <c r="BN68" s="1">
        <f t="shared" ref="BN68:BN80" si="22">BM68*1.625</f>
        <v>0</v>
      </c>
      <c r="BO68" s="50"/>
      <c r="BP68" s="51"/>
      <c r="BQ68" s="5">
        <f t="shared" ref="BQ68:BQ80" si="23">BP68*1.625</f>
        <v>0</v>
      </c>
      <c r="BR68" s="48"/>
      <c r="BS68" s="49"/>
      <c r="BT68" s="1">
        <f t="shared" ref="BT68:BT80" si="24">BS68*1.625</f>
        <v>0</v>
      </c>
      <c r="BU68" s="50"/>
      <c r="BV68" s="51"/>
      <c r="BW68" s="5">
        <f t="shared" ref="BW68:BW80" si="25">BV68*1.5</f>
        <v>0</v>
      </c>
      <c r="BX68" s="48"/>
      <c r="BY68" s="49"/>
      <c r="BZ68" s="2">
        <f t="shared" ref="BZ68:BZ80" si="26">BY68*2.5</f>
        <v>0</v>
      </c>
      <c r="CA68" s="52"/>
    </row>
    <row r="69" spans="1:79" ht="15.75">
      <c r="A69" s="57">
        <v>44607</v>
      </c>
      <c r="B69" s="58" t="s">
        <v>397</v>
      </c>
      <c r="C69" s="34">
        <v>7104141</v>
      </c>
      <c r="D69" s="34" t="s">
        <v>197</v>
      </c>
      <c r="E69" s="59" t="s">
        <v>198</v>
      </c>
      <c r="F69" s="8">
        <v>547.08000000000004</v>
      </c>
      <c r="G69" s="4">
        <v>0</v>
      </c>
      <c r="H69" s="54">
        <v>0</v>
      </c>
      <c r="I69" s="4">
        <v>0</v>
      </c>
      <c r="J69" s="3">
        <v>0</v>
      </c>
      <c r="K69" s="44"/>
      <c r="L69" s="82">
        <v>1</v>
      </c>
      <c r="M69" s="82">
        <v>0</v>
      </c>
      <c r="N69" s="82">
        <v>1</v>
      </c>
      <c r="O69" s="82">
        <v>0</v>
      </c>
      <c r="P69" s="82">
        <v>0</v>
      </c>
      <c r="Q69" s="82">
        <v>0</v>
      </c>
      <c r="R69" s="83">
        <v>0</v>
      </c>
      <c r="S69" s="83">
        <v>0</v>
      </c>
      <c r="T69" s="83">
        <v>0</v>
      </c>
      <c r="U69" s="83">
        <v>0</v>
      </c>
      <c r="V69" s="83">
        <v>0</v>
      </c>
      <c r="W69" s="82">
        <v>0</v>
      </c>
      <c r="X69" s="82">
        <v>0</v>
      </c>
      <c r="Y69" s="83">
        <v>0</v>
      </c>
      <c r="Z69" s="84">
        <v>0</v>
      </c>
      <c r="AA69" s="82">
        <v>0</v>
      </c>
      <c r="AB69" s="82">
        <v>0</v>
      </c>
      <c r="AC69" s="82">
        <v>0</v>
      </c>
      <c r="AD69" s="82">
        <v>0</v>
      </c>
      <c r="AE69" s="82">
        <v>0</v>
      </c>
      <c r="AF69" s="84">
        <v>0</v>
      </c>
      <c r="AG69" s="84">
        <v>0</v>
      </c>
      <c r="AH69" s="85">
        <v>0</v>
      </c>
      <c r="AI69" s="85">
        <v>0</v>
      </c>
      <c r="AJ69" s="85">
        <v>0</v>
      </c>
      <c r="AK69" s="85">
        <v>0</v>
      </c>
      <c r="AL69" s="82">
        <v>0</v>
      </c>
      <c r="AM69" s="82">
        <v>0</v>
      </c>
      <c r="AN69" s="86">
        <v>0</v>
      </c>
      <c r="AO69" s="82">
        <v>0</v>
      </c>
      <c r="AP69" s="82">
        <v>0</v>
      </c>
      <c r="AQ69" s="82">
        <v>0</v>
      </c>
      <c r="AR69" s="87">
        <v>1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2">
        <v>0</v>
      </c>
      <c r="AZ69" s="80"/>
      <c r="BA69" s="81"/>
      <c r="BB69" s="1">
        <f t="shared" si="18"/>
        <v>0</v>
      </c>
      <c r="BC69" s="6"/>
      <c r="BD69" s="47"/>
      <c r="BE69" s="5">
        <f t="shared" si="19"/>
        <v>0</v>
      </c>
      <c r="BF69" s="48"/>
      <c r="BG69" s="49"/>
      <c r="BH69" s="1">
        <f t="shared" si="20"/>
        <v>0</v>
      </c>
      <c r="BI69" s="50"/>
      <c r="BJ69" s="51"/>
      <c r="BK69" s="5">
        <f t="shared" si="21"/>
        <v>0</v>
      </c>
      <c r="BL69" s="48"/>
      <c r="BM69" s="49"/>
      <c r="BN69" s="1">
        <f t="shared" si="22"/>
        <v>0</v>
      </c>
      <c r="BO69" s="50"/>
      <c r="BP69" s="51"/>
      <c r="BQ69" s="5">
        <f t="shared" si="23"/>
        <v>0</v>
      </c>
      <c r="BR69" s="48"/>
      <c r="BS69" s="49"/>
      <c r="BT69" s="1">
        <f t="shared" si="24"/>
        <v>0</v>
      </c>
      <c r="BU69" s="50"/>
      <c r="BV69" s="51"/>
      <c r="BW69" s="5">
        <f t="shared" si="25"/>
        <v>0</v>
      </c>
      <c r="BX69" s="48"/>
      <c r="BY69" s="49"/>
      <c r="BZ69" s="2">
        <f t="shared" si="26"/>
        <v>0</v>
      </c>
      <c r="CA69" s="52"/>
    </row>
    <row r="70" spans="1:79" ht="15.75">
      <c r="A70" s="57">
        <v>44621</v>
      </c>
      <c r="B70" s="58" t="s">
        <v>397</v>
      </c>
      <c r="C70" s="34">
        <v>7104190</v>
      </c>
      <c r="D70" s="34" t="s">
        <v>216</v>
      </c>
      <c r="E70" s="59" t="s">
        <v>217</v>
      </c>
      <c r="F70" s="8">
        <v>549.00400000000002</v>
      </c>
      <c r="G70" s="4">
        <v>0</v>
      </c>
      <c r="H70" s="54">
        <v>0</v>
      </c>
      <c r="I70" s="4">
        <v>0</v>
      </c>
      <c r="J70" s="3">
        <v>0</v>
      </c>
      <c r="K70" s="44"/>
      <c r="L70" s="82">
        <v>1</v>
      </c>
      <c r="M70" s="82">
        <v>0</v>
      </c>
      <c r="N70" s="82">
        <v>0</v>
      </c>
      <c r="O70" s="82">
        <v>0</v>
      </c>
      <c r="P70" s="82">
        <v>0</v>
      </c>
      <c r="Q70" s="82">
        <v>0</v>
      </c>
      <c r="R70" s="83">
        <v>0</v>
      </c>
      <c r="S70" s="83">
        <v>0</v>
      </c>
      <c r="T70" s="83">
        <v>0</v>
      </c>
      <c r="U70" s="83">
        <v>0</v>
      </c>
      <c r="V70" s="83">
        <v>0</v>
      </c>
      <c r="W70" s="82">
        <v>0</v>
      </c>
      <c r="X70" s="82">
        <v>0</v>
      </c>
      <c r="Y70" s="83">
        <v>0</v>
      </c>
      <c r="Z70" s="84">
        <v>0</v>
      </c>
      <c r="AA70" s="82">
        <v>0</v>
      </c>
      <c r="AB70" s="82">
        <v>0</v>
      </c>
      <c r="AC70" s="82">
        <v>0</v>
      </c>
      <c r="AD70" s="82">
        <v>0</v>
      </c>
      <c r="AE70" s="82">
        <v>0</v>
      </c>
      <c r="AF70" s="84">
        <v>0</v>
      </c>
      <c r="AG70" s="84">
        <v>0</v>
      </c>
      <c r="AH70" s="85">
        <v>0</v>
      </c>
      <c r="AI70" s="85">
        <v>0</v>
      </c>
      <c r="AJ70" s="85">
        <v>0</v>
      </c>
      <c r="AK70" s="85">
        <v>0</v>
      </c>
      <c r="AL70" s="82">
        <v>0</v>
      </c>
      <c r="AM70" s="82">
        <v>0</v>
      </c>
      <c r="AN70" s="86">
        <v>0</v>
      </c>
      <c r="AO70" s="82">
        <v>0</v>
      </c>
      <c r="AP70" s="82">
        <v>0</v>
      </c>
      <c r="AQ70" s="82">
        <v>0</v>
      </c>
      <c r="AR70" s="87">
        <v>0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2">
        <v>0</v>
      </c>
      <c r="AZ70" s="80"/>
      <c r="BA70" s="81"/>
      <c r="BB70" s="1">
        <f t="shared" si="18"/>
        <v>0</v>
      </c>
      <c r="BC70" s="6"/>
      <c r="BD70" s="47"/>
      <c r="BE70" s="5">
        <f t="shared" si="19"/>
        <v>0</v>
      </c>
      <c r="BF70" s="48"/>
      <c r="BG70" s="49"/>
      <c r="BH70" s="1">
        <f t="shared" si="20"/>
        <v>0</v>
      </c>
      <c r="BI70" s="50"/>
      <c r="BJ70" s="51"/>
      <c r="BK70" s="5">
        <f t="shared" si="21"/>
        <v>0</v>
      </c>
      <c r="BL70" s="48"/>
      <c r="BM70" s="49"/>
      <c r="BN70" s="1">
        <f t="shared" si="22"/>
        <v>0</v>
      </c>
      <c r="BO70" s="50"/>
      <c r="BP70" s="51"/>
      <c r="BQ70" s="5">
        <f t="shared" si="23"/>
        <v>0</v>
      </c>
      <c r="BR70" s="48"/>
      <c r="BS70" s="49"/>
      <c r="BT70" s="1">
        <f t="shared" si="24"/>
        <v>0</v>
      </c>
      <c r="BU70" s="50"/>
      <c r="BV70" s="51"/>
      <c r="BW70" s="5">
        <f t="shared" si="25"/>
        <v>0</v>
      </c>
      <c r="BX70" s="48"/>
      <c r="BY70" s="49"/>
      <c r="BZ70" s="2">
        <f t="shared" si="26"/>
        <v>0</v>
      </c>
      <c r="CA70" s="52"/>
    </row>
    <row r="71" spans="1:79" ht="15.75">
      <c r="A71" s="57">
        <v>44515</v>
      </c>
      <c r="B71" s="58" t="s">
        <v>390</v>
      </c>
      <c r="C71" s="34">
        <v>7402632</v>
      </c>
      <c r="D71" s="34" t="s">
        <v>158</v>
      </c>
      <c r="E71" s="59" t="s">
        <v>78</v>
      </c>
      <c r="F71" s="8">
        <v>555.50900000000001</v>
      </c>
      <c r="G71" s="4">
        <v>0</v>
      </c>
      <c r="H71" s="54">
        <v>0</v>
      </c>
      <c r="I71" s="4">
        <v>0</v>
      </c>
      <c r="J71" s="3">
        <v>0</v>
      </c>
      <c r="K71" s="44"/>
      <c r="L71" s="82">
        <v>1</v>
      </c>
      <c r="M71" s="82">
        <v>0</v>
      </c>
      <c r="N71" s="82">
        <v>0</v>
      </c>
      <c r="O71" s="82">
        <v>0</v>
      </c>
      <c r="P71" s="82">
        <v>0</v>
      </c>
      <c r="Q71" s="82">
        <v>0</v>
      </c>
      <c r="R71" s="83">
        <v>0</v>
      </c>
      <c r="S71" s="83">
        <v>1</v>
      </c>
      <c r="T71" s="83">
        <v>0</v>
      </c>
      <c r="U71" s="83">
        <v>0</v>
      </c>
      <c r="V71" s="83">
        <v>0</v>
      </c>
      <c r="W71" s="82">
        <v>0</v>
      </c>
      <c r="X71" s="82">
        <v>0</v>
      </c>
      <c r="Y71" s="83">
        <v>0</v>
      </c>
      <c r="Z71" s="84">
        <v>0</v>
      </c>
      <c r="AA71" s="82">
        <v>0</v>
      </c>
      <c r="AB71" s="82">
        <v>0</v>
      </c>
      <c r="AC71" s="82">
        <v>0</v>
      </c>
      <c r="AD71" s="82">
        <v>0</v>
      </c>
      <c r="AE71" s="82">
        <v>0</v>
      </c>
      <c r="AF71" s="84">
        <v>0</v>
      </c>
      <c r="AG71" s="84">
        <v>0</v>
      </c>
      <c r="AH71" s="85">
        <v>0</v>
      </c>
      <c r="AI71" s="85">
        <v>0</v>
      </c>
      <c r="AJ71" s="85">
        <v>0</v>
      </c>
      <c r="AK71" s="85">
        <v>0</v>
      </c>
      <c r="AL71" s="82">
        <v>0</v>
      </c>
      <c r="AM71" s="82">
        <v>0</v>
      </c>
      <c r="AN71" s="86">
        <v>0</v>
      </c>
      <c r="AO71" s="82">
        <v>0</v>
      </c>
      <c r="AP71" s="82">
        <v>0</v>
      </c>
      <c r="AQ71" s="82">
        <v>0</v>
      </c>
      <c r="AR71" s="87">
        <v>0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2">
        <v>0</v>
      </c>
      <c r="AZ71" s="80"/>
      <c r="BA71" s="81"/>
      <c r="BB71" s="1">
        <f t="shared" si="18"/>
        <v>0</v>
      </c>
      <c r="BC71" s="6"/>
      <c r="BD71" s="47"/>
      <c r="BE71" s="5">
        <f t="shared" si="19"/>
        <v>0</v>
      </c>
      <c r="BF71" s="48"/>
      <c r="BG71" s="49"/>
      <c r="BH71" s="1">
        <f t="shared" si="20"/>
        <v>0</v>
      </c>
      <c r="BI71" s="50"/>
      <c r="BJ71" s="51"/>
      <c r="BK71" s="5">
        <f t="shared" si="21"/>
        <v>0</v>
      </c>
      <c r="BL71" s="48"/>
      <c r="BM71" s="49"/>
      <c r="BN71" s="1">
        <f t="shared" si="22"/>
        <v>0</v>
      </c>
      <c r="BO71" s="50"/>
      <c r="BP71" s="51"/>
      <c r="BQ71" s="5">
        <f t="shared" si="23"/>
        <v>0</v>
      </c>
      <c r="BR71" s="48"/>
      <c r="BS71" s="49"/>
      <c r="BT71" s="1">
        <f t="shared" si="24"/>
        <v>0</v>
      </c>
      <c r="BU71" s="50"/>
      <c r="BV71" s="51"/>
      <c r="BW71" s="5">
        <f t="shared" si="25"/>
        <v>0</v>
      </c>
      <c r="BX71" s="48"/>
      <c r="BY71" s="49"/>
      <c r="BZ71" s="2">
        <f t="shared" si="26"/>
        <v>0</v>
      </c>
      <c r="CA71" s="52"/>
    </row>
    <row r="72" spans="1:79" ht="15.75">
      <c r="A72" s="53">
        <v>44341</v>
      </c>
      <c r="B72" s="58" t="s">
        <v>397</v>
      </c>
      <c r="C72" s="34">
        <v>7403004</v>
      </c>
      <c r="D72" s="34" t="s">
        <v>125</v>
      </c>
      <c r="E72" s="59" t="s">
        <v>126</v>
      </c>
      <c r="F72" s="8">
        <v>573</v>
      </c>
      <c r="G72" s="4">
        <v>0</v>
      </c>
      <c r="H72" s="54">
        <v>0</v>
      </c>
      <c r="I72" s="4">
        <v>0</v>
      </c>
      <c r="J72" s="3">
        <v>0</v>
      </c>
      <c r="K72" s="44"/>
      <c r="L72" s="82">
        <v>1</v>
      </c>
      <c r="M72" s="82">
        <v>0</v>
      </c>
      <c r="N72" s="82">
        <v>0</v>
      </c>
      <c r="O72" s="82">
        <v>1</v>
      </c>
      <c r="P72" s="82">
        <v>0</v>
      </c>
      <c r="Q72" s="82">
        <v>0</v>
      </c>
      <c r="R72" s="83">
        <v>0</v>
      </c>
      <c r="S72" s="83">
        <v>0</v>
      </c>
      <c r="T72" s="83">
        <v>0</v>
      </c>
      <c r="U72" s="83">
        <v>0</v>
      </c>
      <c r="V72" s="83">
        <v>0</v>
      </c>
      <c r="W72" s="82">
        <v>0</v>
      </c>
      <c r="X72" s="82">
        <v>0</v>
      </c>
      <c r="Y72" s="83">
        <v>0</v>
      </c>
      <c r="Z72" s="84">
        <v>0</v>
      </c>
      <c r="AA72" s="82">
        <v>0</v>
      </c>
      <c r="AB72" s="82">
        <v>0</v>
      </c>
      <c r="AC72" s="82">
        <v>0</v>
      </c>
      <c r="AD72" s="82">
        <v>0</v>
      </c>
      <c r="AE72" s="82">
        <v>0</v>
      </c>
      <c r="AF72" s="84">
        <v>0</v>
      </c>
      <c r="AG72" s="84">
        <v>1</v>
      </c>
      <c r="AH72" s="85">
        <v>0</v>
      </c>
      <c r="AI72" s="85">
        <v>0</v>
      </c>
      <c r="AJ72" s="85">
        <v>0</v>
      </c>
      <c r="AK72" s="85">
        <v>0</v>
      </c>
      <c r="AL72" s="82">
        <v>0</v>
      </c>
      <c r="AM72" s="82">
        <v>0</v>
      </c>
      <c r="AN72" s="86">
        <v>0</v>
      </c>
      <c r="AO72" s="82">
        <v>0</v>
      </c>
      <c r="AP72" s="82">
        <v>1</v>
      </c>
      <c r="AQ72" s="82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2">
        <v>0</v>
      </c>
      <c r="AZ72" s="80"/>
      <c r="BA72" s="81"/>
      <c r="BB72" s="1">
        <f t="shared" si="18"/>
        <v>0</v>
      </c>
      <c r="BC72" s="6"/>
      <c r="BD72" s="47"/>
      <c r="BE72" s="5">
        <f t="shared" si="19"/>
        <v>0</v>
      </c>
      <c r="BF72" s="48"/>
      <c r="BG72" s="49"/>
      <c r="BH72" s="1">
        <f t="shared" si="20"/>
        <v>0</v>
      </c>
      <c r="BI72" s="50"/>
      <c r="BJ72" s="51"/>
      <c r="BK72" s="5">
        <f t="shared" si="21"/>
        <v>0</v>
      </c>
      <c r="BL72" s="48"/>
      <c r="BM72" s="49"/>
      <c r="BN72" s="1">
        <f t="shared" si="22"/>
        <v>0</v>
      </c>
      <c r="BO72" s="50"/>
      <c r="BP72" s="51"/>
      <c r="BQ72" s="5">
        <f t="shared" si="23"/>
        <v>0</v>
      </c>
      <c r="BR72" s="48"/>
      <c r="BS72" s="49"/>
      <c r="BT72" s="1">
        <f t="shared" si="24"/>
        <v>0</v>
      </c>
      <c r="BU72" s="50"/>
      <c r="BV72" s="51"/>
      <c r="BW72" s="5">
        <f t="shared" si="25"/>
        <v>0</v>
      </c>
      <c r="BX72" s="48"/>
      <c r="BY72" s="49"/>
      <c r="BZ72" s="2">
        <f t="shared" si="26"/>
        <v>0</v>
      </c>
      <c r="CA72" s="52"/>
    </row>
    <row r="73" spans="1:79" ht="15.75">
      <c r="A73" s="57">
        <v>44635</v>
      </c>
      <c r="B73" s="58" t="s">
        <v>397</v>
      </c>
      <c r="C73" s="34">
        <v>7104292</v>
      </c>
      <c r="D73" s="34" t="s">
        <v>218</v>
      </c>
      <c r="E73" s="59" t="s">
        <v>219</v>
      </c>
      <c r="F73" s="8">
        <v>580.58749999999998</v>
      </c>
      <c r="G73" s="4">
        <v>0</v>
      </c>
      <c r="H73" s="54">
        <v>0</v>
      </c>
      <c r="I73" s="4">
        <v>0</v>
      </c>
      <c r="J73" s="3">
        <v>0</v>
      </c>
      <c r="K73" s="44"/>
      <c r="L73" s="82">
        <v>1</v>
      </c>
      <c r="M73" s="82">
        <v>0</v>
      </c>
      <c r="N73" s="82">
        <v>1</v>
      </c>
      <c r="O73" s="82">
        <v>0</v>
      </c>
      <c r="P73" s="82">
        <v>0</v>
      </c>
      <c r="Q73" s="82">
        <v>0</v>
      </c>
      <c r="R73" s="83">
        <v>0</v>
      </c>
      <c r="S73" s="83">
        <v>0</v>
      </c>
      <c r="T73" s="83">
        <v>0</v>
      </c>
      <c r="U73" s="83">
        <v>0</v>
      </c>
      <c r="V73" s="83">
        <v>0</v>
      </c>
      <c r="W73" s="82">
        <v>0</v>
      </c>
      <c r="X73" s="82">
        <v>0</v>
      </c>
      <c r="Y73" s="83">
        <v>0</v>
      </c>
      <c r="Z73" s="84">
        <v>0</v>
      </c>
      <c r="AA73" s="82">
        <v>0</v>
      </c>
      <c r="AB73" s="82">
        <v>0</v>
      </c>
      <c r="AC73" s="82">
        <v>0</v>
      </c>
      <c r="AD73" s="82">
        <v>0</v>
      </c>
      <c r="AE73" s="82">
        <v>0</v>
      </c>
      <c r="AF73" s="84">
        <v>0</v>
      </c>
      <c r="AG73" s="84">
        <v>0</v>
      </c>
      <c r="AH73" s="85">
        <v>0</v>
      </c>
      <c r="AI73" s="85">
        <v>0</v>
      </c>
      <c r="AJ73" s="85">
        <v>0</v>
      </c>
      <c r="AK73" s="85">
        <v>0</v>
      </c>
      <c r="AL73" s="82">
        <v>0</v>
      </c>
      <c r="AM73" s="82">
        <v>0</v>
      </c>
      <c r="AN73" s="86">
        <v>0</v>
      </c>
      <c r="AO73" s="82">
        <v>0</v>
      </c>
      <c r="AP73" s="82">
        <v>0</v>
      </c>
      <c r="AQ73" s="82">
        <v>0</v>
      </c>
      <c r="AR73" s="87">
        <v>1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2">
        <v>0</v>
      </c>
      <c r="AZ73" s="80"/>
      <c r="BA73" s="81"/>
      <c r="BB73" s="1">
        <f t="shared" si="18"/>
        <v>0</v>
      </c>
      <c r="BC73" s="6"/>
      <c r="BD73" s="47"/>
      <c r="BE73" s="5">
        <f t="shared" si="19"/>
        <v>0</v>
      </c>
      <c r="BF73" s="48"/>
      <c r="BG73" s="49"/>
      <c r="BH73" s="1">
        <f t="shared" si="20"/>
        <v>0</v>
      </c>
      <c r="BI73" s="50"/>
      <c r="BJ73" s="51"/>
      <c r="BK73" s="5">
        <f t="shared" si="21"/>
        <v>0</v>
      </c>
      <c r="BL73" s="48"/>
      <c r="BM73" s="49"/>
      <c r="BN73" s="1">
        <f t="shared" si="22"/>
        <v>0</v>
      </c>
      <c r="BO73" s="50"/>
      <c r="BP73" s="51"/>
      <c r="BQ73" s="5">
        <f t="shared" si="23"/>
        <v>0</v>
      </c>
      <c r="BR73" s="48"/>
      <c r="BS73" s="49"/>
      <c r="BT73" s="1">
        <f t="shared" si="24"/>
        <v>0</v>
      </c>
      <c r="BU73" s="50"/>
      <c r="BV73" s="51"/>
      <c r="BW73" s="5">
        <f t="shared" si="25"/>
        <v>0</v>
      </c>
      <c r="BX73" s="48"/>
      <c r="BY73" s="49"/>
      <c r="BZ73" s="2">
        <f t="shared" si="26"/>
        <v>0</v>
      </c>
      <c r="CA73" s="52"/>
    </row>
    <row r="74" spans="1:79" ht="15.75">
      <c r="A74" s="57">
        <v>44487</v>
      </c>
      <c r="B74" s="58" t="s">
        <v>391</v>
      </c>
      <c r="C74" s="34">
        <v>7403411</v>
      </c>
      <c r="D74" s="34" t="s">
        <v>149</v>
      </c>
      <c r="E74" s="59" t="s">
        <v>150</v>
      </c>
      <c r="F74" s="8">
        <v>593.46600000000001</v>
      </c>
      <c r="G74" s="4">
        <v>0</v>
      </c>
      <c r="H74" s="54">
        <v>0</v>
      </c>
      <c r="I74" s="4">
        <v>0</v>
      </c>
      <c r="J74" s="3">
        <v>0</v>
      </c>
      <c r="K74" s="44"/>
      <c r="L74" s="82">
        <v>1</v>
      </c>
      <c r="M74" s="82">
        <v>0</v>
      </c>
      <c r="N74" s="82">
        <v>1</v>
      </c>
      <c r="O74" s="82">
        <v>0</v>
      </c>
      <c r="P74" s="82">
        <v>1</v>
      </c>
      <c r="Q74" s="82">
        <v>0</v>
      </c>
      <c r="R74" s="83">
        <v>0</v>
      </c>
      <c r="S74" s="83">
        <v>1</v>
      </c>
      <c r="T74" s="83">
        <v>0</v>
      </c>
      <c r="U74" s="83">
        <v>0</v>
      </c>
      <c r="V74" s="83">
        <v>0</v>
      </c>
      <c r="W74" s="82">
        <v>0</v>
      </c>
      <c r="X74" s="82">
        <v>0</v>
      </c>
      <c r="Y74" s="83">
        <v>0</v>
      </c>
      <c r="Z74" s="84">
        <v>0</v>
      </c>
      <c r="AA74" s="82">
        <v>0</v>
      </c>
      <c r="AB74" s="82">
        <v>0</v>
      </c>
      <c r="AC74" s="82">
        <v>0</v>
      </c>
      <c r="AD74" s="82">
        <v>0</v>
      </c>
      <c r="AE74" s="82">
        <v>0</v>
      </c>
      <c r="AF74" s="84">
        <v>0</v>
      </c>
      <c r="AG74" s="84">
        <v>0</v>
      </c>
      <c r="AH74" s="85">
        <v>0</v>
      </c>
      <c r="AI74" s="85">
        <v>0</v>
      </c>
      <c r="AJ74" s="85">
        <v>0</v>
      </c>
      <c r="AK74" s="85">
        <v>0</v>
      </c>
      <c r="AL74" s="82">
        <v>0</v>
      </c>
      <c r="AM74" s="82">
        <v>0</v>
      </c>
      <c r="AN74" s="86">
        <v>0</v>
      </c>
      <c r="AO74" s="82">
        <v>0</v>
      </c>
      <c r="AP74" s="82">
        <v>0</v>
      </c>
      <c r="AQ74" s="82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2">
        <v>0</v>
      </c>
      <c r="AZ74" s="80"/>
      <c r="BA74" s="81"/>
      <c r="BB74" s="1">
        <f t="shared" si="18"/>
        <v>0</v>
      </c>
      <c r="BC74" s="6"/>
      <c r="BD74" s="47"/>
      <c r="BE74" s="5">
        <f t="shared" si="19"/>
        <v>0</v>
      </c>
      <c r="BF74" s="48"/>
      <c r="BG74" s="49"/>
      <c r="BH74" s="1">
        <f t="shared" si="20"/>
        <v>0</v>
      </c>
      <c r="BI74" s="50"/>
      <c r="BJ74" s="51"/>
      <c r="BK74" s="5">
        <f t="shared" si="21"/>
        <v>0</v>
      </c>
      <c r="BL74" s="48"/>
      <c r="BM74" s="49"/>
      <c r="BN74" s="1">
        <f t="shared" si="22"/>
        <v>0</v>
      </c>
      <c r="BO74" s="50"/>
      <c r="BP74" s="51"/>
      <c r="BQ74" s="5">
        <f t="shared" si="23"/>
        <v>0</v>
      </c>
      <c r="BR74" s="48"/>
      <c r="BS74" s="49"/>
      <c r="BT74" s="1">
        <f t="shared" si="24"/>
        <v>0</v>
      </c>
      <c r="BU74" s="50"/>
      <c r="BV74" s="51"/>
      <c r="BW74" s="5">
        <f t="shared" si="25"/>
        <v>0</v>
      </c>
      <c r="BX74" s="48"/>
      <c r="BY74" s="49"/>
      <c r="BZ74" s="2">
        <f t="shared" si="26"/>
        <v>0</v>
      </c>
      <c r="CA74" s="52"/>
    </row>
    <row r="75" spans="1:79" ht="15.75">
      <c r="A75" s="57">
        <v>44481</v>
      </c>
      <c r="B75" s="58" t="s">
        <v>397</v>
      </c>
      <c r="C75" s="34">
        <v>7403370</v>
      </c>
      <c r="D75" s="34" t="s">
        <v>143</v>
      </c>
      <c r="E75" s="59" t="s">
        <v>144</v>
      </c>
      <c r="F75" s="8">
        <v>619.86149999999998</v>
      </c>
      <c r="G75" s="4">
        <v>0</v>
      </c>
      <c r="H75" s="54">
        <v>0</v>
      </c>
      <c r="I75" s="4">
        <v>0</v>
      </c>
      <c r="J75" s="3">
        <v>0</v>
      </c>
      <c r="K75" s="44"/>
      <c r="L75" s="82">
        <v>1</v>
      </c>
      <c r="M75" s="82">
        <v>0</v>
      </c>
      <c r="N75" s="82">
        <v>1</v>
      </c>
      <c r="O75" s="82">
        <v>0</v>
      </c>
      <c r="P75" s="82">
        <v>0</v>
      </c>
      <c r="Q75" s="82">
        <v>0</v>
      </c>
      <c r="R75" s="83">
        <v>0</v>
      </c>
      <c r="S75" s="83">
        <v>1</v>
      </c>
      <c r="T75" s="83">
        <v>0</v>
      </c>
      <c r="U75" s="83">
        <v>0</v>
      </c>
      <c r="V75" s="83">
        <v>0</v>
      </c>
      <c r="W75" s="82">
        <v>0</v>
      </c>
      <c r="X75" s="82">
        <v>0</v>
      </c>
      <c r="Y75" s="83">
        <v>1</v>
      </c>
      <c r="Z75" s="84">
        <v>1</v>
      </c>
      <c r="AA75" s="82">
        <v>0</v>
      </c>
      <c r="AB75" s="82">
        <v>0</v>
      </c>
      <c r="AC75" s="82">
        <v>0</v>
      </c>
      <c r="AD75" s="82">
        <v>0</v>
      </c>
      <c r="AE75" s="82">
        <v>0</v>
      </c>
      <c r="AF75" s="84">
        <v>0</v>
      </c>
      <c r="AG75" s="84">
        <v>0</v>
      </c>
      <c r="AH75" s="85">
        <v>0</v>
      </c>
      <c r="AI75" s="85">
        <v>0</v>
      </c>
      <c r="AJ75" s="85">
        <v>0</v>
      </c>
      <c r="AK75" s="85">
        <v>0</v>
      </c>
      <c r="AL75" s="82">
        <v>0</v>
      </c>
      <c r="AM75" s="82">
        <v>0</v>
      </c>
      <c r="AN75" s="86">
        <v>0</v>
      </c>
      <c r="AO75" s="82">
        <v>0</v>
      </c>
      <c r="AP75" s="82">
        <v>0</v>
      </c>
      <c r="AQ75" s="82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2">
        <v>0</v>
      </c>
      <c r="AZ75" s="80"/>
      <c r="BA75" s="81"/>
      <c r="BB75" s="1">
        <f t="shared" si="18"/>
        <v>0</v>
      </c>
      <c r="BC75" s="6"/>
      <c r="BD75" s="47"/>
      <c r="BE75" s="5">
        <f t="shared" si="19"/>
        <v>0</v>
      </c>
      <c r="BF75" s="48"/>
      <c r="BG75" s="49"/>
      <c r="BH75" s="1">
        <f t="shared" si="20"/>
        <v>0</v>
      </c>
      <c r="BI75" s="50"/>
      <c r="BJ75" s="51"/>
      <c r="BK75" s="5">
        <f t="shared" si="21"/>
        <v>0</v>
      </c>
      <c r="BL75" s="48"/>
      <c r="BM75" s="49"/>
      <c r="BN75" s="1">
        <f t="shared" si="22"/>
        <v>0</v>
      </c>
      <c r="BO75" s="50"/>
      <c r="BP75" s="51"/>
      <c r="BQ75" s="5">
        <f t="shared" si="23"/>
        <v>0</v>
      </c>
      <c r="BR75" s="48"/>
      <c r="BS75" s="49"/>
      <c r="BT75" s="1">
        <f t="shared" si="24"/>
        <v>0</v>
      </c>
      <c r="BU75" s="50"/>
      <c r="BV75" s="51"/>
      <c r="BW75" s="5">
        <f t="shared" si="25"/>
        <v>0</v>
      </c>
      <c r="BX75" s="48"/>
      <c r="BY75" s="49"/>
      <c r="BZ75" s="2">
        <f t="shared" si="26"/>
        <v>0</v>
      </c>
      <c r="CA75" s="52"/>
    </row>
    <row r="76" spans="1:79" ht="15.75">
      <c r="A76" s="57">
        <v>44515</v>
      </c>
      <c r="B76" s="58" t="s">
        <v>397</v>
      </c>
      <c r="C76" s="34">
        <v>7403432</v>
      </c>
      <c r="D76" s="34" t="s">
        <v>159</v>
      </c>
      <c r="E76" s="59" t="s">
        <v>160</v>
      </c>
      <c r="F76" s="8">
        <v>655.66550000000007</v>
      </c>
      <c r="G76" s="4">
        <v>0</v>
      </c>
      <c r="H76" s="54">
        <v>0</v>
      </c>
      <c r="I76" s="4">
        <v>0</v>
      </c>
      <c r="J76" s="3">
        <v>0</v>
      </c>
      <c r="K76" s="44"/>
      <c r="L76" s="82">
        <v>1</v>
      </c>
      <c r="M76" s="82">
        <v>0</v>
      </c>
      <c r="N76" s="82">
        <v>1</v>
      </c>
      <c r="O76" s="82">
        <v>0</v>
      </c>
      <c r="P76" s="82">
        <v>1</v>
      </c>
      <c r="Q76" s="82">
        <v>0</v>
      </c>
      <c r="R76" s="83">
        <v>0</v>
      </c>
      <c r="S76" s="83">
        <v>0</v>
      </c>
      <c r="T76" s="83">
        <v>0</v>
      </c>
      <c r="U76" s="83">
        <v>0</v>
      </c>
      <c r="V76" s="83">
        <v>0</v>
      </c>
      <c r="W76" s="82">
        <v>0</v>
      </c>
      <c r="X76" s="82">
        <v>0</v>
      </c>
      <c r="Y76" s="83">
        <v>0</v>
      </c>
      <c r="Z76" s="84">
        <v>0</v>
      </c>
      <c r="AA76" s="82">
        <v>0</v>
      </c>
      <c r="AB76" s="82">
        <v>0</v>
      </c>
      <c r="AC76" s="82">
        <v>0</v>
      </c>
      <c r="AD76" s="82">
        <v>0</v>
      </c>
      <c r="AE76" s="82">
        <v>0</v>
      </c>
      <c r="AF76" s="84">
        <v>0</v>
      </c>
      <c r="AG76" s="84">
        <v>0</v>
      </c>
      <c r="AH76" s="85">
        <v>0</v>
      </c>
      <c r="AI76" s="85">
        <v>0</v>
      </c>
      <c r="AJ76" s="85">
        <v>0</v>
      </c>
      <c r="AK76" s="85">
        <v>0</v>
      </c>
      <c r="AL76" s="82">
        <v>0</v>
      </c>
      <c r="AM76" s="82">
        <v>0</v>
      </c>
      <c r="AN76" s="86">
        <v>0</v>
      </c>
      <c r="AO76" s="82">
        <v>0</v>
      </c>
      <c r="AP76" s="82">
        <v>0</v>
      </c>
      <c r="AQ76" s="82">
        <v>0</v>
      </c>
      <c r="AR76" s="87">
        <v>1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2">
        <v>0</v>
      </c>
      <c r="AZ76" s="80"/>
      <c r="BA76" s="81"/>
      <c r="BB76" s="1">
        <f t="shared" si="18"/>
        <v>0</v>
      </c>
      <c r="BC76" s="6"/>
      <c r="BD76" s="47"/>
      <c r="BE76" s="5">
        <f t="shared" si="19"/>
        <v>0</v>
      </c>
      <c r="BF76" s="48"/>
      <c r="BG76" s="49"/>
      <c r="BH76" s="1">
        <f t="shared" si="20"/>
        <v>0</v>
      </c>
      <c r="BI76" s="50"/>
      <c r="BJ76" s="51"/>
      <c r="BK76" s="5">
        <f t="shared" si="21"/>
        <v>0</v>
      </c>
      <c r="BL76" s="48"/>
      <c r="BM76" s="49"/>
      <c r="BN76" s="1">
        <f t="shared" si="22"/>
        <v>0</v>
      </c>
      <c r="BO76" s="50"/>
      <c r="BP76" s="51"/>
      <c r="BQ76" s="5">
        <f t="shared" si="23"/>
        <v>0</v>
      </c>
      <c r="BR76" s="48"/>
      <c r="BS76" s="49"/>
      <c r="BT76" s="1">
        <f t="shared" si="24"/>
        <v>0</v>
      </c>
      <c r="BU76" s="50"/>
      <c r="BV76" s="51"/>
      <c r="BW76" s="5">
        <f t="shared" si="25"/>
        <v>0</v>
      </c>
      <c r="BX76" s="48"/>
      <c r="BY76" s="49"/>
      <c r="BZ76" s="2">
        <f t="shared" si="26"/>
        <v>0</v>
      </c>
      <c r="CA76" s="52"/>
    </row>
    <row r="77" spans="1:79" ht="15.75">
      <c r="A77" s="53">
        <v>44341</v>
      </c>
      <c r="B77" s="58" t="s">
        <v>397</v>
      </c>
      <c r="C77" s="34">
        <v>7403058</v>
      </c>
      <c r="D77" s="34" t="s">
        <v>119</v>
      </c>
      <c r="E77" s="59" t="s">
        <v>354</v>
      </c>
      <c r="F77" s="8">
        <v>671.67499999999995</v>
      </c>
      <c r="G77" s="4">
        <v>0</v>
      </c>
      <c r="H77" s="54">
        <v>0</v>
      </c>
      <c r="I77" s="4">
        <v>0</v>
      </c>
      <c r="J77" s="3">
        <v>0</v>
      </c>
      <c r="K77" s="44"/>
      <c r="L77" s="82">
        <v>1</v>
      </c>
      <c r="M77" s="82">
        <v>0</v>
      </c>
      <c r="N77" s="82">
        <v>0</v>
      </c>
      <c r="O77" s="82">
        <v>0</v>
      </c>
      <c r="P77" s="82">
        <v>0</v>
      </c>
      <c r="Q77" s="82">
        <v>0</v>
      </c>
      <c r="R77" s="83">
        <v>0</v>
      </c>
      <c r="S77" s="83">
        <v>0</v>
      </c>
      <c r="T77" s="83">
        <v>0</v>
      </c>
      <c r="U77" s="83">
        <v>0</v>
      </c>
      <c r="V77" s="83">
        <v>0</v>
      </c>
      <c r="W77" s="82">
        <v>0</v>
      </c>
      <c r="X77" s="82">
        <v>0</v>
      </c>
      <c r="Y77" s="83">
        <v>1</v>
      </c>
      <c r="Z77" s="84">
        <v>1</v>
      </c>
      <c r="AA77" s="82">
        <v>0</v>
      </c>
      <c r="AB77" s="82">
        <v>0</v>
      </c>
      <c r="AC77" s="82">
        <v>0</v>
      </c>
      <c r="AD77" s="82">
        <v>0</v>
      </c>
      <c r="AE77" s="82">
        <v>0</v>
      </c>
      <c r="AF77" s="84">
        <v>0</v>
      </c>
      <c r="AG77" s="84">
        <v>1</v>
      </c>
      <c r="AH77" s="85">
        <v>0</v>
      </c>
      <c r="AI77" s="85">
        <v>0</v>
      </c>
      <c r="AJ77" s="85">
        <v>0</v>
      </c>
      <c r="AK77" s="85">
        <v>0</v>
      </c>
      <c r="AL77" s="82">
        <v>0</v>
      </c>
      <c r="AM77" s="82">
        <v>0</v>
      </c>
      <c r="AN77" s="86">
        <v>0</v>
      </c>
      <c r="AO77" s="82">
        <v>1</v>
      </c>
      <c r="AP77" s="82">
        <v>1</v>
      </c>
      <c r="AQ77" s="82">
        <v>0</v>
      </c>
      <c r="AR77" s="87">
        <v>0</v>
      </c>
      <c r="AS77" s="87">
        <v>0</v>
      </c>
      <c r="AT77" s="87">
        <v>0</v>
      </c>
      <c r="AU77" s="87">
        <v>0</v>
      </c>
      <c r="AV77" s="87">
        <v>0</v>
      </c>
      <c r="AW77" s="87">
        <v>0</v>
      </c>
      <c r="AX77" s="87">
        <v>0</v>
      </c>
      <c r="AY77" s="82">
        <v>0</v>
      </c>
      <c r="AZ77" s="80"/>
      <c r="BA77" s="81"/>
      <c r="BB77" s="1">
        <f t="shared" si="18"/>
        <v>0</v>
      </c>
      <c r="BC77" s="6"/>
      <c r="BD77" s="47"/>
      <c r="BE77" s="5">
        <f t="shared" si="19"/>
        <v>0</v>
      </c>
      <c r="BF77" s="48"/>
      <c r="BG77" s="49"/>
      <c r="BH77" s="1">
        <f t="shared" si="20"/>
        <v>0</v>
      </c>
      <c r="BI77" s="50"/>
      <c r="BJ77" s="51"/>
      <c r="BK77" s="5">
        <f t="shared" si="21"/>
        <v>0</v>
      </c>
      <c r="BL77" s="48"/>
      <c r="BM77" s="49"/>
      <c r="BN77" s="1">
        <f t="shared" si="22"/>
        <v>0</v>
      </c>
      <c r="BO77" s="50"/>
      <c r="BP77" s="51"/>
      <c r="BQ77" s="5">
        <f t="shared" si="23"/>
        <v>0</v>
      </c>
      <c r="BR77" s="48"/>
      <c r="BS77" s="49"/>
      <c r="BT77" s="1">
        <f t="shared" si="24"/>
        <v>0</v>
      </c>
      <c r="BU77" s="50"/>
      <c r="BV77" s="51"/>
      <c r="BW77" s="5">
        <f t="shared" si="25"/>
        <v>0</v>
      </c>
      <c r="BX77" s="48"/>
      <c r="BY77" s="49"/>
      <c r="BZ77" s="2">
        <f t="shared" si="26"/>
        <v>0</v>
      </c>
      <c r="CA77" s="52"/>
    </row>
    <row r="78" spans="1:79" ht="15.75">
      <c r="A78" s="57">
        <v>44060</v>
      </c>
      <c r="B78" s="58" t="s">
        <v>388</v>
      </c>
      <c r="C78" s="34">
        <v>7402425</v>
      </c>
      <c r="D78" s="34" t="s">
        <v>92</v>
      </c>
      <c r="E78" s="59" t="s">
        <v>93</v>
      </c>
      <c r="F78" s="8">
        <v>729.86599999999999</v>
      </c>
      <c r="G78" s="4">
        <v>4</v>
      </c>
      <c r="H78" s="54">
        <v>6.5</v>
      </c>
      <c r="I78" s="4">
        <v>0</v>
      </c>
      <c r="J78" s="3">
        <v>4</v>
      </c>
      <c r="K78" s="44"/>
      <c r="L78" s="82">
        <v>1</v>
      </c>
      <c r="M78" s="82">
        <v>0</v>
      </c>
      <c r="N78" s="82">
        <v>0</v>
      </c>
      <c r="O78" s="82">
        <v>1</v>
      </c>
      <c r="P78" s="82">
        <v>0</v>
      </c>
      <c r="Q78" s="82">
        <v>0</v>
      </c>
      <c r="R78" s="83">
        <v>0</v>
      </c>
      <c r="S78" s="83">
        <v>0</v>
      </c>
      <c r="T78" s="83">
        <v>0</v>
      </c>
      <c r="U78" s="83">
        <v>0</v>
      </c>
      <c r="V78" s="83">
        <v>0</v>
      </c>
      <c r="W78" s="82">
        <v>0</v>
      </c>
      <c r="X78" s="82">
        <v>0</v>
      </c>
      <c r="Y78" s="83">
        <v>0</v>
      </c>
      <c r="Z78" s="84">
        <v>0</v>
      </c>
      <c r="AA78" s="82">
        <v>0</v>
      </c>
      <c r="AB78" s="82">
        <v>0</v>
      </c>
      <c r="AC78" s="82">
        <v>0</v>
      </c>
      <c r="AD78" s="82">
        <v>0</v>
      </c>
      <c r="AE78" s="82">
        <v>0</v>
      </c>
      <c r="AF78" s="84">
        <v>0</v>
      </c>
      <c r="AG78" s="84">
        <v>1</v>
      </c>
      <c r="AH78" s="85">
        <v>0</v>
      </c>
      <c r="AI78" s="85">
        <v>0</v>
      </c>
      <c r="AJ78" s="85">
        <v>0</v>
      </c>
      <c r="AK78" s="85">
        <v>0</v>
      </c>
      <c r="AL78" s="82">
        <v>0</v>
      </c>
      <c r="AM78" s="82">
        <v>0</v>
      </c>
      <c r="AN78" s="86">
        <v>0</v>
      </c>
      <c r="AO78" s="82">
        <v>1</v>
      </c>
      <c r="AP78" s="82">
        <v>1</v>
      </c>
      <c r="AQ78" s="82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2">
        <v>0</v>
      </c>
      <c r="AZ78" s="80"/>
      <c r="BA78" s="81"/>
      <c r="BB78" s="1">
        <f t="shared" si="18"/>
        <v>0</v>
      </c>
      <c r="BC78" s="6"/>
      <c r="BD78" s="47"/>
      <c r="BE78" s="5">
        <f t="shared" si="19"/>
        <v>0</v>
      </c>
      <c r="BF78" s="48"/>
      <c r="BG78" s="49">
        <v>4</v>
      </c>
      <c r="BH78" s="1">
        <f t="shared" si="20"/>
        <v>6.5</v>
      </c>
      <c r="BI78" s="49"/>
      <c r="BJ78" s="51"/>
      <c r="BK78" s="5">
        <f t="shared" si="21"/>
        <v>0</v>
      </c>
      <c r="BL78" s="48"/>
      <c r="BM78" s="49"/>
      <c r="BN78" s="1">
        <f t="shared" si="22"/>
        <v>0</v>
      </c>
      <c r="BO78" s="50"/>
      <c r="BP78" s="51"/>
      <c r="BQ78" s="5">
        <f t="shared" si="23"/>
        <v>0</v>
      </c>
      <c r="BR78" s="48"/>
      <c r="BS78" s="49"/>
      <c r="BT78" s="1">
        <f t="shared" si="24"/>
        <v>0</v>
      </c>
      <c r="BU78" s="50"/>
      <c r="BV78" s="51"/>
      <c r="BW78" s="5">
        <f t="shared" si="25"/>
        <v>0</v>
      </c>
      <c r="BX78" s="48"/>
      <c r="BY78" s="49"/>
      <c r="BZ78" s="2">
        <f t="shared" si="26"/>
        <v>0</v>
      </c>
      <c r="CA78" s="52"/>
    </row>
    <row r="79" spans="1:79" ht="15.75">
      <c r="A79" s="57">
        <v>44382</v>
      </c>
      <c r="B79" s="58" t="s">
        <v>388</v>
      </c>
      <c r="C79" s="56">
        <v>7403136</v>
      </c>
      <c r="D79" s="34" t="s">
        <v>135</v>
      </c>
      <c r="E79" s="59" t="s">
        <v>78</v>
      </c>
      <c r="F79" s="8">
        <v>733.25400000000002</v>
      </c>
      <c r="G79" s="4">
        <v>0</v>
      </c>
      <c r="H79" s="54">
        <v>0</v>
      </c>
      <c r="I79" s="4">
        <v>0</v>
      </c>
      <c r="J79" s="3">
        <v>0</v>
      </c>
      <c r="K79" s="44"/>
      <c r="L79" s="82">
        <v>1</v>
      </c>
      <c r="M79" s="82">
        <v>0</v>
      </c>
      <c r="N79" s="82">
        <v>0</v>
      </c>
      <c r="O79" s="82">
        <v>0</v>
      </c>
      <c r="P79" s="82">
        <v>0</v>
      </c>
      <c r="Q79" s="82">
        <v>0</v>
      </c>
      <c r="R79" s="83">
        <v>0</v>
      </c>
      <c r="S79" s="83">
        <v>1</v>
      </c>
      <c r="T79" s="83">
        <v>1</v>
      </c>
      <c r="U79" s="83">
        <v>0</v>
      </c>
      <c r="V79" s="83">
        <v>0</v>
      </c>
      <c r="W79" s="82">
        <v>0</v>
      </c>
      <c r="X79" s="82">
        <v>0</v>
      </c>
      <c r="Y79" s="83">
        <v>0</v>
      </c>
      <c r="Z79" s="84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4">
        <v>0</v>
      </c>
      <c r="AG79" s="84">
        <v>0</v>
      </c>
      <c r="AH79" s="85">
        <v>0</v>
      </c>
      <c r="AI79" s="85">
        <v>0</v>
      </c>
      <c r="AJ79" s="85">
        <v>0</v>
      </c>
      <c r="AK79" s="85">
        <v>0</v>
      </c>
      <c r="AL79" s="82">
        <v>0</v>
      </c>
      <c r="AM79" s="82">
        <v>0</v>
      </c>
      <c r="AN79" s="86">
        <v>0</v>
      </c>
      <c r="AO79" s="82">
        <v>0</v>
      </c>
      <c r="AP79" s="82">
        <v>0</v>
      </c>
      <c r="AQ79" s="82">
        <v>0</v>
      </c>
      <c r="AR79" s="87">
        <v>0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2">
        <v>0</v>
      </c>
      <c r="AZ79" s="80"/>
      <c r="BA79" s="81"/>
      <c r="BB79" s="1">
        <f t="shared" si="18"/>
        <v>0</v>
      </c>
      <c r="BC79" s="6"/>
      <c r="BD79" s="47"/>
      <c r="BE79" s="5">
        <f t="shared" si="19"/>
        <v>0</v>
      </c>
      <c r="BF79" s="48"/>
      <c r="BG79" s="49"/>
      <c r="BH79" s="1">
        <f t="shared" si="20"/>
        <v>0</v>
      </c>
      <c r="BI79" s="50"/>
      <c r="BJ79" s="51"/>
      <c r="BK79" s="5">
        <f t="shared" si="21"/>
        <v>0</v>
      </c>
      <c r="BL79" s="48"/>
      <c r="BM79" s="49"/>
      <c r="BN79" s="1">
        <f t="shared" si="22"/>
        <v>0</v>
      </c>
      <c r="BO79" s="50"/>
      <c r="BP79" s="51"/>
      <c r="BQ79" s="5">
        <f t="shared" si="23"/>
        <v>0</v>
      </c>
      <c r="BR79" s="48"/>
      <c r="BS79" s="49"/>
      <c r="BT79" s="1">
        <f t="shared" si="24"/>
        <v>0</v>
      </c>
      <c r="BU79" s="50"/>
      <c r="BV79" s="51"/>
      <c r="BW79" s="5">
        <f t="shared" si="25"/>
        <v>0</v>
      </c>
      <c r="BX79" s="48"/>
      <c r="BY79" s="49"/>
      <c r="BZ79" s="2">
        <f t="shared" si="26"/>
        <v>0</v>
      </c>
      <c r="CA79" s="52"/>
    </row>
    <row r="80" spans="1:79" ht="15.75">
      <c r="A80" s="57">
        <v>43892</v>
      </c>
      <c r="B80" s="58" t="s">
        <v>397</v>
      </c>
      <c r="C80" s="34">
        <v>7402019</v>
      </c>
      <c r="D80" s="34" t="s">
        <v>106</v>
      </c>
      <c r="E80" s="59" t="s">
        <v>66</v>
      </c>
      <c r="F80" s="8">
        <v>870.42450000000008</v>
      </c>
      <c r="G80" s="4">
        <v>0</v>
      </c>
      <c r="H80" s="54">
        <v>0</v>
      </c>
      <c r="I80" s="4">
        <v>0</v>
      </c>
      <c r="J80" s="3">
        <v>0</v>
      </c>
      <c r="K80" s="44"/>
      <c r="L80" s="82">
        <v>1</v>
      </c>
      <c r="M80" s="82">
        <v>0</v>
      </c>
      <c r="N80" s="82">
        <v>0</v>
      </c>
      <c r="O80" s="82">
        <v>1</v>
      </c>
      <c r="P80" s="82">
        <v>0</v>
      </c>
      <c r="Q80" s="82">
        <v>0</v>
      </c>
      <c r="R80" s="83">
        <v>0</v>
      </c>
      <c r="S80" s="83">
        <v>1</v>
      </c>
      <c r="T80" s="83">
        <v>0</v>
      </c>
      <c r="U80" s="83">
        <v>0</v>
      </c>
      <c r="V80" s="83">
        <v>1</v>
      </c>
      <c r="W80" s="82">
        <v>0</v>
      </c>
      <c r="X80" s="82">
        <v>0</v>
      </c>
      <c r="Y80" s="83">
        <v>0</v>
      </c>
      <c r="Z80" s="84">
        <v>0</v>
      </c>
      <c r="AA80" s="82">
        <v>0</v>
      </c>
      <c r="AB80" s="82">
        <v>0</v>
      </c>
      <c r="AC80" s="82">
        <v>0</v>
      </c>
      <c r="AD80" s="82">
        <v>0</v>
      </c>
      <c r="AE80" s="82">
        <v>0</v>
      </c>
      <c r="AF80" s="84">
        <v>1</v>
      </c>
      <c r="AG80" s="84">
        <v>1</v>
      </c>
      <c r="AH80" s="85">
        <v>0</v>
      </c>
      <c r="AI80" s="85">
        <v>0</v>
      </c>
      <c r="AJ80" s="85">
        <v>0</v>
      </c>
      <c r="AK80" s="85">
        <v>0</v>
      </c>
      <c r="AL80" s="82">
        <v>0</v>
      </c>
      <c r="AM80" s="82">
        <v>0</v>
      </c>
      <c r="AN80" s="86">
        <v>0</v>
      </c>
      <c r="AO80" s="82">
        <v>0</v>
      </c>
      <c r="AP80" s="82">
        <v>0</v>
      </c>
      <c r="AQ80" s="82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1</v>
      </c>
      <c r="AY80" s="82">
        <v>0</v>
      </c>
      <c r="AZ80" s="80"/>
      <c r="BA80" s="81"/>
      <c r="BB80" s="1">
        <f t="shared" si="18"/>
        <v>0</v>
      </c>
      <c r="BC80" s="6"/>
      <c r="BD80" s="47"/>
      <c r="BE80" s="5">
        <f t="shared" si="19"/>
        <v>0</v>
      </c>
      <c r="BF80" s="48"/>
      <c r="BG80" s="49"/>
      <c r="BH80" s="1">
        <f t="shared" si="20"/>
        <v>0</v>
      </c>
      <c r="BI80" s="50"/>
      <c r="BJ80" s="51"/>
      <c r="BK80" s="5">
        <f t="shared" si="21"/>
        <v>0</v>
      </c>
      <c r="BL80" s="48"/>
      <c r="BM80" s="49"/>
      <c r="BN80" s="1">
        <f t="shared" si="22"/>
        <v>0</v>
      </c>
      <c r="BO80" s="50"/>
      <c r="BP80" s="51"/>
      <c r="BQ80" s="5">
        <f t="shared" si="23"/>
        <v>0</v>
      </c>
      <c r="BR80" s="48"/>
      <c r="BS80" s="49"/>
      <c r="BT80" s="1">
        <f t="shared" si="24"/>
        <v>0</v>
      </c>
      <c r="BU80" s="50"/>
      <c r="BV80" s="51"/>
      <c r="BW80" s="5">
        <f t="shared" si="25"/>
        <v>0</v>
      </c>
      <c r="BX80" s="48"/>
      <c r="BY80" s="49"/>
      <c r="BZ80" s="2">
        <f t="shared" si="26"/>
        <v>0</v>
      </c>
      <c r="CA80" s="52"/>
    </row>
  </sheetData>
  <autoFilter ref="A3:AZ80" xr:uid="{00000000-0009-0000-0000-000000000000}">
    <sortState xmlns:xlrd2="http://schemas.microsoft.com/office/spreadsheetml/2017/richdata2" ref="A4:AZ80">
      <sortCondition ref="F3:F80"/>
    </sortState>
  </autoFilter>
  <sortState xmlns:xlrd2="http://schemas.microsoft.com/office/spreadsheetml/2017/richdata2" ref="A4:CA80">
    <sortCondition ref="F4:F80"/>
    <sortCondition ref="A4:A80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B7:B21 B23:B38 B41:B52">
    <cfRule type="containsText" dxfId="175" priority="223" operator="containsText" text="Blue">
      <formula>NOT(ISERROR(SEARCH("Blue",B7)))</formula>
    </cfRule>
    <cfRule type="containsText" priority="224" operator="containsText" text="Lay off">
      <formula>NOT(ISERROR(SEARCH("Lay off",B7)))</formula>
    </cfRule>
    <cfRule type="containsText" dxfId="174" priority="225" operator="containsText" text="Rock">
      <formula>NOT(ISERROR(SEARCH("Rock",B7)))</formula>
    </cfRule>
    <cfRule type="containsText" dxfId="173" priority="226" operator="containsText" text="d">
      <formula>NOT(ISERROR(SEARCH("d",B7)))</formula>
    </cfRule>
    <cfRule type="containsText" dxfId="172" priority="227" operator="containsText" text="B">
      <formula>NOT(ISERROR(SEARCH("B",B7)))</formula>
    </cfRule>
    <cfRule type="containsText" dxfId="171" priority="228" operator="containsText" text="u">
      <formula>NOT(ISERROR(SEARCH("u",B7)))</formula>
    </cfRule>
    <cfRule type="containsText" dxfId="170" priority="229" operator="containsText" text="u">
      <formula>NOT(ISERROR(SEARCH("u",B7)))</formula>
    </cfRule>
    <cfRule type="containsText" priority="230" operator="containsText" text="Off">
      <formula>NOT(ISERROR(SEARCH("Off",B7)))</formula>
    </cfRule>
    <cfRule type="containsText" dxfId="169" priority="231" operator="containsText" text="Maternity">
      <formula>NOT(ISERROR(SEARCH("Maternity",B7)))</formula>
    </cfRule>
  </conditionalFormatting>
  <conditionalFormatting sqref="B22">
    <cfRule type="containsText" dxfId="168" priority="232" operator="containsText" text="Blue">
      <formula>NOT(ISERROR(SEARCH("Blue",B22)))</formula>
    </cfRule>
    <cfRule type="containsText" priority="233" operator="containsText" text="Lay off">
      <formula>NOT(ISERROR(SEARCH("Lay off",B22)))</formula>
    </cfRule>
    <cfRule type="containsText" dxfId="167" priority="234" operator="containsText" text="Rock">
      <formula>NOT(ISERROR(SEARCH("Rock",B22)))</formula>
    </cfRule>
    <cfRule type="containsText" dxfId="166" priority="235" operator="containsText" text="d">
      <formula>NOT(ISERROR(SEARCH("d",B22)))</formula>
    </cfRule>
    <cfRule type="containsText" dxfId="165" priority="236" operator="containsText" text="B">
      <formula>NOT(ISERROR(SEARCH("B",B22)))</formula>
    </cfRule>
    <cfRule type="containsText" dxfId="164" priority="237" operator="containsText" text="u">
      <formula>NOT(ISERROR(SEARCH("u",B22)))</formula>
    </cfRule>
    <cfRule type="containsText" dxfId="163" priority="238" operator="containsText" text="u">
      <formula>NOT(ISERROR(SEARCH("u",B22)))</formula>
    </cfRule>
    <cfRule type="containsText" priority="239" operator="containsText" text="Off">
      <formula>NOT(ISERROR(SEARCH("Off",B22)))</formula>
    </cfRule>
    <cfRule type="containsText" dxfId="162" priority="240" operator="containsText" text="Maternity">
      <formula>NOT(ISERROR(SEARCH("Maternity",B22)))</formula>
    </cfRule>
  </conditionalFormatting>
  <conditionalFormatting sqref="B40">
    <cfRule type="containsText" dxfId="161" priority="114" operator="containsText" text="Blue">
      <formula>NOT(ISERROR(SEARCH("Blue",B40)))</formula>
    </cfRule>
    <cfRule type="containsText" priority="115" operator="containsText" text="Lay off">
      <formula>NOT(ISERROR(SEARCH("Lay off",B40)))</formula>
    </cfRule>
    <cfRule type="containsText" dxfId="160" priority="116" operator="containsText" text="Rock">
      <formula>NOT(ISERROR(SEARCH("Rock",B40)))</formula>
    </cfRule>
    <cfRule type="containsText" dxfId="159" priority="117" operator="containsText" text="d">
      <formula>NOT(ISERROR(SEARCH("d",B40)))</formula>
    </cfRule>
    <cfRule type="containsText" dxfId="158" priority="118" operator="containsText" text="B">
      <formula>NOT(ISERROR(SEARCH("B",B40)))</formula>
    </cfRule>
    <cfRule type="containsText" dxfId="157" priority="119" operator="containsText" text="u">
      <formula>NOT(ISERROR(SEARCH("u",B40)))</formula>
    </cfRule>
    <cfRule type="containsText" dxfId="156" priority="120" operator="containsText" text="u">
      <formula>NOT(ISERROR(SEARCH("u",B40)))</formula>
    </cfRule>
    <cfRule type="containsText" priority="121" operator="containsText" text="Off">
      <formula>NOT(ISERROR(SEARCH("Off",B40)))</formula>
    </cfRule>
    <cfRule type="containsText" dxfId="155" priority="122" operator="containsText" text="Maternity">
      <formula>NOT(ISERROR(SEARCH("Maternity",B40)))</formula>
    </cfRule>
  </conditionalFormatting>
  <conditionalFormatting sqref="B39">
    <cfRule type="containsText" dxfId="154" priority="105" operator="containsText" text="Blue">
      <formula>NOT(ISERROR(SEARCH("Blue",B39)))</formula>
    </cfRule>
    <cfRule type="containsText" priority="106" operator="containsText" text="Lay off">
      <formula>NOT(ISERROR(SEARCH("Lay off",B39)))</formula>
    </cfRule>
    <cfRule type="containsText" dxfId="153" priority="107" operator="containsText" text="Rock">
      <formula>NOT(ISERROR(SEARCH("Rock",B39)))</formula>
    </cfRule>
    <cfRule type="containsText" dxfId="152" priority="108" operator="containsText" text="d">
      <formula>NOT(ISERROR(SEARCH("d",B39)))</formula>
    </cfRule>
    <cfRule type="containsText" dxfId="151" priority="109" operator="containsText" text="B">
      <formula>NOT(ISERROR(SEARCH("B",B39)))</formula>
    </cfRule>
    <cfRule type="containsText" dxfId="150" priority="110" operator="containsText" text="u">
      <formula>NOT(ISERROR(SEARCH("u",B39)))</formula>
    </cfRule>
    <cfRule type="containsText" dxfId="149" priority="111" operator="containsText" text="u">
      <formula>NOT(ISERROR(SEARCH("u",B39)))</formula>
    </cfRule>
    <cfRule type="containsText" priority="112" operator="containsText" text="Off">
      <formula>NOT(ISERROR(SEARCH("Off",B39)))</formula>
    </cfRule>
    <cfRule type="containsText" dxfId="148" priority="113" operator="containsText" text="Maternity">
      <formula>NOT(ISERROR(SEARCH("Maternity",B39)))</formula>
    </cfRule>
  </conditionalFormatting>
  <conditionalFormatting sqref="B53">
    <cfRule type="containsText" dxfId="147" priority="86" operator="containsText" text="Blue">
      <formula>NOT(ISERROR(SEARCH("Blue",B53)))</formula>
    </cfRule>
    <cfRule type="containsText" priority="87" operator="containsText" text="Lay off">
      <formula>NOT(ISERROR(SEARCH("Lay off",B53)))</formula>
    </cfRule>
    <cfRule type="containsText" dxfId="146" priority="88" operator="containsText" text="Rock">
      <formula>NOT(ISERROR(SEARCH("Rock",B53)))</formula>
    </cfRule>
    <cfRule type="containsText" dxfId="145" priority="89" operator="containsText" text="d">
      <formula>NOT(ISERROR(SEARCH("d",B53)))</formula>
    </cfRule>
    <cfRule type="containsText" dxfId="144" priority="90" operator="containsText" text="B">
      <formula>NOT(ISERROR(SEARCH("B",B53)))</formula>
    </cfRule>
    <cfRule type="containsText" dxfId="143" priority="91" operator="containsText" text="u">
      <formula>NOT(ISERROR(SEARCH("u",B53)))</formula>
    </cfRule>
    <cfRule type="containsText" dxfId="142" priority="92" operator="containsText" text="u">
      <formula>NOT(ISERROR(SEARCH("u",B53)))</formula>
    </cfRule>
    <cfRule type="containsText" priority="93" operator="containsText" text="Off">
      <formula>NOT(ISERROR(SEARCH("Off",B53)))</formula>
    </cfRule>
    <cfRule type="containsText" dxfId="141" priority="94" operator="containsText" text="Maternity">
      <formula>NOT(ISERROR(SEARCH("Maternity",B53)))</formula>
    </cfRule>
  </conditionalFormatting>
  <conditionalFormatting sqref="I4:I80">
    <cfRule type="cellIs" dxfId="140" priority="73" operator="greaterThanOrEqual">
      <formula>20</formula>
    </cfRule>
  </conditionalFormatting>
  <conditionalFormatting sqref="B55 B4:B5">
    <cfRule type="containsText" dxfId="139" priority="37" operator="containsText" text="Blue">
      <formula>NOT(ISERROR(SEARCH("Blue",B4)))</formula>
    </cfRule>
    <cfRule type="containsText" priority="38" operator="containsText" text="Lay off">
      <formula>NOT(ISERROR(SEARCH("Lay off",B4)))</formula>
    </cfRule>
    <cfRule type="containsText" dxfId="138" priority="39" operator="containsText" text="Rock">
      <formula>NOT(ISERROR(SEARCH("Rock",B4)))</formula>
    </cfRule>
    <cfRule type="containsText" dxfId="137" priority="40" operator="containsText" text="d">
      <formula>NOT(ISERROR(SEARCH("d",B4)))</formula>
    </cfRule>
    <cfRule type="containsText" dxfId="136" priority="41" operator="containsText" text="B">
      <formula>NOT(ISERROR(SEARCH("B",B4)))</formula>
    </cfRule>
    <cfRule type="containsText" dxfId="135" priority="42" operator="containsText" text="u">
      <formula>NOT(ISERROR(SEARCH("u",B4)))</formula>
    </cfRule>
    <cfRule type="containsText" dxfId="134" priority="43" operator="containsText" text="u">
      <formula>NOT(ISERROR(SEARCH("u",B4)))</formula>
    </cfRule>
    <cfRule type="containsText" priority="44" operator="containsText" text="Off">
      <formula>NOT(ISERROR(SEARCH("Off",B4)))</formula>
    </cfRule>
    <cfRule type="containsText" dxfId="133" priority="45" operator="containsText" text="Maternity">
      <formula>NOT(ISERROR(SEARCH("Maternity",B4)))</formula>
    </cfRule>
  </conditionalFormatting>
  <conditionalFormatting sqref="B65 B59:B61 B56">
    <cfRule type="containsText" dxfId="132" priority="19" operator="containsText" text="Blue">
      <formula>NOT(ISERROR(SEARCH("Blue",B56)))</formula>
    </cfRule>
    <cfRule type="containsText" priority="20" operator="containsText" text="Lay off">
      <formula>NOT(ISERROR(SEARCH("Lay off",B56)))</formula>
    </cfRule>
    <cfRule type="containsText" dxfId="131" priority="21" operator="containsText" text="Rock">
      <formula>NOT(ISERROR(SEARCH("Rock",B56)))</formula>
    </cfRule>
    <cfRule type="containsText" dxfId="130" priority="22" operator="containsText" text="d">
      <formula>NOT(ISERROR(SEARCH("d",B56)))</formula>
    </cfRule>
    <cfRule type="containsText" dxfId="129" priority="23" operator="containsText" text="B">
      <formula>NOT(ISERROR(SEARCH("B",B56)))</formula>
    </cfRule>
    <cfRule type="containsText" dxfId="128" priority="24" operator="containsText" text="u">
      <formula>NOT(ISERROR(SEARCH("u",B56)))</formula>
    </cfRule>
    <cfRule type="containsText" dxfId="127" priority="25" operator="containsText" text="u">
      <formula>NOT(ISERROR(SEARCH("u",B56)))</formula>
    </cfRule>
    <cfRule type="containsText" priority="26" operator="containsText" text="Off">
      <formula>NOT(ISERROR(SEARCH("Off",B56)))</formula>
    </cfRule>
    <cfRule type="containsText" dxfId="126" priority="27" operator="containsText" text="Maternity">
      <formula>NOT(ISERROR(SEARCH("Maternity",B56)))</formula>
    </cfRule>
  </conditionalFormatting>
  <conditionalFormatting sqref="B78:B79 B63 B57">
    <cfRule type="containsText" dxfId="125" priority="10" operator="containsText" text="Blue">
      <formula>NOT(ISERROR(SEARCH("Blue",B57)))</formula>
    </cfRule>
    <cfRule type="containsText" priority="11" operator="containsText" text="Lay off">
      <formula>NOT(ISERROR(SEARCH("Lay off",B57)))</formula>
    </cfRule>
    <cfRule type="containsText" dxfId="124" priority="12" operator="containsText" text="Rock">
      <formula>NOT(ISERROR(SEARCH("Rock",B57)))</formula>
    </cfRule>
    <cfRule type="containsText" dxfId="123" priority="13" operator="containsText" text="d">
      <formula>NOT(ISERROR(SEARCH("d",B57)))</formula>
    </cfRule>
    <cfRule type="containsText" dxfId="122" priority="14" operator="containsText" text="B">
      <formula>NOT(ISERROR(SEARCH("B",B57)))</formula>
    </cfRule>
    <cfRule type="containsText" dxfId="121" priority="15" operator="containsText" text="u">
      <formula>NOT(ISERROR(SEARCH("u",B57)))</formula>
    </cfRule>
    <cfRule type="containsText" dxfId="120" priority="16" operator="containsText" text="u">
      <formula>NOT(ISERROR(SEARCH("u",B57)))</formula>
    </cfRule>
    <cfRule type="containsText" priority="17" operator="containsText" text="Off">
      <formula>NOT(ISERROR(SEARCH("Off",B57)))</formula>
    </cfRule>
    <cfRule type="containsText" dxfId="119" priority="18" operator="containsText" text="Maternity">
      <formula>NOT(ISERROR(SEARCH("Maternity",B57)))</formula>
    </cfRule>
  </conditionalFormatting>
  <conditionalFormatting sqref="B66 B64 B58 B6">
    <cfRule type="containsText" dxfId="118" priority="1" operator="containsText" text="Blue">
      <formula>NOT(ISERROR(SEARCH("Blue",B6)))</formula>
    </cfRule>
    <cfRule type="containsText" priority="2" operator="containsText" text="Lay off">
      <formula>NOT(ISERROR(SEARCH("Lay off",B6)))</formula>
    </cfRule>
    <cfRule type="containsText" dxfId="117" priority="3" operator="containsText" text="Rock">
      <formula>NOT(ISERROR(SEARCH("Rock",B6)))</formula>
    </cfRule>
    <cfRule type="containsText" dxfId="116" priority="4" operator="containsText" text="d">
      <formula>NOT(ISERROR(SEARCH("d",B6)))</formula>
    </cfRule>
    <cfRule type="containsText" dxfId="115" priority="5" operator="containsText" text="B">
      <formula>NOT(ISERROR(SEARCH("B",B6)))</formula>
    </cfRule>
    <cfRule type="containsText" dxfId="114" priority="6" operator="containsText" text="u">
      <formula>NOT(ISERROR(SEARCH("u",B6)))</formula>
    </cfRule>
    <cfRule type="containsText" dxfId="113" priority="7" operator="containsText" text="u">
      <formula>NOT(ISERROR(SEARCH("u",B6)))</formula>
    </cfRule>
    <cfRule type="containsText" priority="8" operator="containsText" text="Off">
      <formula>NOT(ISERROR(SEARCH("Off",B6)))</formula>
    </cfRule>
    <cfRule type="containsText" dxfId="112" priority="9" operator="containsText" text="Maternity">
      <formula>NOT(ISERROR(SEARCH("Maternity",B6)))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62"/>
  <sheetViews>
    <sheetView zoomScale="70" zoomScaleNormal="70" workbookViewId="0">
      <pane xSplit="5" ySplit="2" topLeftCell="F72" activePane="bottomRight" state="frozen"/>
      <selection pane="topRight" activeCell="F1" sqref="F1"/>
      <selection pane="bottomLeft" activeCell="A2" sqref="A2"/>
      <selection pane="bottomRight" activeCell="H109" sqref="H109"/>
    </sheetView>
  </sheetViews>
  <sheetFormatPr defaultColWidth="9.140625" defaultRowHeight="15"/>
  <cols>
    <col min="1" max="1" width="9.5703125" style="44" bestFit="1" customWidth="1"/>
    <col min="2" max="2" width="9.140625" style="44"/>
    <col min="3" max="3" width="11.42578125" style="44" customWidth="1"/>
    <col min="4" max="4" width="22" style="44" customWidth="1"/>
    <col min="5" max="5" width="17.28515625" style="44" customWidth="1"/>
    <col min="6" max="6" width="9.140625" style="44"/>
    <col min="7" max="8" width="10.5703125" style="44" customWidth="1"/>
    <col min="9" max="46" width="9.140625" style="44"/>
    <col min="47" max="16384" width="9.140625" style="45"/>
  </cols>
  <sheetData>
    <row r="1" spans="1:46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168</v>
      </c>
      <c r="I2" s="36" t="s">
        <v>82</v>
      </c>
      <c r="J2" s="36" t="s">
        <v>180</v>
      </c>
      <c r="K2" s="36" t="s">
        <v>83</v>
      </c>
      <c r="L2" s="36" t="s">
        <v>41</v>
      </c>
      <c r="M2" s="36" t="s">
        <v>42</v>
      </c>
      <c r="N2" s="36" t="s">
        <v>63</v>
      </c>
      <c r="O2" s="36" t="s">
        <v>184</v>
      </c>
      <c r="P2" s="36" t="s">
        <v>43</v>
      </c>
      <c r="Q2" s="36" t="s">
        <v>44</v>
      </c>
      <c r="R2" s="36" t="s">
        <v>17</v>
      </c>
      <c r="S2" s="36" t="s">
        <v>86</v>
      </c>
      <c r="T2" s="36" t="s">
        <v>94</v>
      </c>
      <c r="U2" s="36" t="s">
        <v>45</v>
      </c>
      <c r="V2" s="36" t="s">
        <v>182</v>
      </c>
      <c r="W2" s="36" t="s">
        <v>46</v>
      </c>
      <c r="X2" s="36" t="s">
        <v>20</v>
      </c>
      <c r="Y2" s="36" t="s">
        <v>47</v>
      </c>
      <c r="Z2" s="36" t="s">
        <v>89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95</v>
      </c>
      <c r="AJ2" s="36" t="s">
        <v>96</v>
      </c>
      <c r="AK2" s="36" t="s">
        <v>57</v>
      </c>
      <c r="AL2" s="36" t="s">
        <v>186</v>
      </c>
      <c r="AM2" s="36" t="s">
        <v>187</v>
      </c>
      <c r="AN2" s="36" t="s">
        <v>188</v>
      </c>
      <c r="AO2" s="36" t="s">
        <v>189</v>
      </c>
      <c r="AP2" s="36" t="s">
        <v>190</v>
      </c>
      <c r="AQ2" s="36" t="s">
        <v>191</v>
      </c>
      <c r="AR2" s="36" t="s">
        <v>192</v>
      </c>
      <c r="AS2" s="36" t="s">
        <v>51</v>
      </c>
      <c r="AT2" s="36" t="s">
        <v>185</v>
      </c>
    </row>
    <row r="3" spans="1:46">
      <c r="A3" s="29"/>
      <c r="B3" s="29"/>
      <c r="C3" s="37">
        <v>7104292</v>
      </c>
      <c r="D3" s="37" t="s">
        <v>218</v>
      </c>
      <c r="E3" s="97" t="s">
        <v>219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>
      <c r="A4" s="29"/>
      <c r="B4" s="29"/>
      <c r="C4" s="34">
        <v>7104212</v>
      </c>
      <c r="D4" s="34" t="s">
        <v>206</v>
      </c>
      <c r="E4" s="59" t="s">
        <v>207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>
      <c r="A5" s="29"/>
      <c r="B5" s="29"/>
      <c r="C5" s="34">
        <v>7104132</v>
      </c>
      <c r="D5" s="34" t="s">
        <v>193</v>
      </c>
      <c r="E5" s="59" t="s">
        <v>194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>
      <c r="A6" s="57"/>
      <c r="B6" s="58"/>
      <c r="C6" s="34">
        <v>7104972</v>
      </c>
      <c r="D6" s="7" t="s">
        <v>324</v>
      </c>
      <c r="E6" s="59" t="s">
        <v>328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>
      <c r="A7" s="57"/>
      <c r="B7" s="58"/>
      <c r="C7" s="34">
        <v>7105382</v>
      </c>
      <c r="D7" s="34" t="s">
        <v>374</v>
      </c>
      <c r="E7" s="59" t="s">
        <v>375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>
      <c r="A8" s="29"/>
      <c r="B8" s="29"/>
      <c r="C8" s="34">
        <v>7104178</v>
      </c>
      <c r="D8" s="34" t="s">
        <v>195</v>
      </c>
      <c r="E8" s="59" t="s">
        <v>196</v>
      </c>
      <c r="F8" s="29">
        <v>1</v>
      </c>
      <c r="G8" s="29"/>
      <c r="H8" s="29">
        <v>1</v>
      </c>
      <c r="I8" s="29"/>
      <c r="J8" s="29">
        <v>1</v>
      </c>
      <c r="K8" s="29"/>
      <c r="L8" s="29"/>
      <c r="M8" s="29">
        <v>1</v>
      </c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</row>
    <row r="9" spans="1:46">
      <c r="A9" s="57"/>
      <c r="B9" s="58"/>
      <c r="C9" s="34">
        <v>7104337</v>
      </c>
      <c r="D9" s="34" t="s">
        <v>242</v>
      </c>
      <c r="E9" s="59" t="s">
        <v>243</v>
      </c>
      <c r="AT9" s="29"/>
    </row>
    <row r="10" spans="1:46" ht="15" customHeight="1">
      <c r="A10" s="29"/>
      <c r="B10" s="29"/>
      <c r="C10" s="37">
        <v>7095873</v>
      </c>
      <c r="D10" s="37" t="s">
        <v>100</v>
      </c>
      <c r="E10" s="40" t="s">
        <v>97</v>
      </c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>
        <v>1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</row>
    <row r="11" spans="1:46" ht="15" customHeight="1">
      <c r="C11" s="34">
        <v>7095780</v>
      </c>
      <c r="D11" s="34" t="s">
        <v>227</v>
      </c>
      <c r="E11" s="59" t="s">
        <v>228</v>
      </c>
      <c r="F11" s="44">
        <v>1</v>
      </c>
      <c r="U11" s="44">
        <v>1</v>
      </c>
      <c r="Y11" s="44">
        <v>1</v>
      </c>
      <c r="AT11" s="29"/>
    </row>
    <row r="12" spans="1:46">
      <c r="A12" s="29"/>
      <c r="B12" s="29"/>
      <c r="C12" s="29">
        <v>7401154</v>
      </c>
      <c r="D12" s="29" t="s">
        <v>70</v>
      </c>
      <c r="E12" s="29" t="s">
        <v>71</v>
      </c>
      <c r="F12" s="29">
        <v>1</v>
      </c>
      <c r="G12" s="29"/>
      <c r="H12" s="29"/>
      <c r="I12" s="29">
        <v>1</v>
      </c>
      <c r="J12" s="29"/>
      <c r="K12" s="29"/>
      <c r="L12" s="29"/>
      <c r="M12" s="29">
        <v>1</v>
      </c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>
        <v>1</v>
      </c>
      <c r="AA12" s="29">
        <v>1</v>
      </c>
      <c r="AB12" s="29"/>
      <c r="AC12" s="29"/>
      <c r="AD12" s="29"/>
      <c r="AE12" s="29"/>
      <c r="AF12" s="29"/>
      <c r="AG12" s="29"/>
      <c r="AH12" s="29"/>
      <c r="AI12" s="29">
        <v>1</v>
      </c>
      <c r="AJ12" s="29">
        <v>1</v>
      </c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>
      <c r="A13" s="57"/>
      <c r="B13" s="58"/>
      <c r="C13" s="34">
        <v>74030137</v>
      </c>
      <c r="D13" s="34" t="s">
        <v>339</v>
      </c>
      <c r="E13" s="59" t="s">
        <v>342</v>
      </c>
      <c r="F13" s="29"/>
      <c r="G13" s="29"/>
      <c r="H13" s="29"/>
      <c r="I13" s="29">
        <v>1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</row>
    <row r="14" spans="1:46" ht="15" customHeight="1">
      <c r="A14" s="57"/>
      <c r="B14" s="58"/>
      <c r="C14" s="34">
        <v>7104549</v>
      </c>
      <c r="D14" s="34" t="s">
        <v>244</v>
      </c>
      <c r="E14" s="59" t="s">
        <v>224</v>
      </c>
      <c r="H14" s="44">
        <v>1</v>
      </c>
    </row>
    <row r="15" spans="1:46">
      <c r="A15" s="57"/>
      <c r="B15" s="58"/>
      <c r="C15" s="34">
        <v>7104332</v>
      </c>
      <c r="D15" s="34" t="s">
        <v>245</v>
      </c>
      <c r="E15" s="59" t="s">
        <v>74</v>
      </c>
      <c r="M15" s="44">
        <v>1</v>
      </c>
      <c r="AT15" s="29"/>
    </row>
    <row r="16" spans="1:46" ht="15" customHeight="1">
      <c r="A16" s="57"/>
      <c r="B16" s="58"/>
      <c r="C16" s="34">
        <v>7105001</v>
      </c>
      <c r="D16" s="34" t="s">
        <v>325</v>
      </c>
      <c r="E16" s="59" t="s">
        <v>329</v>
      </c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</row>
    <row r="17" spans="1:46">
      <c r="A17" s="57"/>
      <c r="B17" s="58"/>
      <c r="C17" s="34">
        <v>7105245</v>
      </c>
      <c r="D17" s="34" t="s">
        <v>346</v>
      </c>
      <c r="E17" s="59" t="s">
        <v>350</v>
      </c>
      <c r="F17" s="29"/>
      <c r="G17" s="29"/>
      <c r="H17" s="29"/>
      <c r="I17" s="29">
        <v>1</v>
      </c>
      <c r="J17" s="29"/>
      <c r="K17" s="29"/>
      <c r="L17" s="29"/>
      <c r="M17" s="29">
        <v>1</v>
      </c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</row>
    <row r="18" spans="1:46" ht="15" customHeight="1">
      <c r="A18" s="57"/>
      <c r="B18" s="58"/>
      <c r="C18" s="34">
        <v>7104333</v>
      </c>
      <c r="D18" s="34" t="s">
        <v>246</v>
      </c>
      <c r="E18" s="59" t="s">
        <v>247</v>
      </c>
      <c r="F18" s="44">
        <v>1</v>
      </c>
      <c r="H18" s="44">
        <v>1</v>
      </c>
      <c r="T18" s="44">
        <v>1</v>
      </c>
      <c r="AT18" s="29"/>
    </row>
    <row r="19" spans="1:46" ht="15" customHeight="1">
      <c r="A19" s="57"/>
      <c r="B19" s="58"/>
      <c r="C19" s="34">
        <v>7401147</v>
      </c>
      <c r="D19" s="34" t="s">
        <v>246</v>
      </c>
      <c r="E19" s="59" t="s">
        <v>248</v>
      </c>
      <c r="F19" s="44">
        <v>1</v>
      </c>
      <c r="H19" s="44">
        <v>1</v>
      </c>
      <c r="T19" s="44">
        <v>1</v>
      </c>
      <c r="AT19" s="29"/>
    </row>
    <row r="20" spans="1:46">
      <c r="A20" s="57"/>
      <c r="B20" s="58"/>
      <c r="C20" s="34">
        <v>7105038</v>
      </c>
      <c r="D20" s="7" t="s">
        <v>332</v>
      </c>
      <c r="E20" s="94" t="s">
        <v>335</v>
      </c>
      <c r="F20" s="29">
        <v>1</v>
      </c>
      <c r="G20" s="29"/>
      <c r="H20" s="29">
        <v>1</v>
      </c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</row>
    <row r="21" spans="1:46">
      <c r="A21" s="57"/>
      <c r="B21" s="58"/>
      <c r="C21" s="34">
        <v>7105087</v>
      </c>
      <c r="D21" s="34" t="s">
        <v>337</v>
      </c>
      <c r="E21" s="59" t="s">
        <v>338</v>
      </c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</row>
    <row r="22" spans="1:46">
      <c r="A22" s="57"/>
      <c r="B22" s="58"/>
      <c r="C22" s="34">
        <v>7105419</v>
      </c>
      <c r="D22" s="34" t="s">
        <v>376</v>
      </c>
      <c r="E22" s="59" t="s">
        <v>377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>
      <c r="A23" s="57"/>
      <c r="B23" s="58"/>
      <c r="C23" s="34">
        <v>7104754</v>
      </c>
      <c r="D23" s="34" t="s">
        <v>274</v>
      </c>
      <c r="E23" s="59" t="s">
        <v>275</v>
      </c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>
        <v>1</v>
      </c>
      <c r="AS23" s="29"/>
      <c r="AT23" s="29"/>
    </row>
    <row r="24" spans="1:46">
      <c r="A24" s="30"/>
      <c r="B24" s="31"/>
      <c r="C24" s="29">
        <v>7402019</v>
      </c>
      <c r="D24" s="29" t="s">
        <v>79</v>
      </c>
      <c r="E24" s="43" t="s">
        <v>66</v>
      </c>
      <c r="F24" s="29">
        <v>1</v>
      </c>
      <c r="G24" s="29"/>
      <c r="H24" s="29"/>
      <c r="I24" s="29">
        <v>1</v>
      </c>
      <c r="J24" s="29"/>
      <c r="K24" s="29"/>
      <c r="L24" s="29"/>
      <c r="M24" s="29">
        <v>1</v>
      </c>
      <c r="N24" s="29"/>
      <c r="O24" s="29"/>
      <c r="P24" s="29">
        <v>1</v>
      </c>
      <c r="Q24" s="29"/>
      <c r="R24" s="29"/>
      <c r="S24" s="29"/>
      <c r="T24" s="29"/>
      <c r="U24" s="29"/>
      <c r="V24" s="29"/>
      <c r="W24" s="29"/>
      <c r="X24" s="29"/>
      <c r="Y24" s="29"/>
      <c r="Z24" s="29">
        <v>1</v>
      </c>
      <c r="AA24" s="29">
        <v>1</v>
      </c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>
      <c r="A25" s="29"/>
      <c r="B25" s="29"/>
      <c r="C25" s="34">
        <v>7104227</v>
      </c>
      <c r="D25" s="34" t="s">
        <v>208</v>
      </c>
      <c r="E25" s="59" t="s">
        <v>209</v>
      </c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>
      <c r="A26" s="30"/>
      <c r="B26" s="31"/>
      <c r="C26" s="34">
        <v>7104882</v>
      </c>
      <c r="D26" s="37" t="s">
        <v>303</v>
      </c>
      <c r="E26" s="59" t="s">
        <v>314</v>
      </c>
      <c r="F26" s="29">
        <v>1</v>
      </c>
      <c r="G26" s="29"/>
      <c r="H26" s="29">
        <v>1</v>
      </c>
      <c r="I26" s="29">
        <v>1</v>
      </c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</row>
    <row r="27" spans="1:46" ht="15" customHeight="1">
      <c r="A27" s="57"/>
      <c r="B27" s="58"/>
      <c r="C27" s="34">
        <v>7105393</v>
      </c>
      <c r="D27" s="34" t="s">
        <v>378</v>
      </c>
      <c r="E27" s="59" t="s">
        <v>379</v>
      </c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</row>
    <row r="28" spans="1:46" ht="15" customHeight="1">
      <c r="A28" s="57"/>
      <c r="B28" s="58"/>
      <c r="C28" s="34">
        <v>7104857</v>
      </c>
      <c r="D28" s="37" t="s">
        <v>304</v>
      </c>
      <c r="E28" s="59" t="s">
        <v>315</v>
      </c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>
        <v>1</v>
      </c>
      <c r="AS28" s="29"/>
    </row>
    <row r="29" spans="1:46" ht="15" customHeight="1">
      <c r="A29" s="57"/>
      <c r="B29" s="58"/>
      <c r="C29" s="55">
        <v>7401354</v>
      </c>
      <c r="D29" s="32" t="s">
        <v>107</v>
      </c>
      <c r="E29" s="32" t="s">
        <v>108</v>
      </c>
      <c r="F29" s="29">
        <v>1</v>
      </c>
      <c r="G29" s="29"/>
      <c r="H29" s="29"/>
      <c r="I29" s="29">
        <v>1</v>
      </c>
      <c r="J29" s="29"/>
      <c r="K29" s="29"/>
      <c r="L29" s="29"/>
      <c r="M29" s="29">
        <v>1</v>
      </c>
      <c r="N29" s="29"/>
      <c r="O29" s="29"/>
      <c r="P29" s="29"/>
      <c r="Q29" s="29"/>
      <c r="R29" s="29"/>
      <c r="S29" s="29"/>
      <c r="T29" s="29">
        <v>1</v>
      </c>
      <c r="U29" s="29"/>
      <c r="V29" s="29"/>
      <c r="W29" s="29"/>
      <c r="X29" s="29"/>
      <c r="Y29" s="29"/>
      <c r="Z29" s="29"/>
      <c r="AA29" s="29">
        <v>1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>
      <c r="A30" s="29"/>
      <c r="B30" s="29"/>
      <c r="C30" s="34">
        <v>7104370</v>
      </c>
      <c r="D30" s="34" t="s">
        <v>276</v>
      </c>
      <c r="E30" s="59" t="s">
        <v>277</v>
      </c>
      <c r="F30" s="44">
        <v>1</v>
      </c>
      <c r="M30" s="44">
        <v>1</v>
      </c>
      <c r="AT30" s="29"/>
    </row>
    <row r="31" spans="1:46" ht="15" customHeight="1">
      <c r="A31" s="57"/>
      <c r="B31" s="58"/>
      <c r="C31" s="34">
        <v>7104238</v>
      </c>
      <c r="D31" s="34" t="s">
        <v>249</v>
      </c>
      <c r="E31" s="59" t="s">
        <v>241</v>
      </c>
      <c r="F31" s="44">
        <v>1</v>
      </c>
      <c r="M31" s="44">
        <v>1</v>
      </c>
    </row>
    <row r="32" spans="1:46" ht="15" customHeight="1">
      <c r="A32" s="57"/>
      <c r="B32" s="58"/>
      <c r="C32" s="34">
        <v>7104257</v>
      </c>
      <c r="D32" s="34" t="s">
        <v>250</v>
      </c>
      <c r="E32" s="59" t="s">
        <v>251</v>
      </c>
      <c r="M32" s="44">
        <v>1</v>
      </c>
      <c r="AT32" s="29"/>
    </row>
    <row r="33" spans="1:46" ht="15" customHeight="1">
      <c r="A33" s="29"/>
      <c r="B33" s="29"/>
      <c r="C33" s="34">
        <v>104</v>
      </c>
      <c r="D33" s="7" t="s">
        <v>290</v>
      </c>
      <c r="E33" s="59" t="s">
        <v>296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>
      <c r="A34" s="29"/>
      <c r="B34" s="29"/>
      <c r="C34" s="37">
        <v>7400336</v>
      </c>
      <c r="D34" s="37" t="s">
        <v>64</v>
      </c>
      <c r="E34" s="40" t="s">
        <v>65</v>
      </c>
      <c r="F34" s="29">
        <v>1</v>
      </c>
      <c r="G34" s="29"/>
      <c r="H34" s="29">
        <v>1</v>
      </c>
      <c r="I34" s="29"/>
      <c r="J34" s="29"/>
      <c r="K34" s="29"/>
      <c r="L34" s="29"/>
      <c r="M34" s="29">
        <v>1</v>
      </c>
      <c r="N34" s="29"/>
      <c r="O34" s="29"/>
      <c r="P34" s="29"/>
      <c r="Q34" s="29"/>
      <c r="R34" s="29"/>
      <c r="S34" s="29"/>
      <c r="T34" s="29">
        <v>1</v>
      </c>
      <c r="U34" s="29"/>
      <c r="V34" s="29"/>
      <c r="W34" s="29"/>
      <c r="X34" s="29"/>
      <c r="Y34" s="29"/>
      <c r="Z34" s="29">
        <v>1</v>
      </c>
      <c r="AA34" s="29">
        <v>1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>
      <c r="A35" s="29"/>
      <c r="B35" s="29"/>
      <c r="C35" s="34">
        <v>7104633</v>
      </c>
      <c r="D35" s="34" t="s">
        <v>252</v>
      </c>
      <c r="E35" s="59" t="s">
        <v>253</v>
      </c>
      <c r="M35" s="44">
        <v>1</v>
      </c>
      <c r="AT35" s="29"/>
    </row>
    <row r="36" spans="1:46" ht="15" customHeight="1">
      <c r="A36" s="53"/>
      <c r="B36" s="31"/>
      <c r="C36" s="34">
        <v>24</v>
      </c>
      <c r="D36" s="34" t="s">
        <v>278</v>
      </c>
      <c r="E36" s="59" t="s">
        <v>279</v>
      </c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>
      <c r="A37" s="29"/>
      <c r="B37" s="29"/>
      <c r="C37" s="34">
        <v>102</v>
      </c>
      <c r="D37" s="7" t="s">
        <v>291</v>
      </c>
      <c r="E37" s="59" t="s">
        <v>297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>
      <c r="A38" s="57"/>
      <c r="B38" s="58"/>
      <c r="C38" s="34">
        <v>7104866</v>
      </c>
      <c r="D38" s="37" t="s">
        <v>305</v>
      </c>
      <c r="E38" s="59" t="s">
        <v>316</v>
      </c>
      <c r="F38" s="29"/>
      <c r="G38" s="29"/>
      <c r="H38" s="29"/>
      <c r="I38" s="29">
        <v>1</v>
      </c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>
      <c r="A39" s="57"/>
      <c r="B39" s="58"/>
      <c r="C39" s="34">
        <v>7104568</v>
      </c>
      <c r="D39" s="7" t="s">
        <v>333</v>
      </c>
      <c r="E39" s="94" t="s">
        <v>336</v>
      </c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</row>
    <row r="40" spans="1:46" ht="15" customHeight="1">
      <c r="A40" s="42"/>
      <c r="B40" s="29"/>
      <c r="C40" s="34">
        <v>7403267</v>
      </c>
      <c r="D40" s="34" t="s">
        <v>156</v>
      </c>
      <c r="E40" s="59" t="s">
        <v>157</v>
      </c>
      <c r="F40" s="29"/>
      <c r="G40" s="29"/>
      <c r="H40" s="29"/>
      <c r="I40" s="29"/>
      <c r="J40" s="29">
        <v>1</v>
      </c>
      <c r="K40" s="29"/>
      <c r="L40" s="29"/>
      <c r="M40" s="29">
        <v>1</v>
      </c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>
        <v>1</v>
      </c>
      <c r="AO40" s="29">
        <v>1</v>
      </c>
      <c r="AP40" s="29">
        <v>1</v>
      </c>
      <c r="AQ40" s="29">
        <v>1</v>
      </c>
      <c r="AR40" s="29"/>
      <c r="AS40" s="29"/>
      <c r="AT40" s="29"/>
    </row>
    <row r="41" spans="1:46" ht="15" customHeight="1">
      <c r="A41" s="29"/>
      <c r="B41" s="29"/>
      <c r="C41" s="34">
        <v>7104220</v>
      </c>
      <c r="D41" s="34" t="s">
        <v>202</v>
      </c>
      <c r="E41" s="59" t="s">
        <v>203</v>
      </c>
      <c r="F41" s="29">
        <v>1</v>
      </c>
      <c r="G41" s="29"/>
      <c r="H41" s="29">
        <v>1</v>
      </c>
      <c r="I41" s="29"/>
      <c r="J41" s="29"/>
      <c r="K41" s="29"/>
      <c r="L41" s="29"/>
      <c r="M41" s="29">
        <v>1</v>
      </c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</row>
    <row r="42" spans="1:46" ht="15" customHeight="1">
      <c r="A42" s="29"/>
      <c r="B42" s="29"/>
      <c r="C42" s="34">
        <v>7403368</v>
      </c>
      <c r="D42" s="34" t="s">
        <v>139</v>
      </c>
      <c r="E42" s="59" t="s">
        <v>140</v>
      </c>
      <c r="F42" s="29">
        <v>1</v>
      </c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>
        <v>1</v>
      </c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>
      <c r="A43" s="29"/>
      <c r="B43" s="29"/>
      <c r="C43" s="34">
        <v>7403655</v>
      </c>
      <c r="D43" s="34" t="s">
        <v>170</v>
      </c>
      <c r="E43" s="59" t="s">
        <v>171</v>
      </c>
      <c r="F43" s="44">
        <v>1</v>
      </c>
      <c r="AT43" s="29"/>
    </row>
    <row r="44" spans="1:46" ht="15" customHeight="1">
      <c r="A44" s="29"/>
      <c r="B44" s="29"/>
      <c r="C44" s="34">
        <v>7104226</v>
      </c>
      <c r="D44" s="34" t="s">
        <v>214</v>
      </c>
      <c r="E44" s="59" t="s">
        <v>215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>
      <c r="A45" s="29"/>
      <c r="B45" s="29"/>
      <c r="C45" s="34">
        <v>7104560</v>
      </c>
      <c r="D45" s="34" t="s">
        <v>254</v>
      </c>
      <c r="E45" s="59" t="s">
        <v>255</v>
      </c>
      <c r="H45" s="44">
        <v>1</v>
      </c>
      <c r="AL45" s="44">
        <v>1</v>
      </c>
      <c r="AT45" s="29"/>
    </row>
    <row r="46" spans="1:46" ht="15" customHeight="1">
      <c r="A46" s="38"/>
      <c r="B46" s="39"/>
      <c r="C46" s="56">
        <v>7403138</v>
      </c>
      <c r="D46" s="7" t="s">
        <v>132</v>
      </c>
      <c r="E46" s="33" t="s">
        <v>133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>
      <c r="A47" s="30"/>
      <c r="B47" s="31"/>
      <c r="C47" s="34">
        <v>7104207</v>
      </c>
      <c r="D47" s="34" t="s">
        <v>222</v>
      </c>
      <c r="E47" s="59" t="s">
        <v>223</v>
      </c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>
      <c r="A48" s="57"/>
      <c r="B48" s="58"/>
      <c r="C48" s="34">
        <v>7105363</v>
      </c>
      <c r="D48" s="34" t="s">
        <v>380</v>
      </c>
      <c r="E48" s="59" t="s">
        <v>381</v>
      </c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>
      <c r="A49" s="29"/>
      <c r="B49" s="29"/>
      <c r="C49" s="34">
        <v>7104322</v>
      </c>
      <c r="D49" s="34" t="s">
        <v>225</v>
      </c>
      <c r="E49" s="59" t="s">
        <v>226</v>
      </c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>
        <v>1</v>
      </c>
      <c r="AJ49" s="29">
        <v>1</v>
      </c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>
      <c r="A50" s="57"/>
      <c r="B50" s="58"/>
      <c r="C50" s="55">
        <v>7400376</v>
      </c>
      <c r="D50" s="61" t="s">
        <v>164</v>
      </c>
      <c r="E50" s="61" t="s">
        <v>165</v>
      </c>
      <c r="F50" s="29">
        <v>1</v>
      </c>
      <c r="G50" s="29"/>
      <c r="H50" s="29">
        <v>1</v>
      </c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>
      <c r="A51" s="57"/>
      <c r="B51" s="58"/>
      <c r="C51" s="55">
        <v>7104444</v>
      </c>
      <c r="D51" s="61" t="s">
        <v>200</v>
      </c>
      <c r="E51" s="61" t="s">
        <v>201</v>
      </c>
      <c r="F51" s="29">
        <v>1</v>
      </c>
      <c r="G51" s="29"/>
      <c r="H51" s="29">
        <v>1</v>
      </c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>
      <c r="A52" s="57"/>
      <c r="B52" s="58"/>
      <c r="C52" s="55">
        <v>7104867</v>
      </c>
      <c r="D52" s="91" t="s">
        <v>306</v>
      </c>
      <c r="E52" s="61" t="s">
        <v>317</v>
      </c>
      <c r="F52" s="29"/>
      <c r="G52" s="29"/>
      <c r="H52" s="29"/>
      <c r="I52" s="29">
        <v>1</v>
      </c>
      <c r="J52" s="29"/>
      <c r="K52" s="29"/>
      <c r="L52" s="29"/>
      <c r="M52" s="29">
        <v>1</v>
      </c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>
      <c r="A53" s="57"/>
      <c r="B53" s="58"/>
      <c r="C53" s="34">
        <v>7105341</v>
      </c>
      <c r="D53" s="34" t="s">
        <v>362</v>
      </c>
      <c r="E53" s="59" t="s">
        <v>363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>
      <c r="A54" s="29"/>
      <c r="B54" s="29"/>
      <c r="C54" s="34">
        <v>7403366</v>
      </c>
      <c r="D54" s="34" t="s">
        <v>141</v>
      </c>
      <c r="E54" s="88" t="s">
        <v>142</v>
      </c>
      <c r="F54" s="29">
        <v>1</v>
      </c>
      <c r="G54" s="29"/>
      <c r="H54" s="29">
        <v>1</v>
      </c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>
      <c r="A55" s="57"/>
      <c r="B55" s="58"/>
      <c r="C55" s="34">
        <v>7105369</v>
      </c>
      <c r="D55" s="34" t="s">
        <v>364</v>
      </c>
      <c r="E55" s="88" t="s">
        <v>365</v>
      </c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>
      <c r="A56" s="30"/>
      <c r="B56" s="31"/>
      <c r="C56" s="37">
        <v>7402915</v>
      </c>
      <c r="D56" s="37" t="s">
        <v>102</v>
      </c>
      <c r="E56" s="40" t="s">
        <v>103</v>
      </c>
      <c r="F56" s="29">
        <v>1</v>
      </c>
      <c r="G56" s="29"/>
      <c r="H56" s="29">
        <v>1</v>
      </c>
      <c r="I56" s="29">
        <v>1</v>
      </c>
      <c r="J56" s="29"/>
      <c r="K56" s="29"/>
      <c r="L56" s="29">
        <v>1</v>
      </c>
      <c r="M56" s="29">
        <v>1</v>
      </c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>
        <v>1</v>
      </c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>
      <c r="A57" s="30"/>
      <c r="B57" s="31"/>
      <c r="C57" s="34">
        <v>107</v>
      </c>
      <c r="D57" s="7" t="s">
        <v>307</v>
      </c>
      <c r="E57" s="59" t="s">
        <v>298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>
      <c r="A58" s="29"/>
      <c r="B58" s="29"/>
      <c r="C58" s="37">
        <v>7403370</v>
      </c>
      <c r="D58" s="37" t="s">
        <v>143</v>
      </c>
      <c r="E58" s="97" t="s">
        <v>144</v>
      </c>
      <c r="F58" s="29">
        <v>1</v>
      </c>
      <c r="G58" s="29"/>
      <c r="H58" s="29">
        <v>1</v>
      </c>
      <c r="I58" s="29"/>
      <c r="J58" s="29"/>
      <c r="K58" s="29"/>
      <c r="L58" s="29"/>
      <c r="M58" s="29">
        <v>1</v>
      </c>
      <c r="N58" s="29"/>
      <c r="O58" s="29"/>
      <c r="P58" s="29"/>
      <c r="Q58" s="29"/>
      <c r="R58" s="29"/>
      <c r="S58" s="29">
        <v>1</v>
      </c>
      <c r="T58" s="29">
        <v>1</v>
      </c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>
      <c r="A59" s="57"/>
      <c r="B59" s="58"/>
      <c r="C59" s="34">
        <v>7105315</v>
      </c>
      <c r="D59" s="34" t="s">
        <v>113</v>
      </c>
      <c r="E59" s="59" t="s">
        <v>366</v>
      </c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>
      <c r="A60" s="30"/>
      <c r="B60" s="31"/>
      <c r="C60" s="7">
        <v>7403025</v>
      </c>
      <c r="D60" s="7" t="s">
        <v>113</v>
      </c>
      <c r="E60" s="33" t="s">
        <v>114</v>
      </c>
      <c r="F60" s="29"/>
      <c r="G60" s="29"/>
      <c r="H60" s="29"/>
      <c r="I60" s="29">
        <v>1</v>
      </c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>
        <v>1</v>
      </c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>
      <c r="A61" s="29"/>
      <c r="B61" s="29"/>
      <c r="C61" s="34">
        <v>7105555</v>
      </c>
      <c r="D61" s="34" t="s">
        <v>229</v>
      </c>
      <c r="E61" s="59" t="s">
        <v>230</v>
      </c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>
      <c r="A62" s="57"/>
      <c r="B62" s="58"/>
      <c r="C62" s="34">
        <v>7104732</v>
      </c>
      <c r="D62" s="34" t="s">
        <v>280</v>
      </c>
      <c r="E62" s="59" t="s">
        <v>281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>
      <c r="A63" s="29"/>
      <c r="B63" s="29"/>
      <c r="C63" s="55">
        <v>7403483</v>
      </c>
      <c r="D63" s="61" t="s">
        <v>166</v>
      </c>
      <c r="E63" s="61" t="s">
        <v>77</v>
      </c>
      <c r="F63" s="29">
        <v>1</v>
      </c>
      <c r="G63" s="29"/>
      <c r="H63" s="29">
        <v>1</v>
      </c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>
      <c r="C64" s="34">
        <v>7101072</v>
      </c>
      <c r="D64" s="34" t="s">
        <v>172</v>
      </c>
      <c r="E64" s="59" t="s">
        <v>173</v>
      </c>
      <c r="F64" s="29">
        <v>1</v>
      </c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>
      <c r="A65" s="30"/>
      <c r="B65" s="31"/>
      <c r="C65" s="34">
        <v>103</v>
      </c>
      <c r="D65" s="7" t="s">
        <v>292</v>
      </c>
      <c r="E65" s="59" t="s">
        <v>299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>
      <c r="A66" s="38"/>
      <c r="B66" s="39"/>
      <c r="C66" s="37">
        <v>7402425</v>
      </c>
      <c r="D66" s="37" t="s">
        <v>92</v>
      </c>
      <c r="E66" s="40" t="s">
        <v>93</v>
      </c>
      <c r="F66" s="29">
        <v>1</v>
      </c>
      <c r="G66" s="29"/>
      <c r="H66" s="29"/>
      <c r="I66" s="29">
        <v>1</v>
      </c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>
        <v>1</v>
      </c>
      <c r="AB66" s="29"/>
      <c r="AC66" s="29"/>
      <c r="AD66" s="29"/>
      <c r="AE66" s="29"/>
      <c r="AF66" s="29"/>
      <c r="AG66" s="29"/>
      <c r="AH66" s="29"/>
      <c r="AI66" s="29">
        <v>1</v>
      </c>
      <c r="AJ66" s="29">
        <v>1</v>
      </c>
      <c r="AK66" s="29"/>
      <c r="AL66" s="29"/>
      <c r="AM66" s="29"/>
      <c r="AN66" s="29"/>
      <c r="AO66" s="29"/>
      <c r="AP66" s="29"/>
      <c r="AQ66" s="29"/>
      <c r="AR66" s="29"/>
      <c r="AS66" s="29"/>
      <c r="AT66" s="29"/>
    </row>
    <row r="67" spans="1:46" ht="15" customHeight="1">
      <c r="A67" s="30"/>
      <c r="B67" s="31"/>
      <c r="C67" s="34">
        <v>7105289</v>
      </c>
      <c r="D67" s="34" t="s">
        <v>347</v>
      </c>
      <c r="E67" s="59" t="s">
        <v>351</v>
      </c>
      <c r="F67" s="29"/>
      <c r="G67" s="29"/>
      <c r="H67" s="29"/>
      <c r="I67" s="29"/>
      <c r="J67" s="29"/>
      <c r="K67" s="29"/>
      <c r="L67" s="29"/>
      <c r="M67" s="29">
        <v>1</v>
      </c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>
      <c r="A68" s="57"/>
      <c r="B68" s="58"/>
      <c r="C68" s="37">
        <v>7104190</v>
      </c>
      <c r="D68" s="37" t="s">
        <v>216</v>
      </c>
      <c r="E68" s="97" t="s">
        <v>217</v>
      </c>
      <c r="F68" s="29">
        <v>1</v>
      </c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>
      <c r="A69" s="29"/>
      <c r="B69" s="29"/>
      <c r="C69" s="34">
        <v>7104863</v>
      </c>
      <c r="D69" s="37" t="s">
        <v>308</v>
      </c>
      <c r="E69" s="59" t="s">
        <v>318</v>
      </c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>
      <c r="A70" s="57"/>
      <c r="B70" s="58"/>
      <c r="C70" s="34">
        <v>7403411</v>
      </c>
      <c r="D70" s="34" t="s">
        <v>149</v>
      </c>
      <c r="E70" s="59" t="s">
        <v>150</v>
      </c>
      <c r="F70" s="29">
        <v>1</v>
      </c>
      <c r="G70" s="29"/>
      <c r="H70" s="29">
        <v>1</v>
      </c>
      <c r="I70" s="29"/>
      <c r="J70" s="29">
        <v>1</v>
      </c>
      <c r="K70" s="29"/>
      <c r="L70" s="29"/>
      <c r="M70" s="29">
        <v>1</v>
      </c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</row>
    <row r="71" spans="1:46" ht="15" customHeight="1">
      <c r="A71" s="57"/>
      <c r="B71" s="58"/>
      <c r="C71" s="34">
        <v>7104924</v>
      </c>
      <c r="D71" s="7" t="s">
        <v>326</v>
      </c>
      <c r="E71" s="59" t="s">
        <v>330</v>
      </c>
      <c r="F71" s="29"/>
      <c r="G71" s="29"/>
      <c r="H71" s="29">
        <v>1</v>
      </c>
      <c r="I71" s="29"/>
      <c r="J71" s="29"/>
      <c r="K71" s="29"/>
      <c r="L71" s="29"/>
      <c r="M71" s="29">
        <v>1</v>
      </c>
      <c r="N71" s="29"/>
      <c r="O71" s="29"/>
      <c r="P71" s="29"/>
      <c r="Q71" s="29"/>
      <c r="R71" s="29"/>
      <c r="S71" s="29"/>
      <c r="T71" s="29">
        <v>1</v>
      </c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>
      <c r="A72" s="57"/>
      <c r="B72" s="58"/>
      <c r="C72" s="34">
        <v>7105291</v>
      </c>
      <c r="D72" s="34" t="s">
        <v>348</v>
      </c>
      <c r="E72" s="59" t="s">
        <v>74</v>
      </c>
      <c r="F72" s="29"/>
      <c r="G72" s="29"/>
      <c r="H72" s="29">
        <v>1</v>
      </c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</row>
    <row r="73" spans="1:46" ht="15" customHeight="1">
      <c r="A73" s="29"/>
      <c r="B73" s="29"/>
      <c r="C73" s="60">
        <v>7402632</v>
      </c>
      <c r="D73" s="34" t="s">
        <v>158</v>
      </c>
      <c r="E73" s="59" t="s">
        <v>78</v>
      </c>
      <c r="F73" s="29">
        <v>1</v>
      </c>
      <c r="G73" s="29"/>
      <c r="H73" s="29"/>
      <c r="I73" s="29"/>
      <c r="J73" s="29"/>
      <c r="K73" s="29"/>
      <c r="L73" s="29"/>
      <c r="M73" s="29">
        <v>1</v>
      </c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>
      <c r="A74" s="57"/>
      <c r="B74" s="58"/>
      <c r="C74" s="37">
        <v>7104396</v>
      </c>
      <c r="D74" s="37" t="s">
        <v>231</v>
      </c>
      <c r="E74" s="97" t="s">
        <v>232</v>
      </c>
      <c r="F74" s="29">
        <v>1</v>
      </c>
      <c r="G74" s="29"/>
      <c r="H74" s="29">
        <v>1</v>
      </c>
      <c r="I74" s="29"/>
      <c r="J74" s="29"/>
      <c r="K74" s="29"/>
      <c r="L74" s="29"/>
      <c r="M74" s="29">
        <v>1</v>
      </c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</row>
    <row r="75" spans="1:46" ht="15" customHeight="1">
      <c r="A75" s="53"/>
      <c r="B75" s="31"/>
      <c r="C75" s="34">
        <v>7403380</v>
      </c>
      <c r="D75" s="34" t="s">
        <v>151</v>
      </c>
      <c r="E75" s="59" t="s">
        <v>152</v>
      </c>
      <c r="F75" s="29">
        <v>1</v>
      </c>
      <c r="G75" s="29"/>
      <c r="H75" s="29"/>
      <c r="I75" s="29"/>
      <c r="J75" s="29"/>
      <c r="K75" s="29"/>
      <c r="L75" s="29"/>
      <c r="M75" s="29"/>
      <c r="N75" s="29"/>
      <c r="O75" s="29"/>
      <c r="P75" s="29">
        <v>1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>
      <c r="A76" s="29"/>
      <c r="B76" s="29"/>
      <c r="C76" s="37">
        <v>7104407</v>
      </c>
      <c r="D76" s="37" t="s">
        <v>238</v>
      </c>
      <c r="E76" s="97" t="s">
        <v>239</v>
      </c>
      <c r="F76" s="29">
        <v>1</v>
      </c>
      <c r="G76" s="29"/>
      <c r="H76" s="29">
        <v>1</v>
      </c>
      <c r="I76" s="29"/>
      <c r="J76" s="29"/>
      <c r="K76" s="29"/>
      <c r="L76" s="29">
        <v>1</v>
      </c>
      <c r="M76" s="29">
        <v>1</v>
      </c>
      <c r="N76" s="29"/>
      <c r="O76" s="29"/>
      <c r="P76" s="29"/>
      <c r="Q76" s="29"/>
      <c r="R76" s="29"/>
      <c r="S76" s="29"/>
      <c r="T76" s="29">
        <v>1</v>
      </c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>
      <c r="A77" s="30"/>
      <c r="B77" s="31"/>
      <c r="C77" s="37">
        <v>7403058</v>
      </c>
      <c r="D77" s="37" t="s">
        <v>119</v>
      </c>
      <c r="E77" s="40" t="s">
        <v>120</v>
      </c>
      <c r="F77" s="29">
        <v>1</v>
      </c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>
        <v>1</v>
      </c>
      <c r="T77" s="29">
        <v>1</v>
      </c>
      <c r="U77" s="29"/>
      <c r="V77" s="29"/>
      <c r="W77" s="29"/>
      <c r="X77" s="29"/>
      <c r="Y77" s="29"/>
      <c r="Z77" s="29"/>
      <c r="AA77" s="29">
        <v>1</v>
      </c>
      <c r="AB77" s="29"/>
      <c r="AC77" s="29"/>
      <c r="AD77" s="29"/>
      <c r="AE77" s="29"/>
      <c r="AF77" s="29"/>
      <c r="AG77" s="29"/>
      <c r="AH77" s="29"/>
      <c r="AI77" s="29">
        <v>1</v>
      </c>
      <c r="AJ77" s="29">
        <v>1</v>
      </c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>
      <c r="A78" s="30"/>
      <c r="B78" s="31"/>
      <c r="C78" s="34">
        <v>7104849</v>
      </c>
      <c r="D78" s="37" t="s">
        <v>309</v>
      </c>
      <c r="E78" s="59" t="s">
        <v>319</v>
      </c>
      <c r="F78" s="29">
        <v>1</v>
      </c>
      <c r="G78" s="29"/>
      <c r="H78" s="29">
        <v>1</v>
      </c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ht="15" customHeight="1">
      <c r="A79" s="30"/>
      <c r="B79" s="31"/>
      <c r="C79" s="34">
        <v>7403656</v>
      </c>
      <c r="D79" s="34" t="s">
        <v>174</v>
      </c>
      <c r="E79" s="59" t="s">
        <v>127</v>
      </c>
      <c r="F79" s="29">
        <v>1</v>
      </c>
      <c r="G79" s="29"/>
      <c r="H79" s="29">
        <v>1</v>
      </c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>
        <v>1</v>
      </c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>
        <v>1</v>
      </c>
      <c r="AO79" s="29">
        <v>1</v>
      </c>
      <c r="AP79" s="29">
        <v>1</v>
      </c>
      <c r="AQ79" s="29">
        <v>1</v>
      </c>
      <c r="AR79" s="29"/>
      <c r="AS79" s="29"/>
      <c r="AT79" s="29"/>
    </row>
    <row r="80" spans="1:46" ht="15" customHeight="1">
      <c r="A80" s="57"/>
      <c r="B80" s="58"/>
      <c r="C80" s="34">
        <v>7105290</v>
      </c>
      <c r="D80" s="34" t="s">
        <v>349</v>
      </c>
      <c r="E80" s="59" t="s">
        <v>355</v>
      </c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>
      <c r="A81" s="38"/>
      <c r="B81" s="39"/>
      <c r="C81" s="34">
        <v>7104692</v>
      </c>
      <c r="D81" s="34" t="s">
        <v>256</v>
      </c>
      <c r="E81" s="59" t="s">
        <v>257</v>
      </c>
      <c r="F81" s="44">
        <v>1</v>
      </c>
      <c r="H81" s="44">
        <v>1</v>
      </c>
      <c r="M81" s="44">
        <v>1</v>
      </c>
      <c r="AT81" s="29"/>
    </row>
    <row r="82" spans="1:46">
      <c r="A82" s="38"/>
      <c r="B82" s="39"/>
      <c r="C82" s="98">
        <v>7403432</v>
      </c>
      <c r="D82" s="37" t="s">
        <v>159</v>
      </c>
      <c r="E82" s="97" t="s">
        <v>160</v>
      </c>
      <c r="F82" s="29">
        <v>1</v>
      </c>
      <c r="G82" s="29"/>
      <c r="H82" s="29">
        <v>1</v>
      </c>
      <c r="I82" s="29"/>
      <c r="J82" s="29">
        <v>1</v>
      </c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>
        <v>1</v>
      </c>
      <c r="AM82" s="29"/>
      <c r="AN82" s="29"/>
      <c r="AO82" s="29"/>
      <c r="AP82" s="29"/>
      <c r="AQ82" s="29"/>
      <c r="AR82" s="29"/>
      <c r="AS82" s="29"/>
      <c r="AT82" s="29"/>
    </row>
    <row r="83" spans="1:46">
      <c r="A83" s="57"/>
      <c r="B83" s="58"/>
      <c r="C83" s="34">
        <v>7104491</v>
      </c>
      <c r="D83" s="34" t="s">
        <v>258</v>
      </c>
      <c r="E83" s="59" t="s">
        <v>259</v>
      </c>
      <c r="F83" s="44">
        <v>1</v>
      </c>
      <c r="I83" s="44">
        <v>1</v>
      </c>
      <c r="M83" s="44">
        <v>1</v>
      </c>
      <c r="AT83" s="29"/>
    </row>
    <row r="84" spans="1:46">
      <c r="A84" s="57"/>
      <c r="B84" s="58"/>
      <c r="C84" s="29">
        <v>7400976</v>
      </c>
      <c r="D84" s="29" t="s">
        <v>68</v>
      </c>
      <c r="E84" s="29" t="s">
        <v>69</v>
      </c>
      <c r="F84" s="29">
        <v>1</v>
      </c>
      <c r="G84" s="29"/>
      <c r="H84" s="29"/>
      <c r="I84" s="29">
        <v>1</v>
      </c>
      <c r="J84" s="29"/>
      <c r="K84" s="29"/>
      <c r="L84" s="29"/>
      <c r="M84" s="29">
        <v>1</v>
      </c>
      <c r="N84" s="29">
        <v>1</v>
      </c>
      <c r="O84" s="29"/>
      <c r="P84" s="29"/>
      <c r="Q84" s="29"/>
      <c r="R84" s="29"/>
      <c r="S84" s="29">
        <v>1</v>
      </c>
      <c r="T84" s="29"/>
      <c r="U84" s="29"/>
      <c r="V84" s="29"/>
      <c r="W84" s="29"/>
      <c r="X84" s="29"/>
      <c r="Y84" s="29"/>
      <c r="Z84" s="29">
        <v>1</v>
      </c>
      <c r="AA84" s="29">
        <v>1</v>
      </c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>
      <c r="A85" s="38"/>
      <c r="B85" s="39"/>
      <c r="C85" s="34">
        <v>7104557</v>
      </c>
      <c r="D85" s="34" t="s">
        <v>260</v>
      </c>
      <c r="E85" s="59" t="s">
        <v>287</v>
      </c>
      <c r="I85" s="44">
        <v>1</v>
      </c>
      <c r="M85" s="44">
        <v>1</v>
      </c>
      <c r="AT85" s="29"/>
    </row>
    <row r="86" spans="1:46">
      <c r="A86" s="29"/>
      <c r="B86" s="29"/>
      <c r="C86" s="34">
        <v>7403391</v>
      </c>
      <c r="D86" s="34" t="s">
        <v>153</v>
      </c>
      <c r="E86" s="59" t="s">
        <v>101</v>
      </c>
      <c r="F86" s="29">
        <v>1</v>
      </c>
      <c r="G86" s="29"/>
      <c r="H86" s="29">
        <v>1</v>
      </c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>
      <c r="A87" s="29"/>
      <c r="B87" s="29"/>
      <c r="C87" s="7">
        <v>7403096</v>
      </c>
      <c r="D87" s="7" t="s">
        <v>134</v>
      </c>
      <c r="E87" s="89" t="s">
        <v>131</v>
      </c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</row>
    <row r="88" spans="1:46">
      <c r="A88" s="29"/>
      <c r="B88" s="29"/>
      <c r="C88" s="34">
        <v>7409999</v>
      </c>
      <c r="D88" s="34" t="s">
        <v>175</v>
      </c>
      <c r="E88" s="59" t="s">
        <v>176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>
      <c r="A89" s="57"/>
      <c r="B89" s="58"/>
      <c r="C89" s="34">
        <v>7104887</v>
      </c>
      <c r="D89" s="37" t="s">
        <v>310</v>
      </c>
      <c r="E89" s="59" t="s">
        <v>320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>
      <c r="A90" s="57"/>
      <c r="B90" s="58"/>
      <c r="C90" s="34">
        <v>7403371</v>
      </c>
      <c r="D90" s="34" t="s">
        <v>154</v>
      </c>
      <c r="E90" s="59" t="s">
        <v>155</v>
      </c>
      <c r="F90" s="29">
        <v>1</v>
      </c>
      <c r="G90" s="29"/>
      <c r="H90" s="29"/>
      <c r="I90" s="29"/>
      <c r="J90" s="29"/>
      <c r="K90" s="29"/>
      <c r="L90" s="29"/>
      <c r="M90" s="29">
        <v>1</v>
      </c>
      <c r="N90" s="29">
        <v>1</v>
      </c>
      <c r="O90" s="29"/>
      <c r="P90" s="29"/>
      <c r="Q90" s="29"/>
      <c r="R90" s="29">
        <v>1</v>
      </c>
      <c r="S90" s="29">
        <v>1</v>
      </c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>
      <c r="A91" s="29"/>
      <c r="B91" s="29"/>
      <c r="C91" s="34">
        <v>7403471</v>
      </c>
      <c r="D91" s="34" t="s">
        <v>161</v>
      </c>
      <c r="E91" s="59" t="s">
        <v>162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>
      <c r="A92" s="29"/>
      <c r="B92" s="29"/>
      <c r="C92" s="7">
        <v>7403030</v>
      </c>
      <c r="D92" s="7" t="s">
        <v>115</v>
      </c>
      <c r="E92" s="33" t="s">
        <v>116</v>
      </c>
      <c r="F92" s="29">
        <v>1</v>
      </c>
      <c r="G92" s="29"/>
      <c r="H92" s="29"/>
      <c r="I92" s="29">
        <v>1</v>
      </c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>
        <v>1</v>
      </c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</row>
    <row r="93" spans="1:46">
      <c r="A93" s="57"/>
      <c r="B93" s="58"/>
      <c r="C93" s="7">
        <v>7403026</v>
      </c>
      <c r="D93" s="7" t="s">
        <v>117</v>
      </c>
      <c r="E93" s="33" t="s">
        <v>118</v>
      </c>
      <c r="F93" s="29">
        <v>1</v>
      </c>
      <c r="G93" s="29"/>
      <c r="H93" s="29"/>
      <c r="I93" s="29">
        <v>1</v>
      </c>
      <c r="J93" s="29"/>
      <c r="K93" s="29"/>
      <c r="L93" s="29"/>
      <c r="M93" s="29">
        <v>1</v>
      </c>
      <c r="N93" s="29"/>
      <c r="O93" s="29"/>
      <c r="P93" s="29"/>
      <c r="Q93" s="29"/>
      <c r="R93" s="29"/>
      <c r="S93" s="29"/>
      <c r="T93" s="29"/>
      <c r="U93" s="29"/>
      <c r="V93" s="29"/>
      <c r="W93" s="29">
        <v>1</v>
      </c>
      <c r="X93" s="29"/>
      <c r="Y93" s="29"/>
      <c r="Z93" s="29"/>
      <c r="AA93" s="29">
        <v>1</v>
      </c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</row>
    <row r="94" spans="1:46">
      <c r="A94" s="57"/>
      <c r="B94" s="58"/>
      <c r="C94" s="34">
        <v>7104733</v>
      </c>
      <c r="D94" s="34" t="s">
        <v>282</v>
      </c>
      <c r="E94" s="59" t="s">
        <v>283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</row>
    <row r="95" spans="1:46">
      <c r="A95" s="57"/>
      <c r="B95" s="58"/>
      <c r="C95" s="34">
        <v>7104853</v>
      </c>
      <c r="D95" s="37" t="s">
        <v>311</v>
      </c>
      <c r="E95" s="59" t="s">
        <v>321</v>
      </c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</row>
    <row r="96" spans="1:46">
      <c r="A96" s="57"/>
      <c r="B96" s="58"/>
      <c r="C96" s="34">
        <v>7104243</v>
      </c>
      <c r="D96" s="34" t="s">
        <v>262</v>
      </c>
      <c r="E96" s="59" t="s">
        <v>263</v>
      </c>
      <c r="F96" s="44">
        <v>1</v>
      </c>
      <c r="M96" s="44">
        <v>1</v>
      </c>
      <c r="AT96" s="29"/>
    </row>
    <row r="97" spans="1:46">
      <c r="A97" s="57"/>
      <c r="B97" s="58"/>
      <c r="C97" s="34">
        <v>7105184</v>
      </c>
      <c r="D97" s="34" t="s">
        <v>340</v>
      </c>
      <c r="E97" s="59" t="s">
        <v>343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</row>
    <row r="98" spans="1:46">
      <c r="A98" s="57"/>
      <c r="B98" s="58"/>
      <c r="C98" s="34">
        <v>7105345</v>
      </c>
      <c r="D98" s="34" t="s">
        <v>368</v>
      </c>
      <c r="E98" s="59" t="s">
        <v>369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>
      <c r="A99" s="29"/>
      <c r="B99" s="29"/>
      <c r="C99" s="56">
        <v>7403136</v>
      </c>
      <c r="D99" s="7" t="s">
        <v>135</v>
      </c>
      <c r="E99" s="33" t="s">
        <v>78</v>
      </c>
      <c r="F99" s="29">
        <v>1</v>
      </c>
      <c r="G99" s="29"/>
      <c r="H99" s="29"/>
      <c r="I99" s="29"/>
      <c r="J99" s="29"/>
      <c r="K99" s="29"/>
      <c r="L99" s="29"/>
      <c r="M99" s="29">
        <v>1</v>
      </c>
      <c r="N99" s="29">
        <v>1</v>
      </c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</row>
    <row r="100" spans="1:46">
      <c r="A100" s="57"/>
      <c r="B100" s="58"/>
      <c r="C100" s="7">
        <v>7403099</v>
      </c>
      <c r="D100" s="7" t="s">
        <v>128</v>
      </c>
      <c r="E100" s="33" t="s">
        <v>74</v>
      </c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</row>
    <row r="101" spans="1:46">
      <c r="A101" s="29"/>
      <c r="B101" s="29"/>
      <c r="C101" s="34">
        <v>7104846</v>
      </c>
      <c r="D101" s="7" t="s">
        <v>293</v>
      </c>
      <c r="E101" s="59" t="s">
        <v>300</v>
      </c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>
      <c r="A102" s="53"/>
      <c r="B102" s="31"/>
      <c r="C102" s="37">
        <v>7401166</v>
      </c>
      <c r="D102" s="37" t="s">
        <v>73</v>
      </c>
      <c r="E102" s="40" t="s">
        <v>74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>
        <v>1</v>
      </c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>
      <c r="A103" s="57"/>
      <c r="B103" s="58"/>
      <c r="C103" s="55">
        <v>7104858</v>
      </c>
      <c r="D103" s="37" t="s">
        <v>312</v>
      </c>
      <c r="E103" s="34" t="s">
        <v>322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>
      <c r="A104" s="29"/>
      <c r="B104" s="29"/>
      <c r="C104" s="34">
        <v>7104569</v>
      </c>
      <c r="D104" s="34" t="s">
        <v>264</v>
      </c>
      <c r="E104" s="59" t="s">
        <v>97</v>
      </c>
      <c r="M104" s="44">
        <v>1</v>
      </c>
      <c r="AT104" s="29"/>
    </row>
    <row r="105" spans="1:46">
      <c r="A105" s="29"/>
      <c r="B105" s="29"/>
      <c r="C105" s="34">
        <v>7104331</v>
      </c>
      <c r="D105" s="34" t="s">
        <v>265</v>
      </c>
      <c r="E105" s="59" t="s">
        <v>78</v>
      </c>
      <c r="H105" s="44">
        <v>1</v>
      </c>
      <c r="M105" s="44">
        <v>1</v>
      </c>
    </row>
    <row r="106" spans="1:46">
      <c r="A106" s="29"/>
      <c r="B106" s="29"/>
      <c r="C106" s="7">
        <v>7403067</v>
      </c>
      <c r="D106" s="7" t="s">
        <v>129</v>
      </c>
      <c r="E106" s="33" t="s">
        <v>130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>
        <v>1</v>
      </c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>
      <c r="A107" s="29"/>
      <c r="B107" s="29"/>
      <c r="C107" s="55">
        <v>7401377</v>
      </c>
      <c r="D107" s="32" t="s">
        <v>110</v>
      </c>
      <c r="E107" s="32" t="s">
        <v>105</v>
      </c>
      <c r="F107" s="29">
        <v>1</v>
      </c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>
      <c r="A108" s="29"/>
      <c r="B108" s="29"/>
      <c r="C108" s="34">
        <v>7104693</v>
      </c>
      <c r="D108" s="34" t="s">
        <v>110</v>
      </c>
      <c r="E108" s="59" t="s">
        <v>241</v>
      </c>
      <c r="M108" s="44">
        <v>1</v>
      </c>
      <c r="AT108" s="29"/>
    </row>
    <row r="109" spans="1:46">
      <c r="A109" s="57"/>
      <c r="B109" s="58"/>
      <c r="C109" s="34">
        <v>7105427</v>
      </c>
      <c r="D109" s="34" t="s">
        <v>382</v>
      </c>
      <c r="E109" s="59" t="s">
        <v>383</v>
      </c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>
      <c r="A110" s="57"/>
      <c r="B110" s="58"/>
      <c r="C110" s="37">
        <v>7104141</v>
      </c>
      <c r="D110" s="37" t="s">
        <v>197</v>
      </c>
      <c r="E110" s="97" t="s">
        <v>198</v>
      </c>
      <c r="F110" s="29">
        <v>1</v>
      </c>
      <c r="G110" s="29"/>
      <c r="H110" s="29">
        <v>1</v>
      </c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>
        <v>1</v>
      </c>
      <c r="AM110" s="29"/>
      <c r="AN110" s="29"/>
      <c r="AO110" s="29"/>
      <c r="AP110" s="29"/>
      <c r="AQ110" s="29"/>
      <c r="AR110" s="29"/>
      <c r="AS110" s="29"/>
      <c r="AT110" s="29"/>
    </row>
    <row r="111" spans="1:46">
      <c r="A111" s="29"/>
      <c r="B111" s="29"/>
      <c r="C111" s="34">
        <v>53</v>
      </c>
      <c r="D111" s="34" t="s">
        <v>284</v>
      </c>
      <c r="E111" s="59" t="s">
        <v>285</v>
      </c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>
      <c r="A112" s="29"/>
      <c r="B112" s="29"/>
      <c r="C112" s="37">
        <v>7104398</v>
      </c>
      <c r="D112" s="37" t="s">
        <v>240</v>
      </c>
      <c r="E112" s="97" t="s">
        <v>241</v>
      </c>
      <c r="F112" s="29">
        <v>1</v>
      </c>
      <c r="G112" s="29"/>
      <c r="H112" s="29">
        <v>1</v>
      </c>
      <c r="I112" s="29"/>
      <c r="J112" s="29"/>
      <c r="K112" s="29"/>
      <c r="L112" s="29"/>
      <c r="M112" s="29">
        <v>1</v>
      </c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>
        <v>1</v>
      </c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>
      <c r="A113" s="29"/>
      <c r="B113" s="29"/>
      <c r="C113" s="29">
        <v>7093553</v>
      </c>
      <c r="D113" s="29" t="s">
        <v>37</v>
      </c>
      <c r="E113" s="29" t="s">
        <v>38</v>
      </c>
      <c r="F113" s="29"/>
      <c r="G113" s="29"/>
      <c r="H113" s="29"/>
      <c r="I113" s="29"/>
      <c r="J113" s="29"/>
      <c r="K113" s="29"/>
      <c r="L113" s="29"/>
      <c r="M113" s="29">
        <v>1</v>
      </c>
      <c r="N113" s="29">
        <v>1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>
        <v>1</v>
      </c>
      <c r="AA113" s="29">
        <v>1</v>
      </c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</row>
    <row r="114" spans="1:46">
      <c r="A114" s="57"/>
      <c r="B114" s="58"/>
      <c r="C114" s="34">
        <v>7105367</v>
      </c>
      <c r="D114" s="34" t="s">
        <v>370</v>
      </c>
      <c r="E114" s="59" t="s">
        <v>371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>
      <c r="A115" s="29"/>
      <c r="B115" s="29"/>
      <c r="C115" s="37">
        <v>7104427</v>
      </c>
      <c r="D115" s="37" t="s">
        <v>233</v>
      </c>
      <c r="E115" s="97" t="s">
        <v>217</v>
      </c>
      <c r="F115" s="29">
        <v>1</v>
      </c>
      <c r="G115" s="29"/>
      <c r="H115" s="29">
        <v>1</v>
      </c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>
        <v>1</v>
      </c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>
      <c r="A116" s="29"/>
      <c r="B116" s="29"/>
      <c r="C116" s="29">
        <v>7402338</v>
      </c>
      <c r="D116" s="29" t="s">
        <v>84</v>
      </c>
      <c r="E116" s="29" t="s">
        <v>85</v>
      </c>
      <c r="F116" s="29">
        <v>1</v>
      </c>
      <c r="G116" s="29"/>
      <c r="H116" s="29"/>
      <c r="I116" s="29">
        <v>1</v>
      </c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>
        <v>1</v>
      </c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>
      <c r="A117" s="29"/>
      <c r="B117" s="29"/>
      <c r="C117" s="34">
        <v>7104205</v>
      </c>
      <c r="D117" s="34" t="s">
        <v>204</v>
      </c>
      <c r="E117" s="59" t="s">
        <v>205</v>
      </c>
      <c r="F117" s="29">
        <v>1</v>
      </c>
      <c r="G117" s="29"/>
      <c r="H117" s="29">
        <v>1</v>
      </c>
      <c r="I117" s="29"/>
      <c r="J117" s="29"/>
      <c r="K117" s="29"/>
      <c r="L117" s="29"/>
      <c r="M117" s="29">
        <v>1</v>
      </c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>
        <v>1</v>
      </c>
      <c r="AJ117" s="29">
        <v>1</v>
      </c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>
      <c r="A118" s="29"/>
      <c r="B118" s="29"/>
      <c r="C118" s="7">
        <v>7403048</v>
      </c>
      <c r="D118" s="7" t="s">
        <v>121</v>
      </c>
      <c r="E118" s="33" t="s">
        <v>122</v>
      </c>
      <c r="F118" s="29"/>
      <c r="G118" s="29"/>
      <c r="H118" s="29"/>
      <c r="I118" s="29">
        <v>1</v>
      </c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>
        <v>1</v>
      </c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>
      <c r="A119" s="57"/>
      <c r="B119" s="58"/>
      <c r="C119" s="34">
        <v>7104550</v>
      </c>
      <c r="D119" s="92" t="s">
        <v>266</v>
      </c>
      <c r="E119" s="90" t="s">
        <v>267</v>
      </c>
      <c r="F119" s="44">
        <v>1</v>
      </c>
      <c r="H119" s="44">
        <v>1</v>
      </c>
      <c r="S119" s="44">
        <v>1</v>
      </c>
      <c r="T119" s="44">
        <v>1</v>
      </c>
      <c r="AT119" s="29"/>
    </row>
    <row r="120" spans="1:46">
      <c r="A120" s="57"/>
      <c r="B120" s="58"/>
      <c r="C120" s="34">
        <v>7403384</v>
      </c>
      <c r="D120" s="34" t="s">
        <v>145</v>
      </c>
      <c r="E120" s="59" t="s">
        <v>146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>
      <c r="A121" s="57"/>
      <c r="B121" s="58"/>
      <c r="C121" s="55">
        <v>7403007</v>
      </c>
      <c r="D121" s="32" t="s">
        <v>111</v>
      </c>
      <c r="E121" s="32" t="s">
        <v>112</v>
      </c>
      <c r="F121" s="29"/>
      <c r="G121" s="29"/>
      <c r="H121" s="29"/>
      <c r="I121" s="29">
        <v>1</v>
      </c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>
        <v>1</v>
      </c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>
      <c r="A122" s="57"/>
      <c r="B122" s="58"/>
      <c r="C122" s="37">
        <v>7402698</v>
      </c>
      <c r="D122" s="37" t="s">
        <v>98</v>
      </c>
      <c r="E122" s="40" t="s">
        <v>99</v>
      </c>
      <c r="F122" s="29">
        <v>1</v>
      </c>
      <c r="G122" s="29"/>
      <c r="H122" s="29"/>
      <c r="I122" s="29">
        <v>1</v>
      </c>
      <c r="J122" s="29"/>
      <c r="K122" s="29"/>
      <c r="L122" s="29"/>
      <c r="M122" s="29">
        <v>1</v>
      </c>
      <c r="N122" s="29">
        <v>1</v>
      </c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>
        <v>1</v>
      </c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>
      <c r="A123" s="29"/>
      <c r="B123" s="29"/>
      <c r="C123" s="34">
        <v>7403455</v>
      </c>
      <c r="D123" s="34" t="s">
        <v>163</v>
      </c>
      <c r="E123" s="59" t="s">
        <v>199</v>
      </c>
      <c r="F123" s="29">
        <v>1</v>
      </c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>
      <c r="A124" s="57"/>
      <c r="B124" s="58"/>
      <c r="C124" s="34">
        <v>7104950</v>
      </c>
      <c r="D124" s="7" t="s">
        <v>327</v>
      </c>
      <c r="E124" s="59" t="s">
        <v>331</v>
      </c>
      <c r="F124" s="29"/>
      <c r="G124" s="29"/>
      <c r="H124" s="29"/>
      <c r="I124" s="29">
        <v>1</v>
      </c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>
      <c r="A125" s="57"/>
      <c r="B125" s="58"/>
      <c r="C125" s="34">
        <v>7105318</v>
      </c>
      <c r="D125" s="34" t="s">
        <v>352</v>
      </c>
      <c r="E125" s="59" t="s">
        <v>358</v>
      </c>
      <c r="F125" s="29"/>
      <c r="G125" s="29"/>
      <c r="H125" s="29">
        <v>1</v>
      </c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</row>
    <row r="126" spans="1:46">
      <c r="A126" s="57"/>
      <c r="B126" s="58"/>
      <c r="C126" s="34">
        <v>7105185</v>
      </c>
      <c r="D126" s="34" t="s">
        <v>345</v>
      </c>
      <c r="E126" s="59" t="s">
        <v>243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>
      <c r="A127" s="57"/>
      <c r="B127" s="58"/>
      <c r="C127" s="34">
        <v>7104403</v>
      </c>
      <c r="D127" s="34" t="s">
        <v>273</v>
      </c>
      <c r="E127" s="59" t="s">
        <v>268</v>
      </c>
      <c r="F127" s="44">
        <v>1</v>
      </c>
      <c r="S127" s="44">
        <v>1</v>
      </c>
      <c r="AT127" s="29"/>
    </row>
    <row r="128" spans="1:46">
      <c r="A128" s="29"/>
      <c r="B128" s="29"/>
      <c r="C128" s="34">
        <v>7104871</v>
      </c>
      <c r="D128" s="7" t="s">
        <v>294</v>
      </c>
      <c r="E128" s="59" t="s">
        <v>301</v>
      </c>
      <c r="F128" s="29"/>
      <c r="G128" s="29"/>
      <c r="H128" s="29">
        <v>1</v>
      </c>
      <c r="I128" s="29">
        <v>1</v>
      </c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>
      <c r="A129" s="29"/>
      <c r="B129" s="29"/>
      <c r="C129" s="37">
        <v>7402369</v>
      </c>
      <c r="D129" s="37" t="s">
        <v>90</v>
      </c>
      <c r="E129" s="40" t="s">
        <v>91</v>
      </c>
      <c r="F129" s="29">
        <v>1</v>
      </c>
      <c r="G129" s="29"/>
      <c r="H129" s="29"/>
      <c r="I129" s="29">
        <v>1</v>
      </c>
      <c r="J129" s="29"/>
      <c r="K129" s="29"/>
      <c r="L129" s="29"/>
      <c r="M129" s="29">
        <v>1</v>
      </c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>
      <c r="A130" s="29"/>
      <c r="B130" s="29"/>
      <c r="C130" s="55">
        <v>7403151</v>
      </c>
      <c r="D130" s="32" t="s">
        <v>137</v>
      </c>
      <c r="E130" s="32" t="s">
        <v>138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>
      <c r="A131" s="57"/>
      <c r="B131" s="58"/>
      <c r="C131" s="34">
        <v>7100197</v>
      </c>
      <c r="D131" s="37" t="s">
        <v>104</v>
      </c>
      <c r="E131" s="40" t="s">
        <v>105</v>
      </c>
      <c r="F131" s="29">
        <v>1</v>
      </c>
      <c r="G131" s="29"/>
      <c r="H131" s="29"/>
      <c r="I131" s="29">
        <v>1</v>
      </c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>
        <v>1</v>
      </c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>
      <c r="C132" s="56">
        <v>7403105</v>
      </c>
      <c r="D132" s="7" t="s">
        <v>104</v>
      </c>
      <c r="E132" s="33" t="s">
        <v>136</v>
      </c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>
      <c r="A133" s="29"/>
      <c r="B133" s="29"/>
      <c r="C133" s="34">
        <v>7403374</v>
      </c>
      <c r="D133" s="34" t="s">
        <v>75</v>
      </c>
      <c r="E133" s="59" t="s">
        <v>109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>
        <v>1</v>
      </c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>
      <c r="A134" s="29"/>
      <c r="B134" s="29"/>
      <c r="C134" s="34">
        <v>7104224</v>
      </c>
      <c r="D134" s="34" t="s">
        <v>75</v>
      </c>
      <c r="E134" s="59" t="s">
        <v>99</v>
      </c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</row>
    <row r="135" spans="1:46">
      <c r="A135" s="57"/>
      <c r="B135" s="58"/>
      <c r="C135" s="34">
        <v>7403653</v>
      </c>
      <c r="D135" s="34" t="s">
        <v>177</v>
      </c>
      <c r="E135" s="59" t="s">
        <v>178</v>
      </c>
      <c r="F135" s="29">
        <v>1</v>
      </c>
      <c r="G135" s="29"/>
      <c r="H135" s="29">
        <v>1</v>
      </c>
      <c r="I135" s="29"/>
      <c r="J135" s="29"/>
      <c r="K135" s="29"/>
      <c r="L135" s="29">
        <v>1</v>
      </c>
      <c r="M135" s="29"/>
      <c r="N135" s="29"/>
      <c r="O135" s="29"/>
      <c r="P135" s="29"/>
      <c r="Q135" s="29"/>
      <c r="R135" s="29"/>
      <c r="S135" s="29"/>
      <c r="T135" s="29">
        <v>1</v>
      </c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</row>
    <row r="136" spans="1:46">
      <c r="A136" s="57"/>
      <c r="B136" s="58"/>
      <c r="C136" s="34">
        <v>7104414</v>
      </c>
      <c r="D136" s="34" t="s">
        <v>234</v>
      </c>
      <c r="E136" s="59" t="s">
        <v>235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</row>
    <row r="137" spans="1:46">
      <c r="A137" s="57"/>
      <c r="B137" s="58"/>
      <c r="C137" s="37">
        <v>7096686</v>
      </c>
      <c r="D137" s="37" t="s">
        <v>288</v>
      </c>
      <c r="E137" s="97" t="s">
        <v>58</v>
      </c>
      <c r="F137" s="29">
        <v>1</v>
      </c>
      <c r="G137" s="29"/>
      <c r="H137" s="29"/>
      <c r="I137" s="29"/>
      <c r="J137" s="29"/>
      <c r="K137" s="29"/>
      <c r="L137" s="29"/>
      <c r="M137" s="29">
        <v>1</v>
      </c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>
        <v>1</v>
      </c>
      <c r="AO137" s="29">
        <v>1</v>
      </c>
      <c r="AP137" s="29">
        <v>1</v>
      </c>
      <c r="AQ137" s="29">
        <v>1</v>
      </c>
      <c r="AR137" s="29"/>
      <c r="AS137" s="29"/>
      <c r="AT137" s="29"/>
    </row>
    <row r="138" spans="1:46">
      <c r="A138" s="57"/>
      <c r="B138" s="58"/>
      <c r="C138" s="34">
        <v>7104623</v>
      </c>
      <c r="D138" s="34" t="s">
        <v>269</v>
      </c>
      <c r="E138" s="59" t="s">
        <v>261</v>
      </c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>
      <c r="A139" s="57"/>
      <c r="B139" s="58"/>
      <c r="C139" s="34">
        <v>7104689</v>
      </c>
      <c r="D139" s="37" t="s">
        <v>313</v>
      </c>
      <c r="E139" s="59" t="s">
        <v>323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>
      <c r="A140" s="57"/>
      <c r="B140" s="58"/>
      <c r="C140" s="34">
        <v>7105177</v>
      </c>
      <c r="D140" s="34" t="s">
        <v>341</v>
      </c>
      <c r="E140" s="59" t="s">
        <v>344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>
      <c r="A141" s="57"/>
      <c r="B141" s="58"/>
      <c r="C141" s="34">
        <v>7105078</v>
      </c>
      <c r="D141" s="7" t="s">
        <v>334</v>
      </c>
      <c r="E141" s="94" t="s">
        <v>201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>
      <c r="A142" s="57"/>
      <c r="B142" s="58"/>
      <c r="C142" s="34">
        <v>7105307</v>
      </c>
      <c r="D142" s="34" t="s">
        <v>360</v>
      </c>
      <c r="E142" s="59" t="s">
        <v>359</v>
      </c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>
      <c r="A143" s="57"/>
      <c r="B143" s="58"/>
      <c r="C143" s="37">
        <v>7401165</v>
      </c>
      <c r="D143" s="37" t="s">
        <v>72</v>
      </c>
      <c r="E143" s="40" t="s">
        <v>58</v>
      </c>
      <c r="F143" s="29">
        <v>1</v>
      </c>
      <c r="G143" s="29"/>
      <c r="H143" s="29">
        <v>1</v>
      </c>
      <c r="I143" s="29">
        <v>1</v>
      </c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>
        <v>1</v>
      </c>
      <c r="AA143" s="29">
        <v>1</v>
      </c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>
      <c r="A144" s="57"/>
      <c r="B144" s="58"/>
      <c r="C144" s="34">
        <v>7104225</v>
      </c>
      <c r="D144" s="34" t="s">
        <v>212</v>
      </c>
      <c r="E144" s="59" t="s">
        <v>213</v>
      </c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>
      <c r="A145" s="57"/>
      <c r="B145" s="58"/>
      <c r="C145" s="34">
        <v>7104418</v>
      </c>
      <c r="D145" s="34" t="s">
        <v>236</v>
      </c>
      <c r="E145" s="59" t="s">
        <v>237</v>
      </c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>
      <c r="A146" s="57"/>
      <c r="B146" s="58"/>
      <c r="C146" s="7">
        <v>7403024</v>
      </c>
      <c r="D146" s="7" t="s">
        <v>123</v>
      </c>
      <c r="E146" s="33" t="s">
        <v>124</v>
      </c>
      <c r="F146" s="29">
        <v>1</v>
      </c>
      <c r="G146" s="29"/>
      <c r="H146" s="29"/>
      <c r="I146" s="29">
        <v>1</v>
      </c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>
        <v>1</v>
      </c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>
      <c r="A147" s="57"/>
      <c r="B147" s="58"/>
      <c r="C147" s="34">
        <v>7403383</v>
      </c>
      <c r="D147" s="34" t="s">
        <v>147</v>
      </c>
      <c r="E147" s="59" t="s">
        <v>148</v>
      </c>
      <c r="F147" s="29">
        <v>1</v>
      </c>
      <c r="G147" s="29"/>
      <c r="H147" s="29">
        <v>1</v>
      </c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>
        <v>1</v>
      </c>
      <c r="V147" s="29"/>
      <c r="W147" s="29"/>
      <c r="X147" s="29"/>
      <c r="Y147" s="29">
        <v>1</v>
      </c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>
      <c r="A148" s="57"/>
      <c r="B148" s="58"/>
      <c r="C148" s="37">
        <v>7403004</v>
      </c>
      <c r="D148" s="37" t="s">
        <v>125</v>
      </c>
      <c r="E148" s="40" t="s">
        <v>126</v>
      </c>
      <c r="F148" s="29">
        <v>1</v>
      </c>
      <c r="G148" s="29"/>
      <c r="H148" s="29"/>
      <c r="I148" s="29">
        <v>1</v>
      </c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>
        <v>1</v>
      </c>
      <c r="AB148" s="29"/>
      <c r="AC148" s="29"/>
      <c r="AD148" s="29"/>
      <c r="AE148" s="29"/>
      <c r="AF148" s="29"/>
      <c r="AG148" s="29"/>
      <c r="AH148" s="29"/>
      <c r="AI148" s="29"/>
      <c r="AJ148" s="29">
        <v>1</v>
      </c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</row>
    <row r="149" spans="1:46">
      <c r="A149" s="57"/>
      <c r="B149" s="58"/>
      <c r="C149" s="34">
        <v>7104620</v>
      </c>
      <c r="D149" s="34" t="s">
        <v>270</v>
      </c>
      <c r="E149" s="59" t="s">
        <v>199</v>
      </c>
      <c r="M149" s="44">
        <v>1</v>
      </c>
      <c r="AT149" s="29"/>
    </row>
    <row r="150" spans="1:46">
      <c r="A150" s="57"/>
      <c r="B150" s="58"/>
      <c r="C150" s="34">
        <v>7104865</v>
      </c>
      <c r="D150" s="7" t="s">
        <v>295</v>
      </c>
      <c r="E150" s="59" t="s">
        <v>302</v>
      </c>
      <c r="F150" s="29">
        <v>1</v>
      </c>
      <c r="G150" s="29"/>
      <c r="H150" s="29">
        <v>1</v>
      </c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</row>
    <row r="151" spans="1:46">
      <c r="A151" s="57"/>
      <c r="B151" s="58"/>
      <c r="C151" s="34">
        <v>7104306</v>
      </c>
      <c r="D151" s="34" t="s">
        <v>271</v>
      </c>
      <c r="E151" s="59" t="s">
        <v>272</v>
      </c>
      <c r="M151" s="44">
        <v>1</v>
      </c>
      <c r="AT151" s="29"/>
    </row>
    <row r="152" spans="1:46">
      <c r="A152" s="57"/>
      <c r="B152" s="58"/>
      <c r="C152" s="34">
        <v>7105431</v>
      </c>
      <c r="D152" s="34" t="s">
        <v>384</v>
      </c>
      <c r="E152" s="59" t="s">
        <v>385</v>
      </c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</row>
    <row r="153" spans="1:46">
      <c r="A153" s="57"/>
      <c r="B153" s="58"/>
      <c r="C153" s="29">
        <v>7077883</v>
      </c>
      <c r="D153" s="29" t="s">
        <v>76</v>
      </c>
      <c r="E153" s="29" t="s">
        <v>77</v>
      </c>
      <c r="F153" s="29">
        <v>1</v>
      </c>
      <c r="G153" s="29"/>
      <c r="H153" s="29"/>
      <c r="I153" s="29">
        <v>1</v>
      </c>
      <c r="J153" s="29"/>
      <c r="K153" s="29"/>
      <c r="L153" s="29"/>
      <c r="M153" s="29">
        <v>1</v>
      </c>
      <c r="N153" s="29">
        <v>1</v>
      </c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>
        <v>1</v>
      </c>
      <c r="AA153" s="29">
        <v>1</v>
      </c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>
        <v>1</v>
      </c>
      <c r="AM153" s="29"/>
      <c r="AN153" s="29"/>
      <c r="AO153" s="29"/>
      <c r="AP153" s="29"/>
      <c r="AQ153" s="29"/>
      <c r="AR153" s="29"/>
      <c r="AS153" s="29"/>
      <c r="AT153" s="29"/>
    </row>
    <row r="154" spans="1:46">
      <c r="A154" s="57"/>
      <c r="B154" s="58"/>
      <c r="C154" s="34">
        <v>7105319</v>
      </c>
      <c r="D154" s="34" t="s">
        <v>372</v>
      </c>
      <c r="E154" s="59" t="s">
        <v>373</v>
      </c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</row>
    <row r="155" spans="1:46">
      <c r="A155" s="57"/>
      <c r="B155" s="58"/>
      <c r="C155" s="34">
        <v>7104209</v>
      </c>
      <c r="D155" s="34" t="s">
        <v>210</v>
      </c>
      <c r="E155" s="59" t="s">
        <v>211</v>
      </c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</row>
    <row r="156" spans="1:46">
      <c r="A156" s="57"/>
      <c r="B156" s="58"/>
      <c r="C156" s="34">
        <v>7104262</v>
      </c>
      <c r="D156" s="34" t="s">
        <v>220</v>
      </c>
      <c r="E156" s="59" t="s">
        <v>221</v>
      </c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</row>
    <row r="157" spans="1:46">
      <c r="A157" s="57"/>
      <c r="B157" s="58"/>
      <c r="C157" s="34">
        <v>7104710</v>
      </c>
      <c r="D157" s="34" t="s">
        <v>286</v>
      </c>
      <c r="E157" s="59" t="s">
        <v>219</v>
      </c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</row>
    <row r="158" spans="1:46">
      <c r="A158" s="57"/>
      <c r="B158" s="58"/>
      <c r="C158" s="34"/>
      <c r="D158" s="34"/>
      <c r="E158" s="5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</row>
    <row r="159" spans="1:46">
      <c r="A159" s="57"/>
      <c r="B159" s="58"/>
      <c r="C159" s="34"/>
      <c r="D159" s="34"/>
      <c r="E159" s="5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</row>
    <row r="160" spans="1:46">
      <c r="A160" s="57"/>
      <c r="B160" s="58"/>
      <c r="C160" s="34"/>
      <c r="D160" s="34"/>
      <c r="E160" s="5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</row>
    <row r="161" spans="5:46">
      <c r="E161" s="45" t="s">
        <v>61</v>
      </c>
      <c r="F161" s="46">
        <v>4</v>
      </c>
      <c r="G161" s="46">
        <v>5</v>
      </c>
      <c r="H161" s="46">
        <v>6</v>
      </c>
      <c r="I161" s="46">
        <v>7</v>
      </c>
      <c r="J161" s="46">
        <v>8</v>
      </c>
      <c r="K161" s="46">
        <v>9</v>
      </c>
      <c r="L161" s="46">
        <v>10</v>
      </c>
      <c r="M161" s="46">
        <v>11</v>
      </c>
      <c r="N161" s="46">
        <v>12</v>
      </c>
      <c r="O161" s="46">
        <v>13</v>
      </c>
      <c r="P161" s="46">
        <v>14</v>
      </c>
      <c r="Q161" s="46">
        <v>15</v>
      </c>
      <c r="R161" s="46">
        <v>16</v>
      </c>
      <c r="S161" s="46">
        <v>17</v>
      </c>
      <c r="T161" s="46">
        <v>18</v>
      </c>
      <c r="U161" s="46">
        <v>19</v>
      </c>
      <c r="V161" s="46">
        <v>20</v>
      </c>
      <c r="W161" s="46">
        <v>21</v>
      </c>
      <c r="X161" s="46">
        <v>22</v>
      </c>
      <c r="Y161" s="46">
        <v>23</v>
      </c>
      <c r="Z161" s="46">
        <v>24</v>
      </c>
      <c r="AA161" s="46">
        <v>25</v>
      </c>
      <c r="AB161" s="46">
        <v>26</v>
      </c>
      <c r="AC161" s="46">
        <v>27</v>
      </c>
      <c r="AD161" s="46">
        <v>28</v>
      </c>
      <c r="AE161" s="46">
        <v>29</v>
      </c>
      <c r="AF161" s="46">
        <v>30</v>
      </c>
      <c r="AG161" s="46">
        <v>31</v>
      </c>
      <c r="AH161" s="46">
        <v>32</v>
      </c>
      <c r="AI161" s="46">
        <v>33</v>
      </c>
      <c r="AJ161" s="46">
        <v>34</v>
      </c>
      <c r="AK161" s="46">
        <v>35</v>
      </c>
      <c r="AL161" s="46">
        <v>36</v>
      </c>
      <c r="AM161" s="46">
        <v>37</v>
      </c>
      <c r="AN161" s="46">
        <v>38</v>
      </c>
      <c r="AO161" s="46">
        <v>39</v>
      </c>
      <c r="AP161" s="46">
        <v>40</v>
      </c>
      <c r="AQ161" s="46">
        <v>41</v>
      </c>
      <c r="AR161" s="46">
        <v>42</v>
      </c>
      <c r="AS161" s="46">
        <v>43</v>
      </c>
      <c r="AT161" s="46">
        <v>44</v>
      </c>
    </row>
    <row r="162" spans="5:46" ht="15" customHeight="1"/>
  </sheetData>
  <autoFilter ref="A2:AT161" xr:uid="{00000000-0009-0000-0000-000001000000}"/>
  <sortState xmlns:xlrd2="http://schemas.microsoft.com/office/spreadsheetml/2017/richdata2" ref="A3:AS157">
    <sortCondition ref="D3:D157"/>
    <sortCondition ref="E3:E157"/>
  </sortState>
  <conditionalFormatting sqref="B9 B57:B74 B31:B54 B6:B7 B84:B104 B112:B132 B136:B159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5:B80">
    <cfRule type="containsText" dxfId="41" priority="64" operator="containsText" text="Blue">
      <formula>NOT(ISERROR(SEARCH("Blue",B75)))</formula>
    </cfRule>
    <cfRule type="containsText" priority="65" operator="containsText" text="Lay off">
      <formula>NOT(ISERROR(SEARCH("Lay off",B75)))</formula>
    </cfRule>
    <cfRule type="containsText" dxfId="40" priority="66" operator="containsText" text="Rock">
      <formula>NOT(ISERROR(SEARCH("Rock",B75)))</formula>
    </cfRule>
    <cfRule type="containsText" dxfId="39" priority="67" operator="containsText" text="d">
      <formula>NOT(ISERROR(SEARCH("d",B75)))</formula>
    </cfRule>
    <cfRule type="containsText" dxfId="38" priority="68" operator="containsText" text="B">
      <formula>NOT(ISERROR(SEARCH("B",B75)))</formula>
    </cfRule>
    <cfRule type="containsText" dxfId="37" priority="69" operator="containsText" text="u">
      <formula>NOT(ISERROR(SEARCH("u",B75)))</formula>
    </cfRule>
    <cfRule type="containsText" dxfId="36" priority="70" operator="containsText" text="u">
      <formula>NOT(ISERROR(SEARCH("u",B75)))</formula>
    </cfRule>
    <cfRule type="containsText" priority="71" operator="containsText" text="Off">
      <formula>NOT(ISERROR(SEARCH("Off",B75)))</formula>
    </cfRule>
    <cfRule type="containsText" dxfId="35" priority="72" operator="containsText" text="Maternity">
      <formula>NOT(ISERROR(SEARCH("Maternity",B75)))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3">
    <cfRule type="containsText" dxfId="13" priority="10" operator="containsText" text="Blue">
      <formula>NOT(ISERROR(SEARCH("Blue",B133)))</formula>
    </cfRule>
    <cfRule type="containsText" priority="11" operator="containsText" text="Lay off">
      <formula>NOT(ISERROR(SEARCH("Lay off",B133)))</formula>
    </cfRule>
    <cfRule type="containsText" dxfId="12" priority="12" operator="containsText" text="Rock">
      <formula>NOT(ISERROR(SEARCH("Rock",B133)))</formula>
    </cfRule>
    <cfRule type="containsText" dxfId="11" priority="13" operator="containsText" text="d">
      <formula>NOT(ISERROR(SEARCH("d",B133)))</formula>
    </cfRule>
    <cfRule type="containsText" dxfId="10" priority="14" operator="containsText" text="B">
      <formula>NOT(ISERROR(SEARCH("B",B133)))</formula>
    </cfRule>
    <cfRule type="containsText" dxfId="9" priority="15" operator="containsText" text="u">
      <formula>NOT(ISERROR(SEARCH("u",B133)))</formula>
    </cfRule>
    <cfRule type="containsText" dxfId="8" priority="16" operator="containsText" text="u">
      <formula>NOT(ISERROR(SEARCH("u",B133)))</formula>
    </cfRule>
    <cfRule type="containsText" priority="17" operator="containsText" text="Off">
      <formula>NOT(ISERROR(SEARCH("Off",B133)))</formula>
    </cfRule>
    <cfRule type="containsText" dxfId="7" priority="18" operator="containsText" text="Maternity">
      <formula>NOT(ISERROR(SEARCH("Maternity",B133)))</formula>
    </cfRule>
  </conditionalFormatting>
  <conditionalFormatting sqref="B134">
    <cfRule type="containsText" dxfId="6" priority="1" operator="containsText" text="Blue">
      <formula>NOT(ISERROR(SEARCH("Blue",B134)))</formula>
    </cfRule>
    <cfRule type="containsText" priority="2" operator="containsText" text="Lay off">
      <formula>NOT(ISERROR(SEARCH("Lay off",B134)))</formula>
    </cfRule>
    <cfRule type="containsText" dxfId="5" priority="3" operator="containsText" text="Rock">
      <formula>NOT(ISERROR(SEARCH("Rock",B134)))</formula>
    </cfRule>
    <cfRule type="containsText" dxfId="4" priority="4" operator="containsText" text="d">
      <formula>NOT(ISERROR(SEARCH("d",B134)))</formula>
    </cfRule>
    <cfRule type="containsText" dxfId="3" priority="5" operator="containsText" text="B">
      <formula>NOT(ISERROR(SEARCH("B",B134)))</formula>
    </cfRule>
    <cfRule type="containsText" dxfId="2" priority="6" operator="containsText" text="u">
      <formula>NOT(ISERROR(SEARCH("u",B134)))</formula>
    </cfRule>
    <cfRule type="containsText" dxfId="1" priority="7" operator="containsText" text="u">
      <formula>NOT(ISERROR(SEARCH("u",B134)))</formula>
    </cfRule>
    <cfRule type="containsText" priority="8" operator="containsText" text="Off">
      <formula>NOT(ISERROR(SEARCH("Off",B134)))</formula>
    </cfRule>
    <cfRule type="containsText" dxfId="0" priority="9" operator="containsText" text="Maternity">
      <formula>NOT(ISERROR(SEARCH("Maternity",B134)))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De Sa</cp:lastModifiedBy>
  <cp:lastPrinted>2014-12-10T19:07:40Z</cp:lastPrinted>
  <dcterms:created xsi:type="dcterms:W3CDTF">2014-12-10T18:23:41Z</dcterms:created>
  <dcterms:modified xsi:type="dcterms:W3CDTF">2022-10-05T15:01:46Z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4d10cb4f-9063-4c68-84c5-754ad6fa3177</vt:lpwstr>
  </property>
  <property fmtid="{D5CDD505-2E9C-101B-9397-08002B2CF9AE}" pid="3" name="ABClassification">
    <vt:lpwstr>Confidential</vt:lpwstr>
  </property>
</Properties>
</file>