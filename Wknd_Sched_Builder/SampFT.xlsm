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 userName="David D." algorithmName="SHA-512" hashValue="SnIz5rJIrH65Fv6kiDKtpTC+WNI0NyFozRqQ7n4z0fTPhh8TRbBVjXgwABDu0FYYpBz/JPzRVRQpoxpnqsrcBg==" saltValue="mV7U1QaATfouLBtsUmlch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0001_{7647A8D9-A56C-4DB2-9C6D-20BC2B23583B}" xr6:coauthVersionLast="47" xr6:coauthVersionMax="47" xr10:uidLastSave="{00000000-0000-0000-0000-000000000000}"/>
  <bookViews>
    <workbookView xWindow="1764" yWindow="3360" windowWidth="17280" windowHeight="8880" xr2:uid="{00000000-000D-0000-FFFF-FFFF00000000}"/>
  </bookViews>
  <sheets>
    <sheet name="Hourly OT" sheetId="1" r:id="rId1"/>
    <sheet name="Look Up" sheetId="2" r:id="rId2"/>
    <sheet name="Cleaning_Startup_Ref" sheetId="3" r:id="rId3"/>
  </sheets>
  <definedNames>
    <definedName name="_xlnm._FilterDatabase" localSheetId="0" hidden="1">'Hourly OT'!$A$2:$DV$5</definedName>
    <definedName name="_xlnm._FilterDatabase" localSheetId="1" hidden="1">'Look Up'!$A$2:$AW$145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D5" i="1" l="1"/>
  <c r="BI5" i="1"/>
  <c r="BN5" i="1"/>
  <c r="BS5" i="1"/>
  <c r="BX5" i="1"/>
  <c r="CC5" i="1"/>
  <c r="CG5" i="1"/>
  <c r="CK5" i="1"/>
  <c r="CO5" i="1"/>
  <c r="H63" i="3" l="1"/>
  <c r="E63" i="3"/>
  <c r="H62" i="3"/>
  <c r="E62" i="3"/>
  <c r="H61" i="3"/>
  <c r="E61" i="3"/>
  <c r="H60" i="3"/>
  <c r="E60" i="3"/>
  <c r="H59" i="3"/>
  <c r="E59" i="3"/>
  <c r="H58" i="3"/>
  <c r="E58" i="3"/>
  <c r="H57" i="3"/>
  <c r="E57" i="3"/>
  <c r="H56" i="3"/>
  <c r="E56" i="3"/>
  <c r="H55" i="3"/>
  <c r="E55" i="3"/>
  <c r="H54" i="3"/>
  <c r="E54" i="3"/>
  <c r="H52" i="3"/>
  <c r="E52" i="3"/>
  <c r="H51" i="3"/>
  <c r="E51" i="3"/>
  <c r="H50" i="3"/>
  <c r="E50" i="3"/>
  <c r="H49" i="3"/>
  <c r="E49" i="3"/>
  <c r="H47" i="3"/>
  <c r="E47" i="3"/>
  <c r="H46" i="3"/>
  <c r="E46" i="3"/>
  <c r="H45" i="3"/>
  <c r="E45" i="3"/>
  <c r="H44" i="3"/>
  <c r="E44" i="3"/>
  <c r="H43" i="3"/>
  <c r="E43" i="3"/>
  <c r="H40" i="3"/>
  <c r="E40" i="3"/>
  <c r="H39" i="3"/>
  <c r="E39" i="3"/>
  <c r="H38" i="3"/>
  <c r="E38" i="3"/>
  <c r="H37" i="3"/>
  <c r="E37" i="3"/>
  <c r="H36" i="3"/>
  <c r="E36" i="3"/>
  <c r="H34" i="3"/>
  <c r="E34" i="3"/>
  <c r="H33" i="3"/>
  <c r="E33" i="3"/>
  <c r="H32" i="3"/>
  <c r="E32" i="3"/>
  <c r="H31" i="3"/>
  <c r="E31" i="3"/>
  <c r="H30" i="3"/>
  <c r="E30" i="3"/>
  <c r="H29" i="3"/>
  <c r="E29" i="3"/>
  <c r="H27" i="3"/>
  <c r="E27" i="3"/>
  <c r="H26" i="3"/>
  <c r="E26" i="3"/>
  <c r="H25" i="3"/>
  <c r="E25" i="3"/>
  <c r="H24" i="3"/>
  <c r="E24" i="3"/>
  <c r="H23" i="3"/>
  <c r="E23" i="3"/>
  <c r="H22" i="3"/>
  <c r="E22" i="3"/>
  <c r="H21" i="3"/>
  <c r="E21" i="3"/>
  <c r="H20" i="3"/>
  <c r="E20" i="3"/>
  <c r="H19" i="3"/>
  <c r="E19" i="3"/>
  <c r="H18" i="3"/>
  <c r="E18" i="3"/>
  <c r="H17" i="3"/>
  <c r="E17" i="3"/>
  <c r="H16" i="3"/>
  <c r="E16" i="3"/>
  <c r="H15" i="3"/>
  <c r="E15" i="3"/>
  <c r="H13" i="3"/>
  <c r="E13" i="3"/>
  <c r="H12" i="3"/>
  <c r="E12" i="3"/>
  <c r="H11" i="3"/>
  <c r="E11" i="3"/>
  <c r="H10" i="3"/>
  <c r="E10" i="3"/>
  <c r="H9" i="3"/>
  <c r="E9" i="3"/>
  <c r="H7" i="3"/>
  <c r="H6" i="3"/>
  <c r="E6" i="3"/>
  <c r="H5" i="3"/>
  <c r="E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J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Please refer to the </t>
        </r>
        <r>
          <rPr>
            <b/>
            <sz val="9"/>
            <color indexed="81"/>
            <rFont val="Tahoma"/>
            <family val="2"/>
          </rPr>
          <t>Look Up</t>
        </r>
        <r>
          <rPr>
            <sz val="9"/>
            <color indexed="81"/>
            <rFont val="Tahoma"/>
            <family val="2"/>
          </rPr>
          <t xml:space="preserve"> tab to see expiry dates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Chan, Kelsey</author>
  </authors>
  <commentList>
    <comment ref="AE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5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57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May 2019</t>
        </r>
      </text>
    </comment>
    <comment ref="AD10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01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</t>
        </r>
      </text>
    </comment>
    <comment ref="AE10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2019
</t>
        </r>
      </text>
    </comment>
    <comment ref="AD11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Expires Nov 11, 2018</t>
        </r>
      </text>
    </comment>
    <comment ref="AE11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  <comment ref="AE12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Chan, Kelsey:</t>
        </r>
        <r>
          <rPr>
            <sz val="9"/>
            <color indexed="81"/>
            <rFont val="Tahoma"/>
            <family val="2"/>
          </rPr>
          <t xml:space="preserve">
Expired</t>
        </r>
      </text>
    </comment>
  </commentList>
</comments>
</file>

<file path=xl/sharedStrings.xml><?xml version="1.0" encoding="utf-8"?>
<sst xmlns="http://schemas.openxmlformats.org/spreadsheetml/2006/main" count="849" uniqueCount="507">
  <si>
    <t>Start-up</t>
  </si>
  <si>
    <t>MON</t>
  </si>
  <si>
    <t>TUE</t>
  </si>
  <si>
    <t>WED</t>
  </si>
  <si>
    <t>THUR</t>
  </si>
  <si>
    <t>FRI</t>
  </si>
  <si>
    <t>Clean up</t>
  </si>
  <si>
    <t>SAT</t>
  </si>
  <si>
    <t>SUN</t>
  </si>
  <si>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</si>
  <si>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</si>
  <si>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</si>
  <si>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</si>
  <si>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</si>
  <si>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</si>
  <si>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</si>
  <si>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</si>
  <si>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</si>
  <si>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</si>
  <si>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BOTTLE SUPPLY</t>
  </si>
  <si>
    <t>DEPAL RESTRICTED</t>
  </si>
  <si>
    <t>FILLER</t>
  </si>
  <si>
    <t>FILLER RELIEF</t>
  </si>
  <si>
    <t>HUB</t>
  </si>
  <si>
    <t>LINE 4 LABELER</t>
  </si>
  <si>
    <t>CANDLING</t>
  </si>
  <si>
    <t>LINE 5 PACKER</t>
  </si>
  <si>
    <t>PALLETIZER</t>
  </si>
  <si>
    <t>LINE 4 UTILITY</t>
  </si>
  <si>
    <t>MFU</t>
  </si>
  <si>
    <t>BULK GLASS</t>
  </si>
  <si>
    <t>SOAKER</t>
  </si>
  <si>
    <t>PFT</t>
  </si>
  <si>
    <t>HACCP CLEANER</t>
  </si>
  <si>
    <t>QC REWORK</t>
  </si>
  <si>
    <t>KEG LINE</t>
  </si>
  <si>
    <t>Poll</t>
  </si>
  <si>
    <t>OT Refused</t>
  </si>
  <si>
    <t>Refused Hours Charged</t>
  </si>
  <si>
    <t>OT Hours Accepted</t>
  </si>
  <si>
    <t>Poll Early</t>
  </si>
  <si>
    <t>Poll Late</t>
  </si>
  <si>
    <t>Bud</t>
  </si>
  <si>
    <t>Blue</t>
  </si>
  <si>
    <t>BAMFORD</t>
  </si>
  <si>
    <t>Derek</t>
  </si>
  <si>
    <t>LTD</t>
  </si>
  <si>
    <t>BIELIK</t>
  </si>
  <si>
    <t>Ivan J</t>
  </si>
  <si>
    <t>Rock</t>
  </si>
  <si>
    <t>BUCHANAN</t>
  </si>
  <si>
    <t>Darryl</t>
  </si>
  <si>
    <t>CAMARINHA</t>
  </si>
  <si>
    <t>Bruno</t>
  </si>
  <si>
    <t>CARD</t>
  </si>
  <si>
    <t>Steve</t>
  </si>
  <si>
    <t>CHISNALL</t>
  </si>
  <si>
    <t>John</t>
  </si>
  <si>
    <t>COMPANION</t>
  </si>
  <si>
    <t>Carol</t>
  </si>
  <si>
    <t>COURSOL</t>
  </si>
  <si>
    <t>Denis</t>
  </si>
  <si>
    <t>DAVILA</t>
  </si>
  <si>
    <t>Frank G</t>
  </si>
  <si>
    <t>DEMELO</t>
  </si>
  <si>
    <t>Larry</t>
  </si>
  <si>
    <t>DEROO</t>
  </si>
  <si>
    <t>Patrick</t>
  </si>
  <si>
    <t>DIGGS</t>
  </si>
  <si>
    <t>Pam</t>
  </si>
  <si>
    <t>FRANCIS</t>
  </si>
  <si>
    <t>Geoffrey</t>
  </si>
  <si>
    <t>GILES</t>
  </si>
  <si>
    <t>Kelly</t>
  </si>
  <si>
    <t>Brad</t>
  </si>
  <si>
    <t>GRAY</t>
  </si>
  <si>
    <t>Samuel E</t>
  </si>
  <si>
    <t>GREENE</t>
  </si>
  <si>
    <t>David</t>
  </si>
  <si>
    <t>GREIG</t>
  </si>
  <si>
    <t>HAWKE</t>
  </si>
  <si>
    <t>Lonnie</t>
  </si>
  <si>
    <t>HAYTER</t>
  </si>
  <si>
    <t>Elaine</t>
  </si>
  <si>
    <t>HLODAN</t>
  </si>
  <si>
    <t>Kevin</t>
  </si>
  <si>
    <t>HUMPHREY</t>
  </si>
  <si>
    <t>Brandon</t>
  </si>
  <si>
    <t>Robert</t>
  </si>
  <si>
    <t>ISAAC</t>
  </si>
  <si>
    <t>Judy</t>
  </si>
  <si>
    <t>JAMIESON</t>
  </si>
  <si>
    <t>Matthew</t>
  </si>
  <si>
    <t>KEATING</t>
  </si>
  <si>
    <t>Brent</t>
  </si>
  <si>
    <t>KNIGHTS</t>
  </si>
  <si>
    <t>KOMLENOVIC</t>
  </si>
  <si>
    <t>Goran</t>
  </si>
  <si>
    <t>LAFLEUR</t>
  </si>
  <si>
    <t>Michael</t>
  </si>
  <si>
    <t>Mike</t>
  </si>
  <si>
    <t>Mark A</t>
  </si>
  <si>
    <t>LUMLEY</t>
  </si>
  <si>
    <t>Barry</t>
  </si>
  <si>
    <t>Paul</t>
  </si>
  <si>
    <t>MAZZA</t>
  </si>
  <si>
    <t>Tony</t>
  </si>
  <si>
    <t>MCKENZIE</t>
  </si>
  <si>
    <t>Derrick</t>
  </si>
  <si>
    <t>MCMILLAN</t>
  </si>
  <si>
    <t>MEDINA</t>
  </si>
  <si>
    <t>Matt</t>
  </si>
  <si>
    <t>MITORAJ</t>
  </si>
  <si>
    <t>Adam</t>
  </si>
  <si>
    <t>MOLINARI</t>
  </si>
  <si>
    <t>Ossie</t>
  </si>
  <si>
    <t>NEUFELD</t>
  </si>
  <si>
    <t>Dawn</t>
  </si>
  <si>
    <t>Stan</t>
  </si>
  <si>
    <t>PISKUN</t>
  </si>
  <si>
    <t>REDDICK</t>
  </si>
  <si>
    <t>Kimberley</t>
  </si>
  <si>
    <t>Union Pres</t>
  </si>
  <si>
    <t>ROBINSON</t>
  </si>
  <si>
    <t>Jeffrey</t>
  </si>
  <si>
    <t>SANTIN</t>
  </si>
  <si>
    <t>SELISKE</t>
  </si>
  <si>
    <t>Daniel</t>
  </si>
  <si>
    <t>SMILIE</t>
  </si>
  <si>
    <t>Roy</t>
  </si>
  <si>
    <t>SQUIRES</t>
  </si>
  <si>
    <t>Mark</t>
  </si>
  <si>
    <t>SUMMERS</t>
  </si>
  <si>
    <t>Lisa A</t>
  </si>
  <si>
    <t>Stephen</t>
  </si>
  <si>
    <t>VERMUE</t>
  </si>
  <si>
    <t>VO</t>
  </si>
  <si>
    <t>Duc</t>
  </si>
  <si>
    <t>WESENGER</t>
  </si>
  <si>
    <t>WILCOX</t>
  </si>
  <si>
    <t>Josh</t>
  </si>
  <si>
    <t>Bottle supply</t>
  </si>
  <si>
    <t>Depal restricted</t>
  </si>
  <si>
    <t>Filler</t>
  </si>
  <si>
    <t>Filler Relief</t>
  </si>
  <si>
    <t>Line 4 Labeler</t>
  </si>
  <si>
    <t>Candling</t>
  </si>
  <si>
    <t>Line 5 Packer</t>
  </si>
  <si>
    <t>Palletizer</t>
  </si>
  <si>
    <t>Line 4 Utility</t>
  </si>
  <si>
    <t>Bulk Glass</t>
  </si>
  <si>
    <t>Soaker</t>
  </si>
  <si>
    <t>HACCP cleaner</t>
  </si>
  <si>
    <t>Promo/Prep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</si>
  <si>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</si>
  <si>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</si>
  <si>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</si>
  <si>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</si>
  <si>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</si>
  <si>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</si>
  <si>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</si>
  <si>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Can Line Work Stab</t>
  </si>
  <si>
    <t>Fall Arrest</t>
  </si>
  <si>
    <t>WORK STAB</t>
  </si>
  <si>
    <t>WORKING AT HEIGHTS</t>
  </si>
  <si>
    <t>CONFINED SPACE</t>
  </si>
  <si>
    <t>FALL ARREST</t>
  </si>
  <si>
    <t>CAN LINE WORK STAB</t>
  </si>
  <si>
    <t>GHELLER</t>
  </si>
  <si>
    <t>FISHER</t>
  </si>
  <si>
    <t>Todd</t>
  </si>
  <si>
    <t>MCGILL</t>
  </si>
  <si>
    <t>Chantal</t>
  </si>
  <si>
    <t>NEABLE</t>
  </si>
  <si>
    <t>Murray</t>
  </si>
  <si>
    <t>NODWELL</t>
  </si>
  <si>
    <t>Kyle</t>
  </si>
  <si>
    <t>Emilio</t>
  </si>
  <si>
    <t>MCCALLUM</t>
  </si>
  <si>
    <t>BOISMIER</t>
  </si>
  <si>
    <t>KIRK</t>
  </si>
  <si>
    <t>Jacqueline</t>
  </si>
  <si>
    <t>BULLOCK</t>
  </si>
  <si>
    <t>GARCIA</t>
  </si>
  <si>
    <t>Ken</t>
  </si>
  <si>
    <t>RAYNER</t>
  </si>
  <si>
    <t>Roger</t>
  </si>
  <si>
    <t>SIMON</t>
  </si>
  <si>
    <t>SMITH</t>
  </si>
  <si>
    <t>Richard</t>
  </si>
  <si>
    <t>DELGADO</t>
  </si>
  <si>
    <t>BRIDGER</t>
  </si>
  <si>
    <t>Union</t>
  </si>
  <si>
    <t>CHALLIS</t>
  </si>
  <si>
    <t>Tracy</t>
  </si>
  <si>
    <t>LAMOND</t>
  </si>
  <si>
    <t>Blake</t>
  </si>
  <si>
    <t xml:space="preserve">HARRIS </t>
  </si>
  <si>
    <t>New</t>
  </si>
  <si>
    <t>GEDDES</t>
  </si>
  <si>
    <t>Darren</t>
  </si>
  <si>
    <t>BATE</t>
  </si>
  <si>
    <t>Evan</t>
  </si>
  <si>
    <t>ADCOCK</t>
  </si>
  <si>
    <t>Kory</t>
  </si>
  <si>
    <t>ANDERSON</t>
  </si>
  <si>
    <t>Depal Supply Op</t>
  </si>
  <si>
    <t>Saws Supply Op</t>
  </si>
  <si>
    <t>Depals/ Breezeway Tunnel</t>
  </si>
  <si>
    <t>Saws</t>
  </si>
  <si>
    <t>Mezz Floor</t>
  </si>
  <si>
    <t>Reclaim Water Tank</t>
  </si>
  <si>
    <t>Filler Acid Wash</t>
  </si>
  <si>
    <t>Hot Water Tanks</t>
  </si>
  <si>
    <t>Updated as of May 12/2017</t>
  </si>
  <si>
    <t>Production</t>
  </si>
  <si>
    <t>Column for vlookup</t>
  </si>
  <si>
    <t>Manpower Requirements for Cleaning &amp; Startups</t>
  </si>
  <si>
    <t>Revision date:</t>
  </si>
  <si>
    <t>What we currently schedule…</t>
  </si>
  <si>
    <t>If short on time, may be possible to do it in….</t>
  </si>
  <si>
    <t>Line</t>
  </si>
  <si>
    <t>Equipment/ Task</t>
  </si>
  <si>
    <t>Current Ops</t>
  </si>
  <si>
    <t>Current Time (h)</t>
  </si>
  <si>
    <t>Current Manhours</t>
  </si>
  <si>
    <t>Possible Ops?</t>
  </si>
  <si>
    <t>Possible Time? (h)</t>
  </si>
  <si>
    <t>Possible Manhours</t>
  </si>
  <si>
    <t>Description</t>
  </si>
  <si>
    <t>SOP Exists?</t>
  </si>
  <si>
    <t>SOP Notes</t>
  </si>
  <si>
    <t>BOT SOP #</t>
  </si>
  <si>
    <t>People Who Perform Task</t>
  </si>
  <si>
    <t>Additional Notes</t>
  </si>
  <si>
    <t>Bottling End of Production Cleaning</t>
  </si>
  <si>
    <t>Line 1</t>
  </si>
  <si>
    <t>Internal and external clean</t>
  </si>
  <si>
    <t>Y</t>
  </si>
  <si>
    <t>Soaker op and L1 bottle supply</t>
  </si>
  <si>
    <t>1 Soaker Sprays</t>
  </si>
  <si>
    <t>Caustic and rinser sprays, strainers</t>
  </si>
  <si>
    <t>Soaker op</t>
  </si>
  <si>
    <t>1 Disco</t>
  </si>
  <si>
    <t>Disco and area</t>
  </si>
  <si>
    <t>1 Reclaim</t>
  </si>
  <si>
    <t>Rinser/OMNI</t>
  </si>
  <si>
    <t>Rinser, conveyors, OMNI, vacuum tank/lines</t>
  </si>
  <si>
    <t>N</t>
  </si>
  <si>
    <t>no vac tank</t>
  </si>
  <si>
    <t>Candling/Pasto/Beer Dump</t>
  </si>
  <si>
    <t>Floors, conveyors, trenches, surfaces</t>
  </si>
  <si>
    <t>Utility</t>
  </si>
  <si>
    <t>Flush, foam, scrub, rinse</t>
  </si>
  <si>
    <t>215768/215815</t>
  </si>
  <si>
    <t>Filler op and filler relief</t>
  </si>
  <si>
    <t>Labeler</t>
  </si>
  <si>
    <t>Labeler, floors, conveyors</t>
  </si>
  <si>
    <t>Labeler op and helper</t>
  </si>
  <si>
    <t>Igor/Packer/CMU</t>
  </si>
  <si>
    <t>Packer, CMU, sealer, floors, conveyors</t>
  </si>
  <si>
    <t>L1 packer and L1 candler</t>
  </si>
  <si>
    <t>Line 4</t>
  </si>
  <si>
    <t>Soaker op and L4 bottle supply</t>
  </si>
  <si>
    <t>4 Soaker Sprays</t>
  </si>
  <si>
    <t>4&amp;5 Disco/Reno</t>
  </si>
  <si>
    <t>Disco, reno, and area</t>
  </si>
  <si>
    <t>216553/214835</t>
  </si>
  <si>
    <t>215770/216590</t>
  </si>
  <si>
    <t>Floors, conveyors, trenches surfaces</t>
  </si>
  <si>
    <t>214655/214809</t>
  </si>
  <si>
    <t>Filler ops</t>
  </si>
  <si>
    <t>Labelers</t>
  </si>
  <si>
    <t>Labelers, floors, conveyors</t>
  </si>
  <si>
    <t>2 labeler ops and 2 helpers</t>
  </si>
  <si>
    <t>Mead</t>
  </si>
  <si>
    <t>Machine, floors, conveyors</t>
  </si>
  <si>
    <t>Packer op</t>
  </si>
  <si>
    <t>Jones</t>
  </si>
  <si>
    <t>4 Drop Packer</t>
  </si>
  <si>
    <t>Machines, floors, conveyors</t>
  </si>
  <si>
    <t>5 Drop Packer</t>
  </si>
  <si>
    <t>Carton Makeup</t>
  </si>
  <si>
    <t>CMU op</t>
  </si>
  <si>
    <t>Line 5</t>
  </si>
  <si>
    <t>Soaker op and L5 bottle supply</t>
  </si>
  <si>
    <t>5 Soaker Sprays</t>
  </si>
  <si>
    <t>Common</t>
  </si>
  <si>
    <t>Machines, platforms, floors, tunnel, breezeway</t>
  </si>
  <si>
    <t>Good CIL</t>
  </si>
  <si>
    <t>Bottle supply ops</t>
  </si>
  <si>
    <t>Machines, platforms, floors, doghouse, conveyors</t>
  </si>
  <si>
    <t>Machine, floors</t>
  </si>
  <si>
    <t>Bulk glass op</t>
  </si>
  <si>
    <t>Baler/Docks</t>
  </si>
  <si>
    <t>Machine, floors, docks, compactor</t>
  </si>
  <si>
    <t>PFT drivers</t>
  </si>
  <si>
    <t>Machines, conveyors, inspectors, platform</t>
  </si>
  <si>
    <t>CIL on SP only</t>
  </si>
  <si>
    <t>Palletizer op</t>
  </si>
  <si>
    <t>Example of EOW clean up list</t>
  </si>
  <si>
    <t>Bottling Periodic Cleaning</t>
  </si>
  <si>
    <t>Line 1/4</t>
  </si>
  <si>
    <t>Soaker Top Down</t>
  </si>
  <si>
    <t>Machine - thorough, surrounding floor area</t>
  </si>
  <si>
    <t>2/4 soaker ops, all must have fall arrest training</t>
  </si>
  <si>
    <t>Pasteurizer Top Down</t>
  </si>
  <si>
    <t>Machine, infeed and discharge conveyors, floor</t>
  </si>
  <si>
    <t>214805/214810</t>
  </si>
  <si>
    <t>1 experienced op + 3 cleaning helpers (anyone with low hours)</t>
  </si>
  <si>
    <t>Coordinated with plumber (2-3 hrs)</t>
  </si>
  <si>
    <t>Tank</t>
  </si>
  <si>
    <t>Refer to refusal sheet</t>
  </si>
  <si>
    <t>Machine</t>
  </si>
  <si>
    <t>215791/215944</t>
  </si>
  <si>
    <t>?</t>
  </si>
  <si>
    <t>Bottling Start Up Requirements</t>
  </si>
  <si>
    <t>Soaker ops - usually same ops do 1 &amp; 4</t>
  </si>
  <si>
    <t>Soaker Cone Flush</t>
  </si>
  <si>
    <t>Soaker ops - same as above, come in 2 hours early instead of 1</t>
  </si>
  <si>
    <t>HUB op</t>
  </si>
  <si>
    <t>Jetter CIP</t>
  </si>
  <si>
    <t>HUB op - same as HUB op, no additional time needed</t>
  </si>
  <si>
    <t>Pasteurizer</t>
  </si>
  <si>
    <t>Line 4 filler op</t>
  </si>
  <si>
    <t>Line 4 filler op - same filler op, no additional time needed</t>
  </si>
  <si>
    <t>Line Utility/ Pasteurizer</t>
  </si>
  <si>
    <t>Line 4 utility</t>
  </si>
  <si>
    <t>214555/214556</t>
  </si>
  <si>
    <t>Line 4 labeler op</t>
  </si>
  <si>
    <t>Depals</t>
  </si>
  <si>
    <t>(Starting both</t>
  </si>
  <si>
    <t>Bottle supply ops, check refusal sheet for experience</t>
  </si>
  <si>
    <t>lines)</t>
  </si>
  <si>
    <t>214662/214485</t>
  </si>
  <si>
    <t>PFT/ baler ops - posted position so poll ops with posted first</t>
  </si>
  <si>
    <t>Example of start up list</t>
  </si>
  <si>
    <t>Highlighted = updated</t>
  </si>
  <si>
    <t>Helpers do not have to have experience for OT</t>
  </si>
  <si>
    <t>Periodic cleaning activities require experience</t>
  </si>
  <si>
    <t>L4 Hartness Packer</t>
  </si>
  <si>
    <t>Logistics</t>
  </si>
  <si>
    <t>HITCHCOCK</t>
  </si>
  <si>
    <t>Joe</t>
  </si>
  <si>
    <t xml:space="preserve">VarioPak </t>
  </si>
  <si>
    <t>CLARKE</t>
  </si>
  <si>
    <t>James</t>
  </si>
  <si>
    <t>GONSALVES</t>
  </si>
  <si>
    <t>Ray</t>
  </si>
  <si>
    <t>KILGOUR</t>
  </si>
  <si>
    <t>Luke</t>
  </si>
  <si>
    <t>Damien</t>
  </si>
  <si>
    <t>Jason</t>
  </si>
  <si>
    <t>GARDINER</t>
  </si>
  <si>
    <t>Keenan</t>
  </si>
  <si>
    <t>HILL</t>
  </si>
  <si>
    <t>ISMAIL</t>
  </si>
  <si>
    <t>Ashley</t>
  </si>
  <si>
    <t>MCINTYRE</t>
  </si>
  <si>
    <t>Connor</t>
  </si>
  <si>
    <t>Bill</t>
  </si>
  <si>
    <t>Sackrider</t>
  </si>
  <si>
    <t>Christodoulou</t>
  </si>
  <si>
    <t>Rawlings</t>
  </si>
  <si>
    <t>Variopac</t>
  </si>
  <si>
    <t>GEHAN</t>
  </si>
  <si>
    <t>McCART</t>
  </si>
  <si>
    <t>UDOMA</t>
  </si>
  <si>
    <t>Nsikan</t>
  </si>
  <si>
    <t xml:space="preserve">Al  </t>
  </si>
  <si>
    <t>SADLER</t>
  </si>
  <si>
    <t>Neil</t>
  </si>
  <si>
    <t>GARLICK</t>
  </si>
  <si>
    <t>Mackenzi</t>
  </si>
  <si>
    <t>Paula</t>
  </si>
  <si>
    <t>LAZAR</t>
  </si>
  <si>
    <t>Ninip</t>
  </si>
  <si>
    <t>NEW</t>
  </si>
  <si>
    <t>VOUVALIDIS</t>
  </si>
  <si>
    <t>REEDER</t>
  </si>
  <si>
    <t>Shawn</t>
  </si>
  <si>
    <t>Lucas</t>
  </si>
  <si>
    <t>MANNING</t>
  </si>
  <si>
    <t>BISSELL</t>
  </si>
  <si>
    <t>Benjamin</t>
  </si>
  <si>
    <t>JARVIS</t>
  </si>
  <si>
    <t>Erik</t>
  </si>
  <si>
    <t xml:space="preserve">Week Of: </t>
  </si>
  <si>
    <t>CMU Support Trays</t>
  </si>
  <si>
    <t>CMU Support 6s</t>
  </si>
  <si>
    <t>Can Packer</t>
  </si>
  <si>
    <t>Can Depal</t>
  </si>
  <si>
    <t>CMU SUPPORT 6s</t>
  </si>
  <si>
    <t>CMU SUPPORT TRAYS</t>
  </si>
  <si>
    <t>Pouch Line</t>
  </si>
  <si>
    <t>Pouch Line Filler</t>
  </si>
  <si>
    <t>BREEN</t>
  </si>
  <si>
    <t>Holly</t>
  </si>
  <si>
    <t>Brown</t>
  </si>
  <si>
    <t>Raechel</t>
  </si>
  <si>
    <t>HASEBENEBI</t>
  </si>
  <si>
    <t>Hiruy</t>
  </si>
  <si>
    <t>Nolan</t>
  </si>
  <si>
    <t>Jones-Ellington</t>
  </si>
  <si>
    <t>Jacob</t>
  </si>
  <si>
    <t>MAYBERRY</t>
  </si>
  <si>
    <t>Beth</t>
  </si>
  <si>
    <t>MORAIS</t>
  </si>
  <si>
    <t>Demetrius</t>
  </si>
  <si>
    <t>TARRANT</t>
  </si>
  <si>
    <t>Justin</t>
  </si>
  <si>
    <t>MATTHEWS</t>
  </si>
  <si>
    <t>Flute</t>
  </si>
  <si>
    <t>Langer</t>
  </si>
  <si>
    <t>Cory</t>
  </si>
  <si>
    <t>HAMED</t>
  </si>
  <si>
    <t>Ramazan</t>
  </si>
  <si>
    <t>SPENCER</t>
  </si>
  <si>
    <t>Braydon</t>
  </si>
  <si>
    <t>RICHARDSON</t>
  </si>
  <si>
    <t>Devyn</t>
  </si>
  <si>
    <t>LUZIUS-VANIN</t>
  </si>
  <si>
    <t>MCCORMICK</t>
  </si>
  <si>
    <t>Rhonda</t>
  </si>
  <si>
    <t>AUSTIN</t>
  </si>
  <si>
    <t>Orville</t>
  </si>
  <si>
    <t>BROWN</t>
  </si>
  <si>
    <t>Brittney</t>
  </si>
  <si>
    <t>YOUNG</t>
  </si>
  <si>
    <t>Lavender</t>
  </si>
  <si>
    <t>Nick</t>
  </si>
  <si>
    <t>LYTTLE</t>
  </si>
  <si>
    <t>RIEHL</t>
  </si>
  <si>
    <t>Tonya</t>
  </si>
  <si>
    <t>SHREVE</t>
  </si>
  <si>
    <t>Sean</t>
  </si>
  <si>
    <t>New Hire</t>
  </si>
  <si>
    <t xml:space="preserve">KNIGHT </t>
  </si>
  <si>
    <t>Adrian</t>
  </si>
  <si>
    <t>RINSER</t>
  </si>
  <si>
    <t>Rinser</t>
  </si>
  <si>
    <t>BACHMANN</t>
  </si>
  <si>
    <t>Joshua</t>
  </si>
  <si>
    <t>BRUNO</t>
  </si>
  <si>
    <t>Nathan</t>
  </si>
  <si>
    <t>DEYLE</t>
  </si>
  <si>
    <t>Cole</t>
  </si>
  <si>
    <t>EKERUCHE</t>
  </si>
  <si>
    <t>GRANT</t>
  </si>
  <si>
    <t>Alexander</t>
  </si>
  <si>
    <t>HENDERSON</t>
  </si>
  <si>
    <t>HOLDEN</t>
  </si>
  <si>
    <t>MCGUIGAN</t>
  </si>
  <si>
    <t>Shannon</t>
  </si>
  <si>
    <t>SIT</t>
  </si>
  <si>
    <t>Joseph</t>
  </si>
  <si>
    <t>WANDS</t>
  </si>
  <si>
    <t>WRIGHT</t>
  </si>
  <si>
    <t>Jones Packer</t>
  </si>
  <si>
    <t>Bulk Glass Palletizer</t>
  </si>
  <si>
    <t>LC1 CAN FILLER</t>
  </si>
  <si>
    <t>LC1 CAN UTILITY</t>
  </si>
  <si>
    <t>LC1 CAN PACKER</t>
  </si>
  <si>
    <t>LC1 CAN DEPAL</t>
  </si>
  <si>
    <t>LC2 DEPAL</t>
  </si>
  <si>
    <t>LC2 FILLER</t>
  </si>
  <si>
    <t>LC2 GPI QUIKFLEX</t>
  </si>
  <si>
    <t>LC2 KEELCLIP</t>
  </si>
  <si>
    <t>LC2 PALLETIZER</t>
  </si>
  <si>
    <t>LC2 OCME SHRINK</t>
  </si>
  <si>
    <t>LC2 OCME TRAY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</si>
  <si>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</si>
  <si>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</si>
  <si>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</si>
  <si>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</si>
  <si>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</si>
  <si>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</si>
  <si>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</si>
  <si>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POUCH CMU</t>
  </si>
  <si>
    <t>Pouch CMU</t>
  </si>
  <si>
    <t>Blank Space</t>
  </si>
  <si>
    <t>CORBETT</t>
  </si>
  <si>
    <t>Leigha</t>
  </si>
  <si>
    <t>L4 HARTNESS PACKER</t>
  </si>
  <si>
    <t>MCNIVEN</t>
  </si>
  <si>
    <t>Kate</t>
  </si>
  <si>
    <t>Anderson</t>
  </si>
  <si>
    <t>Rebecca</t>
  </si>
  <si>
    <t>Love</t>
  </si>
  <si>
    <t>Conrad</t>
  </si>
  <si>
    <t>Saunders</t>
  </si>
  <si>
    <t>Dylan</t>
  </si>
  <si>
    <t>Van Deuren</t>
  </si>
  <si>
    <t>Amanda</t>
  </si>
  <si>
    <t>Morris</t>
  </si>
  <si>
    <t>Rory</t>
  </si>
  <si>
    <t>Sotnikov</t>
  </si>
  <si>
    <t>Anastasia</t>
  </si>
  <si>
    <t>Ivanovich</t>
  </si>
  <si>
    <t>Nicole</t>
  </si>
  <si>
    <t>Ruiz</t>
  </si>
  <si>
    <t>Carlos</t>
  </si>
  <si>
    <t xml:space="preserve">Mann </t>
  </si>
  <si>
    <t>Aaron</t>
  </si>
  <si>
    <t>POUCH PACKER</t>
  </si>
  <si>
    <t>POUCH FILLER</t>
  </si>
  <si>
    <t>PROMO/PROMO 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</si>
</sst>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27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2"/>
      <name val="Verdana"/>
      <family val="2"/>
    </font>
    <font>
      <sz val="10"/>
      <name val="Verdana"/>
      <family val="2"/>
    </font>
    <font>
      <b/>
      <sz val="10"/>
      <color rgb="FFFF0000"/>
      <name val="Verdana"/>
      <family val="2"/>
    </font>
    <font>
      <b/>
      <sz val="12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b/>
      <sz val="10"/>
      <color rgb="FF00B050"/>
      <name val="Verdana"/>
      <family val="2"/>
    </font>
    <font>
      <sz val="8"/>
      <name val="Arial"/>
      <family val="2"/>
    </font>
    <font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Verdana"/>
      <family val="2"/>
    </font>
    <font>
      <sz val="10"/>
      <name val="Times New Roman"/>
      <family val="1"/>
    </font>
    <font>
      <b/>
      <sz val="10"/>
      <color indexed="52"/>
      <name val="Verdana"/>
      <family val="2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0000FF"/>
      <name val="Verdana"/>
      <family val="2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7F8FD"/>
        <bgColor indexed="64"/>
      </patternFill>
    </fill>
    <fill>
      <patternFill patternType="solid">
        <fgColor rgb="FFCCCCFF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0" fontId="23" fillId="0" borderId="0" applyNumberFormat="0" applyFill="0" applyBorder="0" applyAlignment="0" applyProtection="0"/>
  </cellStyleXfs>
  <cellXfs count="218">
    <xf numFmtId="0" fontId="0" fillId="0" borderId="0" xfId="0"/>
    <xf numFmtId="49" fontId="0" fillId="0" borderId="0" xfId="0" applyNumberFormat="1"/>
    <xf numFmtId="0" fontId="0" fillId="0" borderId="0" xfId="0" applyNumberFormat="1"/>
    <xf numFmtId="0" fontId="0" fillId="2" borderId="0" xfId="0" applyFill="1" applyBorder="1"/>
    <xf numFmtId="0" fontId="6" fillId="2" borderId="5" xfId="0" applyFont="1" applyFill="1" applyBorder="1" applyAlignment="1">
      <alignment horizontal="left" vertical="center"/>
    </xf>
    <xf numFmtId="0" fontId="9" fillId="4" borderId="21" xfId="0" applyFont="1" applyFill="1" applyBorder="1" applyAlignment="1">
      <alignment horizontal="center"/>
    </xf>
    <xf numFmtId="0" fontId="9" fillId="2" borderId="23" xfId="0" applyFont="1" applyFill="1" applyBorder="1" applyAlignment="1">
      <alignment horizontal="center"/>
    </xf>
    <xf numFmtId="0" fontId="0" fillId="4" borderId="0" xfId="0" applyFill="1"/>
    <xf numFmtId="2" fontId="0" fillId="0" borderId="21" xfId="0" applyNumberFormat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0" fontId="7" fillId="0" borderId="21" xfId="0" applyFont="1" applyFill="1" applyBorder="1"/>
    <xf numFmtId="1" fontId="7" fillId="0" borderId="21" xfId="0" applyNumberFormat="1" applyFont="1" applyFill="1" applyBorder="1" applyAlignment="1"/>
    <xf numFmtId="0" fontId="7" fillId="0" borderId="21" xfId="0" applyFont="1" applyBorder="1"/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1" fontId="13" fillId="0" borderId="0" xfId="0" applyNumberFormat="1" applyFont="1" applyBorder="1" applyAlignment="1">
      <alignment horizontal="right"/>
    </xf>
    <xf numFmtId="0" fontId="5" fillId="0" borderId="0" xfId="0" applyFont="1" applyBorder="1" applyAlignment="1"/>
    <xf numFmtId="0" fontId="9" fillId="4" borderId="23" xfId="0" applyFont="1" applyFill="1" applyBorder="1" applyAlignment="1">
      <alignment horizontal="center"/>
    </xf>
    <xf numFmtId="0" fontId="5" fillId="0" borderId="21" xfId="0" applyFont="1" applyFill="1" applyBorder="1" applyAlignment="1">
      <alignment horizontal="center" wrapText="1"/>
    </xf>
    <xf numFmtId="2" fontId="0" fillId="5" borderId="20" xfId="0" applyNumberFormat="1" applyFill="1" applyBorder="1" applyAlignment="1">
      <alignment horizontal="center"/>
    </xf>
    <xf numFmtId="2" fontId="0" fillId="5" borderId="21" xfId="0" applyNumberFormat="1" applyFill="1" applyBorder="1" applyAlignment="1">
      <alignment horizontal="center"/>
    </xf>
    <xf numFmtId="0" fontId="0" fillId="5" borderId="23" xfId="0" applyNumberFormat="1" applyFill="1" applyBorder="1" applyAlignment="1">
      <alignment horizontal="center"/>
    </xf>
    <xf numFmtId="2" fontId="0" fillId="0" borderId="22" xfId="0" applyNumberFormat="1" applyBorder="1" applyAlignment="1">
      <alignment horizontal="center"/>
    </xf>
    <xf numFmtId="0" fontId="0" fillId="0" borderId="0" xfId="0" applyFill="1"/>
    <xf numFmtId="0" fontId="9" fillId="0" borderId="23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7" fillId="7" borderId="21" xfId="0" applyFont="1" applyFill="1" applyBorder="1"/>
    <xf numFmtId="1" fontId="7" fillId="7" borderId="21" xfId="0" applyNumberFormat="1" applyFont="1" applyFill="1" applyBorder="1" applyAlignment="1"/>
    <xf numFmtId="0" fontId="8" fillId="7" borderId="21" xfId="0" applyFont="1" applyFill="1" applyBorder="1" applyAlignment="1">
      <alignment horizontal="left"/>
    </xf>
    <xf numFmtId="0" fontId="12" fillId="7" borderId="21" xfId="0" applyFont="1" applyFill="1" applyBorder="1" applyAlignment="1">
      <alignment horizontal="left"/>
    </xf>
    <xf numFmtId="164" fontId="4" fillId="0" borderId="21" xfId="0" applyNumberFormat="1" applyFont="1" applyFill="1" applyBorder="1" applyAlignment="1">
      <alignment horizontal="left" vertical="distributed"/>
    </xf>
    <xf numFmtId="1" fontId="7" fillId="7" borderId="21" xfId="0" applyNumberFormat="1" applyFont="1" applyFill="1" applyBorder="1" applyAlignment="1">
      <alignment horizontal="center"/>
    </xf>
    <xf numFmtId="0" fontId="11" fillId="7" borderId="21" xfId="0" applyFont="1" applyFill="1" applyBorder="1" applyAlignment="1">
      <alignment horizontal="left"/>
    </xf>
    <xf numFmtId="0" fontId="7" fillId="7" borderId="21" xfId="0" applyFont="1" applyFill="1" applyBorder="1" applyAlignment="1">
      <alignment horizontal="right"/>
    </xf>
    <xf numFmtId="0" fontId="7" fillId="7" borderId="21" xfId="0" applyFont="1" applyFill="1" applyBorder="1" applyAlignment="1">
      <alignment horizontal="left"/>
    </xf>
    <xf numFmtId="1" fontId="7" fillId="7" borderId="21" xfId="0" applyNumberFormat="1" applyFont="1" applyFill="1" applyBorder="1" applyAlignment="1">
      <alignment horizontal="left"/>
    </xf>
    <xf numFmtId="0" fontId="19" fillId="7" borderId="21" xfId="0" applyFont="1" applyFill="1" applyBorder="1" applyAlignment="1">
      <alignment horizontal="left"/>
    </xf>
    <xf numFmtId="1" fontId="7" fillId="7" borderId="21" xfId="0" applyNumberFormat="1" applyFont="1" applyFill="1" applyBorder="1" applyAlignment="1">
      <alignment horizontal="right"/>
    </xf>
    <xf numFmtId="0" fontId="7" fillId="7" borderId="21" xfId="0" applyFont="1" applyFill="1" applyBorder="1" applyAlignment="1"/>
    <xf numFmtId="1" fontId="7" fillId="7" borderId="21" xfId="0" applyNumberFormat="1" applyFont="1" applyFill="1" applyBorder="1" applyAlignment="1">
      <alignment horizontal="center" vertical="center"/>
    </xf>
    <xf numFmtId="0" fontId="17" fillId="7" borderId="21" xfId="0" applyFont="1" applyFill="1" applyBorder="1"/>
    <xf numFmtId="0" fontId="5" fillId="7" borderId="21" xfId="0" applyFont="1" applyFill="1" applyBorder="1" applyAlignment="1"/>
    <xf numFmtId="0" fontId="7" fillId="7" borderId="21" xfId="1" applyFont="1" applyFill="1" applyBorder="1" applyAlignment="1">
      <alignment horizontal="right"/>
    </xf>
    <xf numFmtId="0" fontId="7" fillId="7" borderId="21" xfId="1" applyFont="1" applyFill="1" applyBorder="1"/>
    <xf numFmtId="1" fontId="7" fillId="8" borderId="21" xfId="0" applyNumberFormat="1" applyFont="1" applyFill="1" applyBorder="1" applyAlignment="1">
      <alignment horizontal="center"/>
    </xf>
    <xf numFmtId="164" fontId="4" fillId="8" borderId="21" xfId="0" applyNumberFormat="1" applyFont="1" applyFill="1" applyBorder="1" applyAlignment="1">
      <alignment horizontal="left"/>
    </xf>
    <xf numFmtId="0" fontId="5" fillId="0" borderId="21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2" borderId="0" xfId="0" applyFill="1"/>
    <xf numFmtId="0" fontId="9" fillId="0" borderId="27" xfId="0" applyFont="1" applyFill="1" applyBorder="1" applyAlignment="1">
      <alignment horizontal="center"/>
    </xf>
    <xf numFmtId="0" fontId="9" fillId="0" borderId="27" xfId="0" applyNumberFormat="1" applyFont="1" applyFill="1" applyBorder="1" applyAlignment="1">
      <alignment horizontal="center"/>
    </xf>
    <xf numFmtId="0" fontId="20" fillId="0" borderId="0" xfId="0" applyFont="1" applyFill="1"/>
    <xf numFmtId="14" fontId="0" fillId="0" borderId="0" xfId="0" applyNumberFormat="1" applyFill="1" applyAlignment="1">
      <alignment horizontal="left"/>
    </xf>
    <xf numFmtId="0" fontId="22" fillId="0" borderId="19" xfId="0" applyFont="1" applyBorder="1"/>
    <xf numFmtId="0" fontId="0" fillId="0" borderId="41" xfId="0" applyBorder="1"/>
    <xf numFmtId="0" fontId="0" fillId="0" borderId="23" xfId="0" applyBorder="1"/>
    <xf numFmtId="0" fontId="22" fillId="0" borderId="19" xfId="0" applyFont="1" applyBorder="1" applyAlignment="1"/>
    <xf numFmtId="0" fontId="0" fillId="0" borderId="41" xfId="0" applyBorder="1" applyAlignment="1"/>
    <xf numFmtId="0" fontId="0" fillId="0" borderId="23" xfId="0" applyBorder="1" applyAlignment="1"/>
    <xf numFmtId="0" fontId="20" fillId="0" borderId="40" xfId="0" applyFont="1" applyBorder="1" applyAlignment="1">
      <alignment horizontal="center" wrapText="1"/>
    </xf>
    <xf numFmtId="0" fontId="20" fillId="0" borderId="38" xfId="0" applyFont="1" applyBorder="1" applyAlignment="1">
      <alignment horizontal="center" wrapText="1"/>
    </xf>
    <xf numFmtId="0" fontId="20" fillId="0" borderId="40" xfId="0" applyFont="1" applyFill="1" applyBorder="1" applyAlignment="1">
      <alignment horizontal="center" wrapText="1"/>
    </xf>
    <xf numFmtId="0" fontId="20" fillId="11" borderId="0" xfId="0" applyFont="1" applyFill="1"/>
    <xf numFmtId="0" fontId="0" fillId="11" borderId="0" xfId="0" applyFill="1" applyAlignment="1">
      <alignment horizontal="right"/>
    </xf>
    <xf numFmtId="0" fontId="20" fillId="0" borderId="18" xfId="0" applyFont="1" applyBorder="1" applyAlignment="1">
      <alignment horizontal="center" wrapText="1"/>
    </xf>
    <xf numFmtId="0" fontId="20" fillId="0" borderId="0" xfId="0" applyFont="1" applyBorder="1" applyAlignment="1">
      <alignment horizontal="center" wrapText="1"/>
    </xf>
    <xf numFmtId="0" fontId="20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23" fillId="0" borderId="0" xfId="2"/>
    <xf numFmtId="0" fontId="0" fillId="0" borderId="0" xfId="0" applyBorder="1" applyAlignment="1">
      <alignment horizontal="center"/>
    </xf>
    <xf numFmtId="0" fontId="20" fillId="7" borderId="0" xfId="0" applyFont="1" applyFill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18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20" fillId="9" borderId="0" xfId="0" applyFont="1" applyFill="1"/>
    <xf numFmtId="0" fontId="20" fillId="9" borderId="0" xfId="0" applyFont="1" applyFill="1" applyAlignment="1">
      <alignment horizontal="right"/>
    </xf>
    <xf numFmtId="0" fontId="0" fillId="12" borderId="18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2" borderId="37" xfId="0" applyFill="1" applyBorder="1" applyAlignment="1">
      <alignment horizontal="center"/>
    </xf>
    <xf numFmtId="0" fontId="0" fillId="9" borderId="0" xfId="0" applyFont="1" applyFill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24" fillId="0" borderId="0" xfId="0" applyFont="1"/>
    <xf numFmtId="0" fontId="0" fillId="7" borderId="21" xfId="0" applyFill="1" applyBorder="1"/>
    <xf numFmtId="0" fontId="0" fillId="7" borderId="21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1" xfId="0" applyFill="1" applyBorder="1"/>
    <xf numFmtId="0" fontId="0" fillId="0" borderId="21" xfId="0" applyBorder="1" applyAlignment="1">
      <alignment textRotation="32"/>
    </xf>
    <xf numFmtId="0" fontId="0" fillId="0" borderId="21" xfId="0" applyBorder="1"/>
    <xf numFmtId="164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horizontal="center" vertical="distributed"/>
    </xf>
    <xf numFmtId="1" fontId="3" fillId="0" borderId="21" xfId="0" applyNumberFormat="1" applyFont="1" applyFill="1" applyBorder="1" applyAlignment="1">
      <alignment vertical="distributed"/>
    </xf>
    <xf numFmtId="0" fontId="5" fillId="7" borderId="21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wrapText="1"/>
    </xf>
    <xf numFmtId="0" fontId="5" fillId="7" borderId="21" xfId="0" applyFont="1" applyFill="1" applyBorder="1"/>
    <xf numFmtId="0" fontId="0" fillId="7" borderId="21" xfId="0" applyFont="1" applyFill="1" applyBorder="1"/>
    <xf numFmtId="1" fontId="7" fillId="7" borderId="21" xfId="1" applyNumberFormat="1" applyFont="1" applyFill="1" applyBorder="1" applyAlignment="1"/>
    <xf numFmtId="0" fontId="0" fillId="8" borderId="21" xfId="0" applyFill="1" applyBorder="1"/>
    <xf numFmtId="0" fontId="10" fillId="7" borderId="21" xfId="0" applyFont="1" applyFill="1" applyBorder="1" applyAlignment="1">
      <alignment horizontal="left"/>
    </xf>
    <xf numFmtId="0" fontId="0" fillId="9" borderId="21" xfId="0" applyFill="1" applyBorder="1"/>
    <xf numFmtId="0" fontId="4" fillId="7" borderId="21" xfId="0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0" fillId="0" borderId="21" xfId="0" applyBorder="1" applyAlignment="1">
      <alignment horizontal="center" textRotation="32"/>
    </xf>
    <xf numFmtId="0" fontId="0" fillId="0" borderId="21" xfId="0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5" fillId="7" borderId="21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1" fontId="18" fillId="0" borderId="21" xfId="0" applyNumberFormat="1" applyFont="1" applyFill="1" applyBorder="1" applyAlignment="1">
      <alignment horizontal="center"/>
    </xf>
    <xf numFmtId="1" fontId="7" fillId="7" borderId="21" xfId="0" applyNumberFormat="1" applyFont="1" applyFill="1" applyBorder="1"/>
    <xf numFmtId="1" fontId="18" fillId="7" borderId="21" xfId="0" applyNumberFormat="1" applyFont="1" applyFill="1" applyBorder="1" applyAlignment="1">
      <alignment horizontal="center"/>
    </xf>
    <xf numFmtId="1" fontId="0" fillId="7" borderId="21" xfId="0" applyNumberFormat="1" applyFill="1" applyBorder="1" applyAlignment="1">
      <alignment horizontal="center"/>
    </xf>
    <xf numFmtId="1" fontId="0" fillId="7" borderId="21" xfId="0" applyNumberFormat="1" applyFill="1" applyBorder="1"/>
    <xf numFmtId="0" fontId="18" fillId="7" borderId="21" xfId="0" applyFont="1" applyFill="1" applyBorder="1" applyAlignment="1"/>
    <xf numFmtId="1" fontId="7" fillId="7" borderId="21" xfId="0" applyNumberFormat="1" applyFont="1" applyFill="1" applyBorder="1" applyAlignment="1">
      <alignment horizontal="left" vertical="top"/>
    </xf>
    <xf numFmtId="0" fontId="7" fillId="7" borderId="26" xfId="0" applyFont="1" applyFill="1" applyBorder="1" applyAlignment="1">
      <alignment horizontal="right"/>
    </xf>
    <xf numFmtId="0" fontId="7" fillId="7" borderId="26" xfId="0" applyFont="1" applyFill="1" applyBorder="1" applyAlignment="1">
      <alignment horizontal="left"/>
    </xf>
    <xf numFmtId="0" fontId="2" fillId="5" borderId="9" xfId="0" applyNumberFormat="1" applyFont="1" applyFill="1" applyBorder="1" applyAlignment="1">
      <alignment horizontal="center" vertical="center" textRotation="255" wrapText="1"/>
    </xf>
    <xf numFmtId="0" fontId="2" fillId="5" borderId="17" xfId="0" applyNumberFormat="1" applyFont="1" applyFill="1" applyBorder="1" applyAlignment="1">
      <alignment horizontal="center" vertical="center" textRotation="255" wrapText="1"/>
    </xf>
    <xf numFmtId="0" fontId="2" fillId="5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0" fillId="14" borderId="0" xfId="0" applyNumberFormat="1" applyFill="1"/>
    <xf numFmtId="0" fontId="2" fillId="14" borderId="10" xfId="0" applyNumberFormat="1" applyFont="1" applyFill="1" applyBorder="1" applyAlignment="1">
      <alignment horizontal="center" vertical="center" textRotation="255" wrapText="1"/>
    </xf>
    <xf numFmtId="0" fontId="2" fillId="14" borderId="18" xfId="0" applyNumberFormat="1" applyFont="1" applyFill="1" applyBorder="1" applyAlignment="1">
      <alignment horizontal="center" vertical="center" textRotation="255" wrapText="1"/>
    </xf>
    <xf numFmtId="0" fontId="2" fillId="14" borderId="33" xfId="0" applyNumberFormat="1" applyFont="1" applyFill="1" applyBorder="1" applyAlignment="1">
      <alignment horizontal="center" vertical="center" textRotation="255" wrapText="1"/>
    </xf>
    <xf numFmtId="0" fontId="0" fillId="0" borderId="0" xfId="0" applyNumberFormat="1" applyFill="1"/>
    <xf numFmtId="0" fontId="25" fillId="7" borderId="21" xfId="0" applyFont="1" applyFill="1" applyBorder="1" applyAlignment="1">
      <alignment horizontal="left"/>
    </xf>
    <xf numFmtId="0" fontId="0" fillId="3" borderId="23" xfId="0" applyNumberFormat="1" applyFill="1" applyBorder="1" applyAlignment="1">
      <alignment horizontal="center"/>
    </xf>
    <xf numFmtId="0" fontId="0" fillId="4" borderId="23" xfId="0" applyNumberFormat="1" applyFill="1" applyBorder="1" applyAlignment="1">
      <alignment horizontal="center"/>
    </xf>
    <xf numFmtId="0" fontId="0" fillId="6" borderId="23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0" fillId="13" borderId="23" xfId="0" applyNumberFormat="1" applyFill="1" applyBorder="1" applyAlignment="1">
      <alignment horizontal="center"/>
    </xf>
    <xf numFmtId="0" fontId="0" fillId="7" borderId="21" xfId="0" quotePrefix="1" applyFill="1" applyBorder="1"/>
    <xf numFmtId="0" fontId="10" fillId="0" borderId="21" xfId="0" applyFont="1" applyBorder="1" applyAlignment="1">
      <alignment horizontal="left"/>
    </xf>
    <xf numFmtId="0" fontId="1" fillId="0" borderId="1" xfId="0" applyFont="1" applyBorder="1" applyAlignment="1">
      <alignment vertical="center"/>
    </xf>
    <xf numFmtId="0" fontId="0" fillId="0" borderId="15" xfId="0" applyNumberFormat="1" applyBorder="1" applyAlignment="1">
      <alignment horizontal="center"/>
    </xf>
    <xf numFmtId="0" fontId="3" fillId="5" borderId="9" xfId="0" applyNumberFormat="1" applyFont="1" applyFill="1" applyBorder="1" applyAlignment="1">
      <alignment horizontal="center" vertical="center" textRotation="255" wrapText="1"/>
    </xf>
    <xf numFmtId="0" fontId="3" fillId="5" borderId="17" xfId="0" applyNumberFormat="1" applyFont="1" applyFill="1" applyBorder="1" applyAlignment="1">
      <alignment horizontal="center" vertical="center" textRotation="255" wrapText="1"/>
    </xf>
    <xf numFmtId="0" fontId="3" fillId="5" borderId="32" xfId="0" applyNumberFormat="1" applyFont="1" applyFill="1" applyBorder="1" applyAlignment="1">
      <alignment horizontal="center" vertical="center" textRotation="255" wrapText="1"/>
    </xf>
    <xf numFmtId="0" fontId="2" fillId="6" borderId="9" xfId="0" applyNumberFormat="1" applyFont="1" applyFill="1" applyBorder="1" applyAlignment="1">
      <alignment horizontal="center" vertical="center" textRotation="255" wrapText="1"/>
    </xf>
    <xf numFmtId="0" fontId="2" fillId="6" borderId="17" xfId="0" applyNumberFormat="1" applyFont="1" applyFill="1" applyBorder="1" applyAlignment="1">
      <alignment horizontal="center" vertical="center" textRotation="255" wrapText="1"/>
    </xf>
    <xf numFmtId="0" fontId="2" fillId="6" borderId="32" xfId="0" applyNumberFormat="1" applyFont="1" applyFill="1" applyBorder="1" applyAlignment="1">
      <alignment horizontal="center" vertical="center" textRotation="255" wrapText="1"/>
    </xf>
    <xf numFmtId="0" fontId="2" fillId="4" borderId="9" xfId="0" applyNumberFormat="1" applyFont="1" applyFill="1" applyBorder="1" applyAlignment="1">
      <alignment horizontal="center" vertical="center" textRotation="255" wrapText="1"/>
    </xf>
    <xf numFmtId="0" fontId="2" fillId="4" borderId="17" xfId="0" applyNumberFormat="1" applyFont="1" applyFill="1" applyBorder="1" applyAlignment="1">
      <alignment horizontal="center" vertical="center" textRotation="255" wrapText="1"/>
    </xf>
    <xf numFmtId="0" fontId="2" fillId="4" borderId="32" xfId="0" applyNumberFormat="1" applyFont="1" applyFill="1" applyBorder="1" applyAlignment="1">
      <alignment horizontal="center" vertical="center" textRotation="255" wrapText="1"/>
    </xf>
    <xf numFmtId="0" fontId="2" fillId="5" borderId="9" xfId="0" applyNumberFormat="1" applyFont="1" applyFill="1" applyBorder="1" applyAlignment="1">
      <alignment horizontal="center" vertical="center" textRotation="255" wrapText="1"/>
    </xf>
    <xf numFmtId="0" fontId="2" fillId="5" borderId="17" xfId="0" applyNumberFormat="1" applyFont="1" applyFill="1" applyBorder="1" applyAlignment="1">
      <alignment horizontal="center" vertical="center" textRotation="255" wrapText="1"/>
    </xf>
    <xf numFmtId="0" fontId="2" fillId="5" borderId="32" xfId="0" applyNumberFormat="1" applyFont="1" applyFill="1" applyBorder="1" applyAlignment="1">
      <alignment horizontal="center" vertical="center" textRotation="255" wrapText="1"/>
    </xf>
    <xf numFmtId="0" fontId="2" fillId="3" borderId="9" xfId="0" applyNumberFormat="1" applyFont="1" applyFill="1" applyBorder="1" applyAlignment="1">
      <alignment horizontal="center" vertical="center" textRotation="255" wrapText="1"/>
    </xf>
    <xf numFmtId="0" fontId="2" fillId="3" borderId="17" xfId="0" applyNumberFormat="1" applyFont="1" applyFill="1" applyBorder="1" applyAlignment="1">
      <alignment horizontal="center" vertical="center" textRotation="255" wrapText="1"/>
    </xf>
    <xf numFmtId="0" fontId="2" fillId="3" borderId="32" xfId="0" applyNumberFormat="1" applyFont="1" applyFill="1" applyBorder="1" applyAlignment="1">
      <alignment horizontal="center" vertical="center" textRotation="255" wrapText="1"/>
    </xf>
    <xf numFmtId="0" fontId="2" fillId="5" borderId="10" xfId="0" applyNumberFormat="1" applyFont="1" applyFill="1" applyBorder="1" applyAlignment="1">
      <alignment horizontal="center" vertical="center" textRotation="255" wrapText="1"/>
    </xf>
    <xf numFmtId="0" fontId="2" fillId="5" borderId="18" xfId="0" applyNumberFormat="1" applyFont="1" applyFill="1" applyBorder="1" applyAlignment="1">
      <alignment horizontal="center" vertical="center" textRotation="255" wrapText="1"/>
    </xf>
    <xf numFmtId="0" fontId="2" fillId="5" borderId="33" xfId="0" applyNumberFormat="1" applyFont="1" applyFill="1" applyBorder="1" applyAlignment="1">
      <alignment horizontal="center" vertical="center" textRotation="255" wrapText="1"/>
    </xf>
    <xf numFmtId="0" fontId="2" fillId="13" borderId="11" xfId="0" applyNumberFormat="1" applyFont="1" applyFill="1" applyBorder="1" applyAlignment="1">
      <alignment horizontal="center" vertical="center" textRotation="255" wrapText="1"/>
    </xf>
    <xf numFmtId="0" fontId="2" fillId="13" borderId="19" xfId="0" applyNumberFormat="1" applyFont="1" applyFill="1" applyBorder="1" applyAlignment="1">
      <alignment horizontal="center" vertical="center" textRotation="255" wrapText="1"/>
    </xf>
    <xf numFmtId="0" fontId="2" fillId="13" borderId="28" xfId="0" applyNumberFormat="1" applyFont="1" applyFill="1" applyBorder="1" applyAlignment="1">
      <alignment horizontal="center" vertical="center" textRotation="255" wrapText="1"/>
    </xf>
    <xf numFmtId="0" fontId="2" fillId="13" borderId="9" xfId="0" applyNumberFormat="1" applyFont="1" applyFill="1" applyBorder="1" applyAlignment="1">
      <alignment horizontal="center" vertical="center" textRotation="255" wrapText="1"/>
    </xf>
    <xf numFmtId="0" fontId="2" fillId="13" borderId="17" xfId="0" applyNumberFormat="1" applyFont="1" applyFill="1" applyBorder="1" applyAlignment="1">
      <alignment horizontal="center" vertical="center" textRotation="255" wrapText="1"/>
    </xf>
    <xf numFmtId="0" fontId="2" fillId="13" borderId="32" xfId="0" applyNumberFormat="1" applyFont="1" applyFill="1" applyBorder="1" applyAlignment="1">
      <alignment horizontal="center" vertical="center" textRotation="255" wrapText="1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164" fontId="3" fillId="0" borderId="6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2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1" fontId="3" fillId="0" borderId="25" xfId="0" applyNumberFormat="1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49" fontId="2" fillId="5" borderId="8" xfId="0" applyNumberFormat="1" applyFont="1" applyFill="1" applyBorder="1" applyAlignment="1">
      <alignment horizontal="center" vertical="center" textRotation="255" wrapText="1"/>
    </xf>
    <xf numFmtId="49" fontId="2" fillId="5" borderId="16" xfId="0" applyNumberFormat="1" applyFont="1" applyFill="1" applyBorder="1" applyAlignment="1">
      <alignment horizontal="center" vertical="center" textRotation="255" wrapText="1"/>
    </xf>
    <xf numFmtId="49" fontId="2" fillId="5" borderId="31" xfId="0" applyNumberFormat="1" applyFont="1" applyFill="1" applyBorder="1" applyAlignment="1">
      <alignment horizontal="center" vertical="center" textRotation="255" wrapText="1"/>
    </xf>
    <xf numFmtId="0" fontId="1" fillId="5" borderId="6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0" fontId="2" fillId="5" borderId="9" xfId="0" applyNumberFormat="1" applyFont="1" applyFill="1" applyBorder="1" applyAlignment="1">
      <alignment horizontal="center" vertical="center" textRotation="255"/>
    </xf>
    <xf numFmtId="0" fontId="2" fillId="5" borderId="17" xfId="0" applyNumberFormat="1" applyFont="1" applyFill="1" applyBorder="1" applyAlignment="1">
      <alignment horizontal="center" vertical="center" textRotation="255"/>
    </xf>
    <xf numFmtId="0" fontId="2" fillId="5" borderId="32" xfId="0" applyNumberFormat="1" applyFont="1" applyFill="1" applyBorder="1" applyAlignment="1">
      <alignment horizontal="center" vertical="center" textRotation="255"/>
    </xf>
    <xf numFmtId="0" fontId="2" fillId="3" borderId="9" xfId="0" applyNumberFormat="1" applyFont="1" applyFill="1" applyBorder="1" applyAlignment="1">
      <alignment horizontal="center" vertical="center" textRotation="255"/>
    </xf>
    <xf numFmtId="0" fontId="2" fillId="3" borderId="17" xfId="0" applyNumberFormat="1" applyFont="1" applyFill="1" applyBorder="1" applyAlignment="1">
      <alignment horizontal="center" vertical="center" textRotation="255"/>
    </xf>
    <xf numFmtId="0" fontId="2" fillId="3" borderId="32" xfId="0" applyNumberFormat="1" applyFont="1" applyFill="1" applyBorder="1" applyAlignment="1">
      <alignment horizontal="center" vertical="center" textRotation="255"/>
    </xf>
    <xf numFmtId="0" fontId="21" fillId="10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4" xfId="1" xr:uid="{00000000-0005-0000-0000-000002000000}"/>
  </cellStyles>
  <dxfs count="22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7F8FD"/>
      <color rgb="FFCCCCFF"/>
      <color rgb="FF0000FF"/>
      <color rgb="FFFFCCCC"/>
      <color rgb="FF9999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96</xdr:col>
      <xdr:colOff>81644</xdr:colOff>
      <xdr:row>0</xdr:row>
      <xdr:rowOff>217714</xdr:rowOff>
    </xdr:from>
    <xdr:to>
      <xdr:col>99</xdr:col>
      <xdr:colOff>476251</xdr:colOff>
      <xdr:row>1</xdr:row>
      <xdr:rowOff>639535</xdr:rowOff>
    </xdr:to>
    <xdr:sp macro="[0]!Polling_Shee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077215" y="217714"/>
          <a:ext cx="2231572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2032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Polling Preference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0B990E"/>
              </a:solidFill>
              <a:effectLst/>
              <a:uLnTx/>
              <a:uFillTx/>
              <a:latin typeface="+mn-lt"/>
              <a:ea typeface="+mn-ea"/>
              <a:cs typeface="+mn-cs"/>
            </a:rPr>
            <a:t>Press here to add X's  </a:t>
          </a:r>
          <a:r>
            <a:rPr kumimoji="0" lang="en-US" sz="1600" b="0" i="0" u="none" strike="noStrike" kern="0" cap="all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Note: "pKG OT </a:t>
          </a:r>
          <a:r>
            <a:rPr kumimoji="0" lang="en-US" sz="16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template" must be open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../../../../../../../LDN02/SharedData/LBO_Applications/London_Packaging_Hourly/Crew%20Startup%20Cleanup%20and%20OT%20lists/Bud/Cleanups/2017/Bud%20Cleanup%20Lines%201&amp;4%20%20Feb%2017%202017%20.docx" TargetMode="External"/><Relationship Id="rId1" Type="http://schemas.openxmlformats.org/officeDocument/2006/relationships/hyperlink" Target="../../../../../../../LDN02/SharedData/LBO_Applications/London_Packaging_Hourly/Crew%20Startup%20Cleanup%20and%20OT%20lists/Rolling%20Rock%20Crew/Startup/Two%20Lines/2017%20Start%20Ups/Two%20lines/5%20-%20May%202017/Line%201%20&amp;4%20Startup%20May%201st.doc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41"/>
  <sheetViews>
    <sheetView tabSelected="1" zoomScale="70" zoomScaleNormal="70" workbookViewId="0">
      <pane ySplit="4" topLeftCell="A5" activePane="bottomLeft" state="frozen"/>
      <selection pane="bottomLeft" activeCell="B5" sqref="B5"/>
    </sheetView>
  </sheetViews>
  <sheetFormatPr defaultColWidth="9.109375" defaultRowHeight="14.4" outlineLevelCol="1" x14ac:dyDescent="0.3"/>
  <cols>
    <col min="1" max="1" width="11.88671875" style="13" customWidth="1"/>
    <col min="2" max="2" width="12" style="13" customWidth="1"/>
    <col min="3" max="3" width="10.33203125" style="15" customWidth="1"/>
    <col min="4" max="5" width="19.109375" style="16" customWidth="1"/>
    <col min="6" max="6" width="16.109375" style="16" customWidth="1"/>
    <col min="7" max="9" width="12.6640625" customWidth="1"/>
    <col min="10" max="10" width="13.33203125" customWidth="1"/>
    <col min="11" max="11" width="13" style="1" hidden="1" customWidth="1" outlineLevel="1"/>
    <col min="12" max="13" width="6.5546875" style="2" hidden="1" customWidth="1" outlineLevel="1"/>
    <col min="14" max="17" width="5.109375" style="2" hidden="1" customWidth="1" outlineLevel="1"/>
    <col min="18" max="18" width="7.5546875" style="2" hidden="1" customWidth="1" outlineLevel="1"/>
    <col min="19" max="29" width="5.109375" style="2" hidden="1" customWidth="1" outlineLevel="1"/>
    <col min="30" max="30" width="5.6640625" style="2" hidden="1" customWidth="1" outlineLevel="1"/>
    <col min="31" max="31" width="7.44140625" style="2" hidden="1" customWidth="1" outlineLevel="1"/>
    <col min="32" max="42" width="5.109375" style="2" hidden="1" customWidth="1" outlineLevel="1"/>
    <col min="43" max="49" width="5.109375" style="127" hidden="1" customWidth="1" outlineLevel="1"/>
    <col min="50" max="53" width="5.109375" style="2" hidden="1" customWidth="1" outlineLevel="1"/>
    <col min="54" max="54" width="9.109375" style="23" customWidth="1" collapsed="1"/>
    <col min="55" max="57" width="9.109375" style="23" hidden="1" customWidth="1" outlineLevel="1"/>
    <col min="58" max="58" width="9.109375" style="23" collapsed="1"/>
    <col min="59" max="59" width="9.109375" style="23"/>
    <col min="60" max="62" width="9.109375" style="23" hidden="1" customWidth="1" outlineLevel="1"/>
    <col min="63" max="63" width="9.109375" style="23" collapsed="1"/>
    <col min="64" max="64" width="9.109375" style="23"/>
    <col min="65" max="67" width="9.109375" style="23" hidden="1" customWidth="1" outlineLevel="1"/>
    <col min="68" max="68" width="9.109375" style="23" collapsed="1"/>
    <col min="69" max="69" width="9.109375" style="23"/>
    <col min="70" max="72" width="9.109375" style="23" hidden="1" customWidth="1" outlineLevel="1"/>
    <col min="73" max="73" width="9.109375" style="23" collapsed="1"/>
    <col min="74" max="74" width="9.109375" style="23"/>
    <col min="75" max="77" width="9.109375" style="23" hidden="1" customWidth="1" outlineLevel="1"/>
    <col min="78" max="78" width="9.109375" style="23" collapsed="1"/>
    <col min="79" max="79" width="9.109375" style="23"/>
    <col min="80" max="82" width="9.109375" style="23" hidden="1" customWidth="1" outlineLevel="1"/>
    <col min="83" max="83" width="9.109375" style="23" collapsed="1"/>
    <col min="84" max="86" width="9.109375" hidden="1" customWidth="1" outlineLevel="1"/>
    <col min="87" max="87" width="9.109375" collapsed="1"/>
    <col min="88" max="90" width="9.109375" hidden="1" customWidth="1" outlineLevel="1"/>
    <col min="91" max="91" width="9.109375" collapsed="1"/>
    <col min="92" max="94" width="9.109375" hidden="1" customWidth="1" outlineLevel="1"/>
    <col min="95" max="95" width="9.109375" collapsed="1"/>
    <col min="229" max="229" width="11.88671875" customWidth="1"/>
    <col min="230" max="230" width="12" customWidth="1"/>
    <col min="231" max="231" width="8.33203125" customWidth="1"/>
    <col min="232" max="232" width="19.109375" customWidth="1"/>
    <col min="233" max="234" width="10.44140625" customWidth="1"/>
    <col min="235" max="235" width="12.6640625" customWidth="1"/>
    <col min="236" max="236" width="13.5546875" customWidth="1"/>
    <col min="237" max="237" width="12.6640625" customWidth="1"/>
    <col min="238" max="241" width="9.6640625" customWidth="1"/>
    <col min="242" max="244" width="10.6640625" customWidth="1"/>
    <col min="245" max="251" width="7.33203125" customWidth="1"/>
    <col min="252" max="252" width="1.6640625" customWidth="1"/>
    <col min="485" max="485" width="11.88671875" customWidth="1"/>
    <col min="486" max="486" width="12" customWidth="1"/>
    <col min="487" max="487" width="8.33203125" customWidth="1"/>
    <col min="488" max="488" width="19.109375" customWidth="1"/>
    <col min="489" max="490" width="10.44140625" customWidth="1"/>
    <col min="491" max="491" width="12.6640625" customWidth="1"/>
    <col min="492" max="492" width="13.5546875" customWidth="1"/>
    <col min="493" max="493" width="12.6640625" customWidth="1"/>
    <col min="494" max="497" width="9.6640625" customWidth="1"/>
    <col min="498" max="500" width="10.6640625" customWidth="1"/>
    <col min="501" max="507" width="7.33203125" customWidth="1"/>
    <col min="508" max="508" width="1.6640625" customWidth="1"/>
    <col min="741" max="741" width="11.88671875" customWidth="1"/>
    <col min="742" max="742" width="12" customWidth="1"/>
    <col min="743" max="743" width="8.33203125" customWidth="1"/>
    <col min="744" max="744" width="19.109375" customWidth="1"/>
    <col min="745" max="746" width="10.44140625" customWidth="1"/>
    <col min="747" max="747" width="12.6640625" customWidth="1"/>
    <col min="748" max="748" width="13.5546875" customWidth="1"/>
    <col min="749" max="749" width="12.6640625" customWidth="1"/>
    <col min="750" max="753" width="9.6640625" customWidth="1"/>
    <col min="754" max="756" width="10.6640625" customWidth="1"/>
    <col min="757" max="763" width="7.33203125" customWidth="1"/>
    <col min="764" max="764" width="1.6640625" customWidth="1"/>
    <col min="997" max="997" width="11.88671875" customWidth="1"/>
    <col min="998" max="998" width="12" customWidth="1"/>
    <col min="999" max="999" width="8.33203125" customWidth="1"/>
    <col min="1000" max="1000" width="19.109375" customWidth="1"/>
    <col min="1001" max="1002" width="10.44140625" customWidth="1"/>
    <col min="1003" max="1003" width="12.6640625" customWidth="1"/>
    <col min="1004" max="1004" width="13.5546875" customWidth="1"/>
    <col min="1005" max="1005" width="12.6640625" customWidth="1"/>
    <col min="1006" max="1009" width="9.6640625" customWidth="1"/>
    <col min="1010" max="1012" width="10.6640625" customWidth="1"/>
    <col min="1013" max="1019" width="7.33203125" customWidth="1"/>
    <col min="1020" max="1020" width="1.6640625" customWidth="1"/>
    <col min="1253" max="1253" width="11.88671875" customWidth="1"/>
    <col min="1254" max="1254" width="12" customWidth="1"/>
    <col min="1255" max="1255" width="8.33203125" customWidth="1"/>
    <col min="1256" max="1256" width="19.109375" customWidth="1"/>
    <col min="1257" max="1258" width="10.44140625" customWidth="1"/>
    <col min="1259" max="1259" width="12.6640625" customWidth="1"/>
    <col min="1260" max="1260" width="13.5546875" customWidth="1"/>
    <col min="1261" max="1261" width="12.6640625" customWidth="1"/>
    <col min="1262" max="1265" width="9.6640625" customWidth="1"/>
    <col min="1266" max="1268" width="10.6640625" customWidth="1"/>
    <col min="1269" max="1275" width="7.33203125" customWidth="1"/>
    <col min="1276" max="1276" width="1.6640625" customWidth="1"/>
    <col min="1509" max="1509" width="11.88671875" customWidth="1"/>
    <col min="1510" max="1510" width="12" customWidth="1"/>
    <col min="1511" max="1511" width="8.33203125" customWidth="1"/>
    <col min="1512" max="1512" width="19.109375" customWidth="1"/>
    <col min="1513" max="1514" width="10.44140625" customWidth="1"/>
    <col min="1515" max="1515" width="12.6640625" customWidth="1"/>
    <col min="1516" max="1516" width="13.5546875" customWidth="1"/>
    <col min="1517" max="1517" width="12.6640625" customWidth="1"/>
    <col min="1518" max="1521" width="9.6640625" customWidth="1"/>
    <col min="1522" max="1524" width="10.6640625" customWidth="1"/>
    <col min="1525" max="1531" width="7.33203125" customWidth="1"/>
    <col min="1532" max="1532" width="1.6640625" customWidth="1"/>
    <col min="1765" max="1765" width="11.88671875" customWidth="1"/>
    <col min="1766" max="1766" width="12" customWidth="1"/>
    <col min="1767" max="1767" width="8.33203125" customWidth="1"/>
    <col min="1768" max="1768" width="19.109375" customWidth="1"/>
    <col min="1769" max="1770" width="10.44140625" customWidth="1"/>
    <col min="1771" max="1771" width="12.6640625" customWidth="1"/>
    <col min="1772" max="1772" width="13.5546875" customWidth="1"/>
    <col min="1773" max="1773" width="12.6640625" customWidth="1"/>
    <col min="1774" max="1777" width="9.6640625" customWidth="1"/>
    <col min="1778" max="1780" width="10.6640625" customWidth="1"/>
    <col min="1781" max="1787" width="7.33203125" customWidth="1"/>
    <col min="1788" max="1788" width="1.6640625" customWidth="1"/>
    <col min="2021" max="2021" width="11.88671875" customWidth="1"/>
    <col min="2022" max="2022" width="12" customWidth="1"/>
    <col min="2023" max="2023" width="8.33203125" customWidth="1"/>
    <col min="2024" max="2024" width="19.109375" customWidth="1"/>
    <col min="2025" max="2026" width="10.44140625" customWidth="1"/>
    <col min="2027" max="2027" width="12.6640625" customWidth="1"/>
    <col min="2028" max="2028" width="13.5546875" customWidth="1"/>
    <col min="2029" max="2029" width="12.6640625" customWidth="1"/>
    <col min="2030" max="2033" width="9.6640625" customWidth="1"/>
    <col min="2034" max="2036" width="10.6640625" customWidth="1"/>
    <col min="2037" max="2043" width="7.33203125" customWidth="1"/>
    <col min="2044" max="2044" width="1.6640625" customWidth="1"/>
    <col min="2277" max="2277" width="11.88671875" customWidth="1"/>
    <col min="2278" max="2278" width="12" customWidth="1"/>
    <col min="2279" max="2279" width="8.33203125" customWidth="1"/>
    <col min="2280" max="2280" width="19.109375" customWidth="1"/>
    <col min="2281" max="2282" width="10.44140625" customWidth="1"/>
    <col min="2283" max="2283" width="12.6640625" customWidth="1"/>
    <col min="2284" max="2284" width="13.5546875" customWidth="1"/>
    <col min="2285" max="2285" width="12.6640625" customWidth="1"/>
    <col min="2286" max="2289" width="9.6640625" customWidth="1"/>
    <col min="2290" max="2292" width="10.6640625" customWidth="1"/>
    <col min="2293" max="2299" width="7.33203125" customWidth="1"/>
    <col min="2300" max="2300" width="1.6640625" customWidth="1"/>
    <col min="2533" max="2533" width="11.88671875" customWidth="1"/>
    <col min="2534" max="2534" width="12" customWidth="1"/>
    <col min="2535" max="2535" width="8.33203125" customWidth="1"/>
    <col min="2536" max="2536" width="19.109375" customWidth="1"/>
    <col min="2537" max="2538" width="10.44140625" customWidth="1"/>
    <col min="2539" max="2539" width="12.6640625" customWidth="1"/>
    <col min="2540" max="2540" width="13.5546875" customWidth="1"/>
    <col min="2541" max="2541" width="12.6640625" customWidth="1"/>
    <col min="2542" max="2545" width="9.6640625" customWidth="1"/>
    <col min="2546" max="2548" width="10.6640625" customWidth="1"/>
    <col min="2549" max="2555" width="7.33203125" customWidth="1"/>
    <col min="2556" max="2556" width="1.6640625" customWidth="1"/>
    <col min="2789" max="2789" width="11.88671875" customWidth="1"/>
    <col min="2790" max="2790" width="12" customWidth="1"/>
    <col min="2791" max="2791" width="8.33203125" customWidth="1"/>
    <col min="2792" max="2792" width="19.109375" customWidth="1"/>
    <col min="2793" max="2794" width="10.44140625" customWidth="1"/>
    <col min="2795" max="2795" width="12.6640625" customWidth="1"/>
    <col min="2796" max="2796" width="13.5546875" customWidth="1"/>
    <col min="2797" max="2797" width="12.6640625" customWidth="1"/>
    <col min="2798" max="2801" width="9.6640625" customWidth="1"/>
    <col min="2802" max="2804" width="10.6640625" customWidth="1"/>
    <col min="2805" max="2811" width="7.33203125" customWidth="1"/>
    <col min="2812" max="2812" width="1.6640625" customWidth="1"/>
    <col min="3045" max="3045" width="11.88671875" customWidth="1"/>
    <col min="3046" max="3046" width="12" customWidth="1"/>
    <col min="3047" max="3047" width="8.33203125" customWidth="1"/>
    <col min="3048" max="3048" width="19.109375" customWidth="1"/>
    <col min="3049" max="3050" width="10.44140625" customWidth="1"/>
    <col min="3051" max="3051" width="12.6640625" customWidth="1"/>
    <col min="3052" max="3052" width="13.5546875" customWidth="1"/>
    <col min="3053" max="3053" width="12.6640625" customWidth="1"/>
    <col min="3054" max="3057" width="9.6640625" customWidth="1"/>
    <col min="3058" max="3060" width="10.6640625" customWidth="1"/>
    <col min="3061" max="3067" width="7.33203125" customWidth="1"/>
    <col min="3068" max="3068" width="1.6640625" customWidth="1"/>
    <col min="3301" max="3301" width="11.88671875" customWidth="1"/>
    <col min="3302" max="3302" width="12" customWidth="1"/>
    <col min="3303" max="3303" width="8.33203125" customWidth="1"/>
    <col min="3304" max="3304" width="19.109375" customWidth="1"/>
    <col min="3305" max="3306" width="10.44140625" customWidth="1"/>
    <col min="3307" max="3307" width="12.6640625" customWidth="1"/>
    <col min="3308" max="3308" width="13.5546875" customWidth="1"/>
    <col min="3309" max="3309" width="12.6640625" customWidth="1"/>
    <col min="3310" max="3313" width="9.6640625" customWidth="1"/>
    <col min="3314" max="3316" width="10.6640625" customWidth="1"/>
    <col min="3317" max="3323" width="7.33203125" customWidth="1"/>
    <col min="3324" max="3324" width="1.6640625" customWidth="1"/>
    <col min="3557" max="3557" width="11.88671875" customWidth="1"/>
    <col min="3558" max="3558" width="12" customWidth="1"/>
    <col min="3559" max="3559" width="8.33203125" customWidth="1"/>
    <col min="3560" max="3560" width="19.109375" customWidth="1"/>
    <col min="3561" max="3562" width="10.44140625" customWidth="1"/>
    <col min="3563" max="3563" width="12.6640625" customWidth="1"/>
    <col min="3564" max="3564" width="13.5546875" customWidth="1"/>
    <col min="3565" max="3565" width="12.6640625" customWidth="1"/>
    <col min="3566" max="3569" width="9.6640625" customWidth="1"/>
    <col min="3570" max="3572" width="10.6640625" customWidth="1"/>
    <col min="3573" max="3579" width="7.33203125" customWidth="1"/>
    <col min="3580" max="3580" width="1.6640625" customWidth="1"/>
    <col min="3813" max="3813" width="11.88671875" customWidth="1"/>
    <col min="3814" max="3814" width="12" customWidth="1"/>
    <col min="3815" max="3815" width="8.33203125" customWidth="1"/>
    <col min="3816" max="3816" width="19.109375" customWidth="1"/>
    <col min="3817" max="3818" width="10.44140625" customWidth="1"/>
    <col min="3819" max="3819" width="12.6640625" customWidth="1"/>
    <col min="3820" max="3820" width="13.5546875" customWidth="1"/>
    <col min="3821" max="3821" width="12.6640625" customWidth="1"/>
    <col min="3822" max="3825" width="9.6640625" customWidth="1"/>
    <col min="3826" max="3828" width="10.6640625" customWidth="1"/>
    <col min="3829" max="3835" width="7.33203125" customWidth="1"/>
    <col min="3836" max="3836" width="1.6640625" customWidth="1"/>
    <col min="4069" max="4069" width="11.88671875" customWidth="1"/>
    <col min="4070" max="4070" width="12" customWidth="1"/>
    <col min="4071" max="4071" width="8.33203125" customWidth="1"/>
    <col min="4072" max="4072" width="19.109375" customWidth="1"/>
    <col min="4073" max="4074" width="10.44140625" customWidth="1"/>
    <col min="4075" max="4075" width="12.6640625" customWidth="1"/>
    <col min="4076" max="4076" width="13.5546875" customWidth="1"/>
    <col min="4077" max="4077" width="12.6640625" customWidth="1"/>
    <col min="4078" max="4081" width="9.6640625" customWidth="1"/>
    <col min="4082" max="4084" width="10.6640625" customWidth="1"/>
    <col min="4085" max="4091" width="7.33203125" customWidth="1"/>
    <col min="4092" max="4092" width="1.6640625" customWidth="1"/>
    <col min="4325" max="4325" width="11.88671875" customWidth="1"/>
    <col min="4326" max="4326" width="12" customWidth="1"/>
    <col min="4327" max="4327" width="8.33203125" customWidth="1"/>
    <col min="4328" max="4328" width="19.109375" customWidth="1"/>
    <col min="4329" max="4330" width="10.44140625" customWidth="1"/>
    <col min="4331" max="4331" width="12.6640625" customWidth="1"/>
    <col min="4332" max="4332" width="13.5546875" customWidth="1"/>
    <col min="4333" max="4333" width="12.6640625" customWidth="1"/>
    <col min="4334" max="4337" width="9.6640625" customWidth="1"/>
    <col min="4338" max="4340" width="10.6640625" customWidth="1"/>
    <col min="4341" max="4347" width="7.33203125" customWidth="1"/>
    <col min="4348" max="4348" width="1.6640625" customWidth="1"/>
    <col min="4581" max="4581" width="11.88671875" customWidth="1"/>
    <col min="4582" max="4582" width="12" customWidth="1"/>
    <col min="4583" max="4583" width="8.33203125" customWidth="1"/>
    <col min="4584" max="4584" width="19.109375" customWidth="1"/>
    <col min="4585" max="4586" width="10.44140625" customWidth="1"/>
    <col min="4587" max="4587" width="12.6640625" customWidth="1"/>
    <col min="4588" max="4588" width="13.5546875" customWidth="1"/>
    <col min="4589" max="4589" width="12.6640625" customWidth="1"/>
    <col min="4590" max="4593" width="9.6640625" customWidth="1"/>
    <col min="4594" max="4596" width="10.6640625" customWidth="1"/>
    <col min="4597" max="4603" width="7.33203125" customWidth="1"/>
    <col min="4604" max="4604" width="1.6640625" customWidth="1"/>
    <col min="4837" max="4837" width="11.88671875" customWidth="1"/>
    <col min="4838" max="4838" width="12" customWidth="1"/>
    <col min="4839" max="4839" width="8.33203125" customWidth="1"/>
    <col min="4840" max="4840" width="19.109375" customWidth="1"/>
    <col min="4841" max="4842" width="10.44140625" customWidth="1"/>
    <col min="4843" max="4843" width="12.6640625" customWidth="1"/>
    <col min="4844" max="4844" width="13.5546875" customWidth="1"/>
    <col min="4845" max="4845" width="12.6640625" customWidth="1"/>
    <col min="4846" max="4849" width="9.6640625" customWidth="1"/>
    <col min="4850" max="4852" width="10.6640625" customWidth="1"/>
    <col min="4853" max="4859" width="7.33203125" customWidth="1"/>
    <col min="4860" max="4860" width="1.6640625" customWidth="1"/>
    <col min="5093" max="5093" width="11.88671875" customWidth="1"/>
    <col min="5094" max="5094" width="12" customWidth="1"/>
    <col min="5095" max="5095" width="8.33203125" customWidth="1"/>
    <col min="5096" max="5096" width="19.109375" customWidth="1"/>
    <col min="5097" max="5098" width="10.44140625" customWidth="1"/>
    <col min="5099" max="5099" width="12.6640625" customWidth="1"/>
    <col min="5100" max="5100" width="13.5546875" customWidth="1"/>
    <col min="5101" max="5101" width="12.6640625" customWidth="1"/>
    <col min="5102" max="5105" width="9.6640625" customWidth="1"/>
    <col min="5106" max="5108" width="10.6640625" customWidth="1"/>
    <col min="5109" max="5115" width="7.33203125" customWidth="1"/>
    <col min="5116" max="5116" width="1.6640625" customWidth="1"/>
    <col min="5349" max="5349" width="11.88671875" customWidth="1"/>
    <col min="5350" max="5350" width="12" customWidth="1"/>
    <col min="5351" max="5351" width="8.33203125" customWidth="1"/>
    <col min="5352" max="5352" width="19.109375" customWidth="1"/>
    <col min="5353" max="5354" width="10.44140625" customWidth="1"/>
    <col min="5355" max="5355" width="12.6640625" customWidth="1"/>
    <col min="5356" max="5356" width="13.5546875" customWidth="1"/>
    <col min="5357" max="5357" width="12.6640625" customWidth="1"/>
    <col min="5358" max="5361" width="9.6640625" customWidth="1"/>
    <col min="5362" max="5364" width="10.6640625" customWidth="1"/>
    <col min="5365" max="5371" width="7.33203125" customWidth="1"/>
    <col min="5372" max="5372" width="1.6640625" customWidth="1"/>
    <col min="5605" max="5605" width="11.88671875" customWidth="1"/>
    <col min="5606" max="5606" width="12" customWidth="1"/>
    <col min="5607" max="5607" width="8.33203125" customWidth="1"/>
    <col min="5608" max="5608" width="19.109375" customWidth="1"/>
    <col min="5609" max="5610" width="10.44140625" customWidth="1"/>
    <col min="5611" max="5611" width="12.6640625" customWidth="1"/>
    <col min="5612" max="5612" width="13.5546875" customWidth="1"/>
    <col min="5613" max="5613" width="12.6640625" customWidth="1"/>
    <col min="5614" max="5617" width="9.6640625" customWidth="1"/>
    <col min="5618" max="5620" width="10.6640625" customWidth="1"/>
    <col min="5621" max="5627" width="7.33203125" customWidth="1"/>
    <col min="5628" max="5628" width="1.6640625" customWidth="1"/>
    <col min="5861" max="5861" width="11.88671875" customWidth="1"/>
    <col min="5862" max="5862" width="12" customWidth="1"/>
    <col min="5863" max="5863" width="8.33203125" customWidth="1"/>
    <col min="5864" max="5864" width="19.109375" customWidth="1"/>
    <col min="5865" max="5866" width="10.44140625" customWidth="1"/>
    <col min="5867" max="5867" width="12.6640625" customWidth="1"/>
    <col min="5868" max="5868" width="13.5546875" customWidth="1"/>
    <col min="5869" max="5869" width="12.6640625" customWidth="1"/>
    <col min="5870" max="5873" width="9.6640625" customWidth="1"/>
    <col min="5874" max="5876" width="10.6640625" customWidth="1"/>
    <col min="5877" max="5883" width="7.33203125" customWidth="1"/>
    <col min="5884" max="5884" width="1.6640625" customWidth="1"/>
    <col min="6117" max="6117" width="11.88671875" customWidth="1"/>
    <col min="6118" max="6118" width="12" customWidth="1"/>
    <col min="6119" max="6119" width="8.33203125" customWidth="1"/>
    <col min="6120" max="6120" width="19.109375" customWidth="1"/>
    <col min="6121" max="6122" width="10.44140625" customWidth="1"/>
    <col min="6123" max="6123" width="12.6640625" customWidth="1"/>
    <col min="6124" max="6124" width="13.5546875" customWidth="1"/>
    <col min="6125" max="6125" width="12.6640625" customWidth="1"/>
    <col min="6126" max="6129" width="9.6640625" customWidth="1"/>
    <col min="6130" max="6132" width="10.6640625" customWidth="1"/>
    <col min="6133" max="6139" width="7.33203125" customWidth="1"/>
    <col min="6140" max="6140" width="1.6640625" customWidth="1"/>
    <col min="6373" max="6373" width="11.88671875" customWidth="1"/>
    <col min="6374" max="6374" width="12" customWidth="1"/>
    <col min="6375" max="6375" width="8.33203125" customWidth="1"/>
    <col min="6376" max="6376" width="19.109375" customWidth="1"/>
    <col min="6377" max="6378" width="10.44140625" customWidth="1"/>
    <col min="6379" max="6379" width="12.6640625" customWidth="1"/>
    <col min="6380" max="6380" width="13.5546875" customWidth="1"/>
    <col min="6381" max="6381" width="12.6640625" customWidth="1"/>
    <col min="6382" max="6385" width="9.6640625" customWidth="1"/>
    <col min="6386" max="6388" width="10.6640625" customWidth="1"/>
    <col min="6389" max="6395" width="7.33203125" customWidth="1"/>
    <col min="6396" max="6396" width="1.6640625" customWidth="1"/>
    <col min="6629" max="6629" width="11.88671875" customWidth="1"/>
    <col min="6630" max="6630" width="12" customWidth="1"/>
    <col min="6631" max="6631" width="8.33203125" customWidth="1"/>
    <col min="6632" max="6632" width="19.109375" customWidth="1"/>
    <col min="6633" max="6634" width="10.44140625" customWidth="1"/>
    <col min="6635" max="6635" width="12.6640625" customWidth="1"/>
    <col min="6636" max="6636" width="13.5546875" customWidth="1"/>
    <col min="6637" max="6637" width="12.6640625" customWidth="1"/>
    <col min="6638" max="6641" width="9.6640625" customWidth="1"/>
    <col min="6642" max="6644" width="10.6640625" customWidth="1"/>
    <col min="6645" max="6651" width="7.33203125" customWidth="1"/>
    <col min="6652" max="6652" width="1.6640625" customWidth="1"/>
    <col min="6885" max="6885" width="11.88671875" customWidth="1"/>
    <col min="6886" max="6886" width="12" customWidth="1"/>
    <col min="6887" max="6887" width="8.33203125" customWidth="1"/>
    <col min="6888" max="6888" width="19.109375" customWidth="1"/>
    <col min="6889" max="6890" width="10.44140625" customWidth="1"/>
    <col min="6891" max="6891" width="12.6640625" customWidth="1"/>
    <col min="6892" max="6892" width="13.5546875" customWidth="1"/>
    <col min="6893" max="6893" width="12.6640625" customWidth="1"/>
    <col min="6894" max="6897" width="9.6640625" customWidth="1"/>
    <col min="6898" max="6900" width="10.6640625" customWidth="1"/>
    <col min="6901" max="6907" width="7.33203125" customWidth="1"/>
    <col min="6908" max="6908" width="1.6640625" customWidth="1"/>
    <col min="7141" max="7141" width="11.88671875" customWidth="1"/>
    <col min="7142" max="7142" width="12" customWidth="1"/>
    <col min="7143" max="7143" width="8.33203125" customWidth="1"/>
    <col min="7144" max="7144" width="19.109375" customWidth="1"/>
    <col min="7145" max="7146" width="10.44140625" customWidth="1"/>
    <col min="7147" max="7147" width="12.6640625" customWidth="1"/>
    <col min="7148" max="7148" width="13.5546875" customWidth="1"/>
    <col min="7149" max="7149" width="12.6640625" customWidth="1"/>
    <col min="7150" max="7153" width="9.6640625" customWidth="1"/>
    <col min="7154" max="7156" width="10.6640625" customWidth="1"/>
    <col min="7157" max="7163" width="7.33203125" customWidth="1"/>
    <col min="7164" max="7164" width="1.6640625" customWidth="1"/>
    <col min="7397" max="7397" width="11.88671875" customWidth="1"/>
    <col min="7398" max="7398" width="12" customWidth="1"/>
    <col min="7399" max="7399" width="8.33203125" customWidth="1"/>
    <col min="7400" max="7400" width="19.109375" customWidth="1"/>
    <col min="7401" max="7402" width="10.44140625" customWidth="1"/>
    <col min="7403" max="7403" width="12.6640625" customWidth="1"/>
    <col min="7404" max="7404" width="13.5546875" customWidth="1"/>
    <col min="7405" max="7405" width="12.6640625" customWidth="1"/>
    <col min="7406" max="7409" width="9.6640625" customWidth="1"/>
    <col min="7410" max="7412" width="10.6640625" customWidth="1"/>
    <col min="7413" max="7419" width="7.33203125" customWidth="1"/>
    <col min="7420" max="7420" width="1.6640625" customWidth="1"/>
    <col min="7653" max="7653" width="11.88671875" customWidth="1"/>
    <col min="7654" max="7654" width="12" customWidth="1"/>
    <col min="7655" max="7655" width="8.33203125" customWidth="1"/>
    <col min="7656" max="7656" width="19.109375" customWidth="1"/>
    <col min="7657" max="7658" width="10.44140625" customWidth="1"/>
    <col min="7659" max="7659" width="12.6640625" customWidth="1"/>
    <col min="7660" max="7660" width="13.5546875" customWidth="1"/>
    <col min="7661" max="7661" width="12.6640625" customWidth="1"/>
    <col min="7662" max="7665" width="9.6640625" customWidth="1"/>
    <col min="7666" max="7668" width="10.6640625" customWidth="1"/>
    <col min="7669" max="7675" width="7.33203125" customWidth="1"/>
    <col min="7676" max="7676" width="1.6640625" customWidth="1"/>
    <col min="7909" max="7909" width="11.88671875" customWidth="1"/>
    <col min="7910" max="7910" width="12" customWidth="1"/>
    <col min="7911" max="7911" width="8.33203125" customWidth="1"/>
    <col min="7912" max="7912" width="19.109375" customWidth="1"/>
    <col min="7913" max="7914" width="10.44140625" customWidth="1"/>
    <col min="7915" max="7915" width="12.6640625" customWidth="1"/>
    <col min="7916" max="7916" width="13.5546875" customWidth="1"/>
    <col min="7917" max="7917" width="12.6640625" customWidth="1"/>
    <col min="7918" max="7921" width="9.6640625" customWidth="1"/>
    <col min="7922" max="7924" width="10.6640625" customWidth="1"/>
    <col min="7925" max="7931" width="7.33203125" customWidth="1"/>
    <col min="7932" max="7932" width="1.6640625" customWidth="1"/>
    <col min="8165" max="8165" width="11.88671875" customWidth="1"/>
    <col min="8166" max="8166" width="12" customWidth="1"/>
    <col min="8167" max="8167" width="8.33203125" customWidth="1"/>
    <col min="8168" max="8168" width="19.109375" customWidth="1"/>
    <col min="8169" max="8170" width="10.44140625" customWidth="1"/>
    <col min="8171" max="8171" width="12.6640625" customWidth="1"/>
    <col min="8172" max="8172" width="13.5546875" customWidth="1"/>
    <col min="8173" max="8173" width="12.6640625" customWidth="1"/>
    <col min="8174" max="8177" width="9.6640625" customWidth="1"/>
    <col min="8178" max="8180" width="10.6640625" customWidth="1"/>
    <col min="8181" max="8187" width="7.33203125" customWidth="1"/>
    <col min="8188" max="8188" width="1.6640625" customWidth="1"/>
    <col min="8421" max="8421" width="11.88671875" customWidth="1"/>
    <col min="8422" max="8422" width="12" customWidth="1"/>
    <col min="8423" max="8423" width="8.33203125" customWidth="1"/>
    <col min="8424" max="8424" width="19.109375" customWidth="1"/>
    <col min="8425" max="8426" width="10.44140625" customWidth="1"/>
    <col min="8427" max="8427" width="12.6640625" customWidth="1"/>
    <col min="8428" max="8428" width="13.5546875" customWidth="1"/>
    <col min="8429" max="8429" width="12.6640625" customWidth="1"/>
    <col min="8430" max="8433" width="9.6640625" customWidth="1"/>
    <col min="8434" max="8436" width="10.6640625" customWidth="1"/>
    <col min="8437" max="8443" width="7.33203125" customWidth="1"/>
    <col min="8444" max="8444" width="1.6640625" customWidth="1"/>
    <col min="8677" max="8677" width="11.88671875" customWidth="1"/>
    <col min="8678" max="8678" width="12" customWidth="1"/>
    <col min="8679" max="8679" width="8.33203125" customWidth="1"/>
    <col min="8680" max="8680" width="19.109375" customWidth="1"/>
    <col min="8681" max="8682" width="10.44140625" customWidth="1"/>
    <col min="8683" max="8683" width="12.6640625" customWidth="1"/>
    <col min="8684" max="8684" width="13.5546875" customWidth="1"/>
    <col min="8685" max="8685" width="12.6640625" customWidth="1"/>
    <col min="8686" max="8689" width="9.6640625" customWidth="1"/>
    <col min="8690" max="8692" width="10.6640625" customWidth="1"/>
    <col min="8693" max="8699" width="7.33203125" customWidth="1"/>
    <col min="8700" max="8700" width="1.6640625" customWidth="1"/>
    <col min="8933" max="8933" width="11.88671875" customWidth="1"/>
    <col min="8934" max="8934" width="12" customWidth="1"/>
    <col min="8935" max="8935" width="8.33203125" customWidth="1"/>
    <col min="8936" max="8936" width="19.109375" customWidth="1"/>
    <col min="8937" max="8938" width="10.44140625" customWidth="1"/>
    <col min="8939" max="8939" width="12.6640625" customWidth="1"/>
    <col min="8940" max="8940" width="13.5546875" customWidth="1"/>
    <col min="8941" max="8941" width="12.6640625" customWidth="1"/>
    <col min="8942" max="8945" width="9.6640625" customWidth="1"/>
    <col min="8946" max="8948" width="10.6640625" customWidth="1"/>
    <col min="8949" max="8955" width="7.33203125" customWidth="1"/>
    <col min="8956" max="8956" width="1.6640625" customWidth="1"/>
    <col min="9189" max="9189" width="11.88671875" customWidth="1"/>
    <col min="9190" max="9190" width="12" customWidth="1"/>
    <col min="9191" max="9191" width="8.33203125" customWidth="1"/>
    <col min="9192" max="9192" width="19.109375" customWidth="1"/>
    <col min="9193" max="9194" width="10.44140625" customWidth="1"/>
    <col min="9195" max="9195" width="12.6640625" customWidth="1"/>
    <col min="9196" max="9196" width="13.5546875" customWidth="1"/>
    <col min="9197" max="9197" width="12.6640625" customWidth="1"/>
    <col min="9198" max="9201" width="9.6640625" customWidth="1"/>
    <col min="9202" max="9204" width="10.6640625" customWidth="1"/>
    <col min="9205" max="9211" width="7.33203125" customWidth="1"/>
    <col min="9212" max="9212" width="1.6640625" customWidth="1"/>
    <col min="9445" max="9445" width="11.88671875" customWidth="1"/>
    <col min="9446" max="9446" width="12" customWidth="1"/>
    <col min="9447" max="9447" width="8.33203125" customWidth="1"/>
    <col min="9448" max="9448" width="19.109375" customWidth="1"/>
    <col min="9449" max="9450" width="10.44140625" customWidth="1"/>
    <col min="9451" max="9451" width="12.6640625" customWidth="1"/>
    <col min="9452" max="9452" width="13.5546875" customWidth="1"/>
    <col min="9453" max="9453" width="12.6640625" customWidth="1"/>
    <col min="9454" max="9457" width="9.6640625" customWidth="1"/>
    <col min="9458" max="9460" width="10.6640625" customWidth="1"/>
    <col min="9461" max="9467" width="7.33203125" customWidth="1"/>
    <col min="9468" max="9468" width="1.6640625" customWidth="1"/>
    <col min="9701" max="9701" width="11.88671875" customWidth="1"/>
    <col min="9702" max="9702" width="12" customWidth="1"/>
    <col min="9703" max="9703" width="8.33203125" customWidth="1"/>
    <col min="9704" max="9704" width="19.109375" customWidth="1"/>
    <col min="9705" max="9706" width="10.44140625" customWidth="1"/>
    <col min="9707" max="9707" width="12.6640625" customWidth="1"/>
    <col min="9708" max="9708" width="13.5546875" customWidth="1"/>
    <col min="9709" max="9709" width="12.6640625" customWidth="1"/>
    <col min="9710" max="9713" width="9.6640625" customWidth="1"/>
    <col min="9714" max="9716" width="10.6640625" customWidth="1"/>
    <col min="9717" max="9723" width="7.33203125" customWidth="1"/>
    <col min="9724" max="9724" width="1.6640625" customWidth="1"/>
    <col min="9957" max="9957" width="11.88671875" customWidth="1"/>
    <col min="9958" max="9958" width="12" customWidth="1"/>
    <col min="9959" max="9959" width="8.33203125" customWidth="1"/>
    <col min="9960" max="9960" width="19.109375" customWidth="1"/>
    <col min="9961" max="9962" width="10.44140625" customWidth="1"/>
    <col min="9963" max="9963" width="12.6640625" customWidth="1"/>
    <col min="9964" max="9964" width="13.5546875" customWidth="1"/>
    <col min="9965" max="9965" width="12.6640625" customWidth="1"/>
    <col min="9966" max="9969" width="9.6640625" customWidth="1"/>
    <col min="9970" max="9972" width="10.6640625" customWidth="1"/>
    <col min="9973" max="9979" width="7.33203125" customWidth="1"/>
    <col min="9980" max="9980" width="1.6640625" customWidth="1"/>
    <col min="10213" max="10213" width="11.88671875" customWidth="1"/>
    <col min="10214" max="10214" width="12" customWidth="1"/>
    <col min="10215" max="10215" width="8.33203125" customWidth="1"/>
    <col min="10216" max="10216" width="19.109375" customWidth="1"/>
    <col min="10217" max="10218" width="10.44140625" customWidth="1"/>
    <col min="10219" max="10219" width="12.6640625" customWidth="1"/>
    <col min="10220" max="10220" width="13.5546875" customWidth="1"/>
    <col min="10221" max="10221" width="12.6640625" customWidth="1"/>
    <col min="10222" max="10225" width="9.6640625" customWidth="1"/>
    <col min="10226" max="10228" width="10.6640625" customWidth="1"/>
    <col min="10229" max="10235" width="7.33203125" customWidth="1"/>
    <col min="10236" max="10236" width="1.6640625" customWidth="1"/>
    <col min="10469" max="10469" width="11.88671875" customWidth="1"/>
    <col min="10470" max="10470" width="12" customWidth="1"/>
    <col min="10471" max="10471" width="8.33203125" customWidth="1"/>
    <col min="10472" max="10472" width="19.109375" customWidth="1"/>
    <col min="10473" max="10474" width="10.44140625" customWidth="1"/>
    <col min="10475" max="10475" width="12.6640625" customWidth="1"/>
    <col min="10476" max="10476" width="13.5546875" customWidth="1"/>
    <col min="10477" max="10477" width="12.6640625" customWidth="1"/>
    <col min="10478" max="10481" width="9.6640625" customWidth="1"/>
    <col min="10482" max="10484" width="10.6640625" customWidth="1"/>
    <col min="10485" max="10491" width="7.33203125" customWidth="1"/>
    <col min="10492" max="10492" width="1.6640625" customWidth="1"/>
    <col min="10725" max="10725" width="11.88671875" customWidth="1"/>
    <col min="10726" max="10726" width="12" customWidth="1"/>
    <col min="10727" max="10727" width="8.33203125" customWidth="1"/>
    <col min="10728" max="10728" width="19.109375" customWidth="1"/>
    <col min="10729" max="10730" width="10.44140625" customWidth="1"/>
    <col min="10731" max="10731" width="12.6640625" customWidth="1"/>
    <col min="10732" max="10732" width="13.5546875" customWidth="1"/>
    <col min="10733" max="10733" width="12.6640625" customWidth="1"/>
    <col min="10734" max="10737" width="9.6640625" customWidth="1"/>
    <col min="10738" max="10740" width="10.6640625" customWidth="1"/>
    <col min="10741" max="10747" width="7.33203125" customWidth="1"/>
    <col min="10748" max="10748" width="1.6640625" customWidth="1"/>
    <col min="10981" max="10981" width="11.88671875" customWidth="1"/>
    <col min="10982" max="10982" width="12" customWidth="1"/>
    <col min="10983" max="10983" width="8.33203125" customWidth="1"/>
    <col min="10984" max="10984" width="19.109375" customWidth="1"/>
    <col min="10985" max="10986" width="10.44140625" customWidth="1"/>
    <col min="10987" max="10987" width="12.6640625" customWidth="1"/>
    <col min="10988" max="10988" width="13.5546875" customWidth="1"/>
    <col min="10989" max="10989" width="12.6640625" customWidth="1"/>
    <col min="10990" max="10993" width="9.6640625" customWidth="1"/>
    <col min="10994" max="10996" width="10.6640625" customWidth="1"/>
    <col min="10997" max="11003" width="7.33203125" customWidth="1"/>
    <col min="11004" max="11004" width="1.6640625" customWidth="1"/>
    <col min="11237" max="11237" width="11.88671875" customWidth="1"/>
    <col min="11238" max="11238" width="12" customWidth="1"/>
    <col min="11239" max="11239" width="8.33203125" customWidth="1"/>
    <col min="11240" max="11240" width="19.109375" customWidth="1"/>
    <col min="11241" max="11242" width="10.44140625" customWidth="1"/>
    <col min="11243" max="11243" width="12.6640625" customWidth="1"/>
    <col min="11244" max="11244" width="13.5546875" customWidth="1"/>
    <col min="11245" max="11245" width="12.6640625" customWidth="1"/>
    <col min="11246" max="11249" width="9.6640625" customWidth="1"/>
    <col min="11250" max="11252" width="10.6640625" customWidth="1"/>
    <col min="11253" max="11259" width="7.33203125" customWidth="1"/>
    <col min="11260" max="11260" width="1.6640625" customWidth="1"/>
    <col min="11493" max="11493" width="11.88671875" customWidth="1"/>
    <col min="11494" max="11494" width="12" customWidth="1"/>
    <col min="11495" max="11495" width="8.33203125" customWidth="1"/>
    <col min="11496" max="11496" width="19.109375" customWidth="1"/>
    <col min="11497" max="11498" width="10.44140625" customWidth="1"/>
    <col min="11499" max="11499" width="12.6640625" customWidth="1"/>
    <col min="11500" max="11500" width="13.5546875" customWidth="1"/>
    <col min="11501" max="11501" width="12.6640625" customWidth="1"/>
    <col min="11502" max="11505" width="9.6640625" customWidth="1"/>
    <col min="11506" max="11508" width="10.6640625" customWidth="1"/>
    <col min="11509" max="11515" width="7.33203125" customWidth="1"/>
    <col min="11516" max="11516" width="1.6640625" customWidth="1"/>
    <col min="11749" max="11749" width="11.88671875" customWidth="1"/>
    <col min="11750" max="11750" width="12" customWidth="1"/>
    <col min="11751" max="11751" width="8.33203125" customWidth="1"/>
    <col min="11752" max="11752" width="19.109375" customWidth="1"/>
    <col min="11753" max="11754" width="10.44140625" customWidth="1"/>
    <col min="11755" max="11755" width="12.6640625" customWidth="1"/>
    <col min="11756" max="11756" width="13.5546875" customWidth="1"/>
    <col min="11757" max="11757" width="12.6640625" customWidth="1"/>
    <col min="11758" max="11761" width="9.6640625" customWidth="1"/>
    <col min="11762" max="11764" width="10.6640625" customWidth="1"/>
    <col min="11765" max="11771" width="7.33203125" customWidth="1"/>
    <col min="11772" max="11772" width="1.6640625" customWidth="1"/>
    <col min="12005" max="12005" width="11.88671875" customWidth="1"/>
    <col min="12006" max="12006" width="12" customWidth="1"/>
    <col min="12007" max="12007" width="8.33203125" customWidth="1"/>
    <col min="12008" max="12008" width="19.109375" customWidth="1"/>
    <col min="12009" max="12010" width="10.44140625" customWidth="1"/>
    <col min="12011" max="12011" width="12.6640625" customWidth="1"/>
    <col min="12012" max="12012" width="13.5546875" customWidth="1"/>
    <col min="12013" max="12013" width="12.6640625" customWidth="1"/>
    <col min="12014" max="12017" width="9.6640625" customWidth="1"/>
    <col min="12018" max="12020" width="10.6640625" customWidth="1"/>
    <col min="12021" max="12027" width="7.33203125" customWidth="1"/>
    <col min="12028" max="12028" width="1.6640625" customWidth="1"/>
    <col min="12261" max="12261" width="11.88671875" customWidth="1"/>
    <col min="12262" max="12262" width="12" customWidth="1"/>
    <col min="12263" max="12263" width="8.33203125" customWidth="1"/>
    <col min="12264" max="12264" width="19.109375" customWidth="1"/>
    <col min="12265" max="12266" width="10.44140625" customWidth="1"/>
    <col min="12267" max="12267" width="12.6640625" customWidth="1"/>
    <col min="12268" max="12268" width="13.5546875" customWidth="1"/>
    <col min="12269" max="12269" width="12.6640625" customWidth="1"/>
    <col min="12270" max="12273" width="9.6640625" customWidth="1"/>
    <col min="12274" max="12276" width="10.6640625" customWidth="1"/>
    <col min="12277" max="12283" width="7.33203125" customWidth="1"/>
    <col min="12284" max="12284" width="1.6640625" customWidth="1"/>
    <col min="12517" max="12517" width="11.88671875" customWidth="1"/>
    <col min="12518" max="12518" width="12" customWidth="1"/>
    <col min="12519" max="12519" width="8.33203125" customWidth="1"/>
    <col min="12520" max="12520" width="19.109375" customWidth="1"/>
    <col min="12521" max="12522" width="10.44140625" customWidth="1"/>
    <col min="12523" max="12523" width="12.6640625" customWidth="1"/>
    <col min="12524" max="12524" width="13.5546875" customWidth="1"/>
    <col min="12525" max="12525" width="12.6640625" customWidth="1"/>
    <col min="12526" max="12529" width="9.6640625" customWidth="1"/>
    <col min="12530" max="12532" width="10.6640625" customWidth="1"/>
    <col min="12533" max="12539" width="7.33203125" customWidth="1"/>
    <col min="12540" max="12540" width="1.6640625" customWidth="1"/>
    <col min="12773" max="12773" width="11.88671875" customWidth="1"/>
    <col min="12774" max="12774" width="12" customWidth="1"/>
    <col min="12775" max="12775" width="8.33203125" customWidth="1"/>
    <col min="12776" max="12776" width="19.109375" customWidth="1"/>
    <col min="12777" max="12778" width="10.44140625" customWidth="1"/>
    <col min="12779" max="12779" width="12.6640625" customWidth="1"/>
    <col min="12780" max="12780" width="13.5546875" customWidth="1"/>
    <col min="12781" max="12781" width="12.6640625" customWidth="1"/>
    <col min="12782" max="12785" width="9.6640625" customWidth="1"/>
    <col min="12786" max="12788" width="10.6640625" customWidth="1"/>
    <col min="12789" max="12795" width="7.33203125" customWidth="1"/>
    <col min="12796" max="12796" width="1.6640625" customWidth="1"/>
    <col min="13029" max="13029" width="11.88671875" customWidth="1"/>
    <col min="13030" max="13030" width="12" customWidth="1"/>
    <col min="13031" max="13031" width="8.33203125" customWidth="1"/>
    <col min="13032" max="13032" width="19.109375" customWidth="1"/>
    <col min="13033" max="13034" width="10.44140625" customWidth="1"/>
    <col min="13035" max="13035" width="12.6640625" customWidth="1"/>
    <col min="13036" max="13036" width="13.5546875" customWidth="1"/>
    <col min="13037" max="13037" width="12.6640625" customWidth="1"/>
    <col min="13038" max="13041" width="9.6640625" customWidth="1"/>
    <col min="13042" max="13044" width="10.6640625" customWidth="1"/>
    <col min="13045" max="13051" width="7.33203125" customWidth="1"/>
    <col min="13052" max="13052" width="1.6640625" customWidth="1"/>
    <col min="13285" max="13285" width="11.88671875" customWidth="1"/>
    <col min="13286" max="13286" width="12" customWidth="1"/>
    <col min="13287" max="13287" width="8.33203125" customWidth="1"/>
    <col min="13288" max="13288" width="19.109375" customWidth="1"/>
    <col min="13289" max="13290" width="10.44140625" customWidth="1"/>
    <col min="13291" max="13291" width="12.6640625" customWidth="1"/>
    <col min="13292" max="13292" width="13.5546875" customWidth="1"/>
    <col min="13293" max="13293" width="12.6640625" customWidth="1"/>
    <col min="13294" max="13297" width="9.6640625" customWidth="1"/>
    <col min="13298" max="13300" width="10.6640625" customWidth="1"/>
    <col min="13301" max="13307" width="7.33203125" customWidth="1"/>
    <col min="13308" max="13308" width="1.6640625" customWidth="1"/>
    <col min="13541" max="13541" width="11.88671875" customWidth="1"/>
    <col min="13542" max="13542" width="12" customWidth="1"/>
    <col min="13543" max="13543" width="8.33203125" customWidth="1"/>
    <col min="13544" max="13544" width="19.109375" customWidth="1"/>
    <col min="13545" max="13546" width="10.44140625" customWidth="1"/>
    <col min="13547" max="13547" width="12.6640625" customWidth="1"/>
    <col min="13548" max="13548" width="13.5546875" customWidth="1"/>
    <col min="13549" max="13549" width="12.6640625" customWidth="1"/>
    <col min="13550" max="13553" width="9.6640625" customWidth="1"/>
    <col min="13554" max="13556" width="10.6640625" customWidth="1"/>
    <col min="13557" max="13563" width="7.33203125" customWidth="1"/>
    <col min="13564" max="13564" width="1.6640625" customWidth="1"/>
    <col min="13797" max="13797" width="11.88671875" customWidth="1"/>
    <col min="13798" max="13798" width="12" customWidth="1"/>
    <col min="13799" max="13799" width="8.33203125" customWidth="1"/>
    <col min="13800" max="13800" width="19.109375" customWidth="1"/>
    <col min="13801" max="13802" width="10.44140625" customWidth="1"/>
    <col min="13803" max="13803" width="12.6640625" customWidth="1"/>
    <col min="13804" max="13804" width="13.5546875" customWidth="1"/>
    <col min="13805" max="13805" width="12.6640625" customWidth="1"/>
    <col min="13806" max="13809" width="9.6640625" customWidth="1"/>
    <col min="13810" max="13812" width="10.6640625" customWidth="1"/>
    <col min="13813" max="13819" width="7.33203125" customWidth="1"/>
    <col min="13820" max="13820" width="1.6640625" customWidth="1"/>
    <col min="14053" max="14053" width="11.88671875" customWidth="1"/>
    <col min="14054" max="14054" width="12" customWidth="1"/>
    <col min="14055" max="14055" width="8.33203125" customWidth="1"/>
    <col min="14056" max="14056" width="19.109375" customWidth="1"/>
    <col min="14057" max="14058" width="10.44140625" customWidth="1"/>
    <col min="14059" max="14059" width="12.6640625" customWidth="1"/>
    <col min="14060" max="14060" width="13.5546875" customWidth="1"/>
    <col min="14061" max="14061" width="12.6640625" customWidth="1"/>
    <col min="14062" max="14065" width="9.6640625" customWidth="1"/>
    <col min="14066" max="14068" width="10.6640625" customWidth="1"/>
    <col min="14069" max="14075" width="7.33203125" customWidth="1"/>
    <col min="14076" max="14076" width="1.6640625" customWidth="1"/>
    <col min="14309" max="14309" width="11.88671875" customWidth="1"/>
    <col min="14310" max="14310" width="12" customWidth="1"/>
    <col min="14311" max="14311" width="8.33203125" customWidth="1"/>
    <col min="14312" max="14312" width="19.109375" customWidth="1"/>
    <col min="14313" max="14314" width="10.44140625" customWidth="1"/>
    <col min="14315" max="14315" width="12.6640625" customWidth="1"/>
    <col min="14316" max="14316" width="13.5546875" customWidth="1"/>
    <col min="14317" max="14317" width="12.6640625" customWidth="1"/>
    <col min="14318" max="14321" width="9.6640625" customWidth="1"/>
    <col min="14322" max="14324" width="10.6640625" customWidth="1"/>
    <col min="14325" max="14331" width="7.33203125" customWidth="1"/>
    <col min="14332" max="14332" width="1.6640625" customWidth="1"/>
    <col min="14565" max="14565" width="11.88671875" customWidth="1"/>
    <col min="14566" max="14566" width="12" customWidth="1"/>
    <col min="14567" max="14567" width="8.33203125" customWidth="1"/>
    <col min="14568" max="14568" width="19.109375" customWidth="1"/>
    <col min="14569" max="14570" width="10.44140625" customWidth="1"/>
    <col min="14571" max="14571" width="12.6640625" customWidth="1"/>
    <col min="14572" max="14572" width="13.5546875" customWidth="1"/>
    <col min="14573" max="14573" width="12.6640625" customWidth="1"/>
    <col min="14574" max="14577" width="9.6640625" customWidth="1"/>
    <col min="14578" max="14580" width="10.6640625" customWidth="1"/>
    <col min="14581" max="14587" width="7.33203125" customWidth="1"/>
    <col min="14588" max="14588" width="1.6640625" customWidth="1"/>
    <col min="14821" max="14821" width="11.88671875" customWidth="1"/>
    <col min="14822" max="14822" width="12" customWidth="1"/>
    <col min="14823" max="14823" width="8.33203125" customWidth="1"/>
    <col min="14824" max="14824" width="19.109375" customWidth="1"/>
    <col min="14825" max="14826" width="10.44140625" customWidth="1"/>
    <col min="14827" max="14827" width="12.6640625" customWidth="1"/>
    <col min="14828" max="14828" width="13.5546875" customWidth="1"/>
    <col min="14829" max="14829" width="12.6640625" customWidth="1"/>
    <col min="14830" max="14833" width="9.6640625" customWidth="1"/>
    <col min="14834" max="14836" width="10.6640625" customWidth="1"/>
    <col min="14837" max="14843" width="7.33203125" customWidth="1"/>
    <col min="14844" max="14844" width="1.6640625" customWidth="1"/>
    <col min="15077" max="15077" width="11.88671875" customWidth="1"/>
    <col min="15078" max="15078" width="12" customWidth="1"/>
    <col min="15079" max="15079" width="8.33203125" customWidth="1"/>
    <col min="15080" max="15080" width="19.109375" customWidth="1"/>
    <col min="15081" max="15082" width="10.44140625" customWidth="1"/>
    <col min="15083" max="15083" width="12.6640625" customWidth="1"/>
    <col min="15084" max="15084" width="13.5546875" customWidth="1"/>
    <col min="15085" max="15085" width="12.6640625" customWidth="1"/>
    <col min="15086" max="15089" width="9.6640625" customWidth="1"/>
    <col min="15090" max="15092" width="10.6640625" customWidth="1"/>
    <col min="15093" max="15099" width="7.33203125" customWidth="1"/>
    <col min="15100" max="15100" width="1.6640625" customWidth="1"/>
    <col min="15333" max="15333" width="11.88671875" customWidth="1"/>
    <col min="15334" max="15334" width="12" customWidth="1"/>
    <col min="15335" max="15335" width="8.33203125" customWidth="1"/>
    <col min="15336" max="15336" width="19.109375" customWidth="1"/>
    <col min="15337" max="15338" width="10.44140625" customWidth="1"/>
    <col min="15339" max="15339" width="12.6640625" customWidth="1"/>
    <col min="15340" max="15340" width="13.5546875" customWidth="1"/>
    <col min="15341" max="15341" width="12.6640625" customWidth="1"/>
    <col min="15342" max="15345" width="9.6640625" customWidth="1"/>
    <col min="15346" max="15348" width="10.6640625" customWidth="1"/>
    <col min="15349" max="15355" width="7.33203125" customWidth="1"/>
    <col min="15356" max="15356" width="1.6640625" customWidth="1"/>
    <col min="15589" max="15589" width="11.88671875" customWidth="1"/>
    <col min="15590" max="15590" width="12" customWidth="1"/>
    <col min="15591" max="15591" width="8.33203125" customWidth="1"/>
    <col min="15592" max="15592" width="19.109375" customWidth="1"/>
    <col min="15593" max="15594" width="10.44140625" customWidth="1"/>
    <col min="15595" max="15595" width="12.6640625" customWidth="1"/>
    <col min="15596" max="15596" width="13.5546875" customWidth="1"/>
    <col min="15597" max="15597" width="12.6640625" customWidth="1"/>
    <col min="15598" max="15601" width="9.6640625" customWidth="1"/>
    <col min="15602" max="15604" width="10.6640625" customWidth="1"/>
    <col min="15605" max="15611" width="7.33203125" customWidth="1"/>
    <col min="15612" max="15612" width="1.6640625" customWidth="1"/>
    <col min="15845" max="15845" width="11.88671875" customWidth="1"/>
    <col min="15846" max="15846" width="12" customWidth="1"/>
    <col min="15847" max="15847" width="8.33203125" customWidth="1"/>
    <col min="15848" max="15848" width="19.109375" customWidth="1"/>
    <col min="15849" max="15850" width="10.44140625" customWidth="1"/>
    <col min="15851" max="15851" width="12.6640625" customWidth="1"/>
    <col min="15852" max="15852" width="13.5546875" customWidth="1"/>
    <col min="15853" max="15853" width="12.6640625" customWidth="1"/>
    <col min="15854" max="15857" width="9.6640625" customWidth="1"/>
    <col min="15858" max="15860" width="10.6640625" customWidth="1"/>
    <col min="15861" max="15867" width="7.33203125" customWidth="1"/>
    <col min="15868" max="15868" width="1.6640625" customWidth="1"/>
    <col min="16101" max="16101" width="11.88671875" customWidth="1"/>
    <col min="16102" max="16102" width="12" customWidth="1"/>
    <col min="16103" max="16103" width="8.33203125" customWidth="1"/>
    <col min="16104" max="16104" width="19.109375" customWidth="1"/>
    <col min="16105" max="16106" width="10.44140625" customWidth="1"/>
    <col min="16107" max="16107" width="12.6640625" customWidth="1"/>
    <col min="16108" max="16108" width="13.5546875" customWidth="1"/>
    <col min="16109" max="16109" width="12.6640625" customWidth="1"/>
    <col min="16110" max="16113" width="9.6640625" customWidth="1"/>
    <col min="16114" max="16116" width="10.6640625" customWidth="1"/>
    <col min="16117" max="16123" width="7.33203125" customWidth="1"/>
    <col min="16124" max="16124" width="1.6640625" customWidth="1"/>
  </cols>
  <sheetData>
    <row r="1" spans="1:126" ht="64.5" customHeight="1" thickBot="1" x14ac:dyDescent="0.35">
      <c r="A1" s="140" t="s">
        <v>387</v>
      </c>
      <c r="B1" s="140"/>
      <c r="C1" s="140"/>
      <c r="D1" s="140"/>
      <c r="E1" s="140"/>
      <c r="F1" s="140"/>
      <c r="G1" s="140"/>
      <c r="H1" s="140"/>
      <c r="I1" s="140"/>
      <c r="J1" s="140"/>
      <c r="AQ1" s="131"/>
      <c r="AR1" s="131"/>
      <c r="AS1" s="131"/>
      <c r="AT1" s="131"/>
      <c r="AU1" s="131"/>
      <c r="AV1" s="131"/>
      <c r="AW1" s="131"/>
      <c r="BB1" s="169" t="s">
        <v>0</v>
      </c>
      <c r="BC1" s="170"/>
      <c r="BD1" s="170"/>
      <c r="BE1" s="171"/>
      <c r="BF1" s="166" t="s">
        <v>1</v>
      </c>
      <c r="BG1" s="167"/>
      <c r="BH1" s="167"/>
      <c r="BI1" s="167"/>
      <c r="BJ1" s="168"/>
      <c r="BK1" s="166" t="s">
        <v>2</v>
      </c>
      <c r="BL1" s="167"/>
      <c r="BM1" s="167"/>
      <c r="BN1" s="167"/>
      <c r="BO1" s="168"/>
      <c r="BP1" s="166" t="s">
        <v>3</v>
      </c>
      <c r="BQ1" s="167"/>
      <c r="BR1" s="167"/>
      <c r="BS1" s="167"/>
      <c r="BT1" s="168"/>
      <c r="BU1" s="169" t="s">
        <v>4</v>
      </c>
      <c r="BV1" s="170"/>
      <c r="BW1" s="170"/>
      <c r="BX1" s="170"/>
      <c r="BY1" s="171"/>
      <c r="BZ1" s="166" t="s">
        <v>5</v>
      </c>
      <c r="CA1" s="167"/>
      <c r="CB1" s="167"/>
      <c r="CC1" s="167"/>
      <c r="CD1" s="168"/>
      <c r="CE1" s="166" t="s">
        <v>6</v>
      </c>
      <c r="CF1" s="167"/>
      <c r="CG1" s="167"/>
      <c r="CH1" s="167"/>
      <c r="CI1" s="166" t="s">
        <v>7</v>
      </c>
      <c r="CJ1" s="167"/>
      <c r="CK1" s="167"/>
      <c r="CL1" s="167"/>
      <c r="CM1" s="166" t="s">
        <v>8</v>
      </c>
      <c r="CN1" s="167"/>
      <c r="CO1" s="167"/>
      <c r="CP1" s="167"/>
      <c r="CQ1" s="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</row>
    <row r="2" spans="1:126" ht="131.25" customHeight="1" thickBot="1" x14ac:dyDescent="0.35">
      <c r="A2" s="172" t="s">
        <v>9</v>
      </c>
      <c r="B2" s="175" t="s">
        <v>10</v>
      </c>
      <c r="C2" s="178" t="s">
        <v>11</v>
      </c>
      <c r="D2" s="181" t="s">
        <v>12</v>
      </c>
      <c r="E2" s="181" t="s">
        <v>13</v>
      </c>
      <c r="F2" s="208" t="s">
        <v>14</v>
      </c>
      <c r="G2" s="187" t="s">
        <v>15</v>
      </c>
      <c r="H2" s="190" t="s">
        <v>16</v>
      </c>
      <c r="I2" s="193" t="s">
        <v>17</v>
      </c>
      <c r="J2" s="196" t="s">
        <v>18</v>
      </c>
      <c r="K2" s="184" t="s">
        <v>19</v>
      </c>
      <c r="L2" s="142" t="s">
        <v>20</v>
      </c>
      <c r="M2" s="142" t="s">
        <v>439</v>
      </c>
      <c r="N2" s="211" t="s">
        <v>21</v>
      </c>
      <c r="O2" s="151" t="s">
        <v>22</v>
      </c>
      <c r="P2" s="154" t="s">
        <v>24</v>
      </c>
      <c r="Q2" s="214" t="s">
        <v>25</v>
      </c>
      <c r="R2" s="154" t="s">
        <v>483</v>
      </c>
      <c r="S2" s="154" t="s">
        <v>26</v>
      </c>
      <c r="T2" s="124" t="s">
        <v>458</v>
      </c>
      <c r="U2" s="154" t="s">
        <v>27</v>
      </c>
      <c r="V2" s="151" t="s">
        <v>28</v>
      </c>
      <c r="W2" s="151" t="s">
        <v>29</v>
      </c>
      <c r="X2" s="148" t="s">
        <v>393</v>
      </c>
      <c r="Y2" s="148" t="s">
        <v>392</v>
      </c>
      <c r="Z2" s="151" t="s">
        <v>30</v>
      </c>
      <c r="AA2" s="121" t="s">
        <v>459</v>
      </c>
      <c r="AB2" s="151" t="s">
        <v>31</v>
      </c>
      <c r="AC2" s="151" t="s">
        <v>32</v>
      </c>
      <c r="AD2" s="151" t="s">
        <v>33</v>
      </c>
      <c r="AE2" s="148" t="s">
        <v>506</v>
      </c>
      <c r="AF2" s="148" t="s">
        <v>34</v>
      </c>
      <c r="AG2" s="145" t="s">
        <v>163</v>
      </c>
      <c r="AH2" s="145" t="s">
        <v>164</v>
      </c>
      <c r="AI2" s="145" t="s">
        <v>165</v>
      </c>
      <c r="AJ2" s="145" t="s">
        <v>166</v>
      </c>
      <c r="AK2" s="151" t="s">
        <v>460</v>
      </c>
      <c r="AL2" s="151" t="s">
        <v>461</v>
      </c>
      <c r="AM2" s="151" t="s">
        <v>344</v>
      </c>
      <c r="AN2" s="151" t="s">
        <v>462</v>
      </c>
      <c r="AO2" s="157" t="s">
        <v>463</v>
      </c>
      <c r="AP2" s="145" t="s">
        <v>167</v>
      </c>
      <c r="AQ2" s="128" t="s">
        <v>464</v>
      </c>
      <c r="AR2" s="128" t="s">
        <v>465</v>
      </c>
      <c r="AS2" s="128" t="s">
        <v>466</v>
      </c>
      <c r="AT2" s="128" t="s">
        <v>467</v>
      </c>
      <c r="AU2" s="128" t="s">
        <v>469</v>
      </c>
      <c r="AV2" s="128" t="s">
        <v>470</v>
      </c>
      <c r="AW2" s="128" t="s">
        <v>468</v>
      </c>
      <c r="AX2" s="160" t="s">
        <v>35</v>
      </c>
      <c r="AY2" s="160" t="s">
        <v>505</v>
      </c>
      <c r="AZ2" s="163" t="s">
        <v>478</v>
      </c>
      <c r="BA2" s="160" t="s">
        <v>504</v>
      </c>
      <c r="BB2" s="199" t="s">
        <v>36</v>
      </c>
      <c r="BC2" s="202" t="s">
        <v>37</v>
      </c>
      <c r="BD2" s="202" t="s">
        <v>38</v>
      </c>
      <c r="BE2" s="205" t="s">
        <v>39</v>
      </c>
      <c r="BF2" s="199" t="s">
        <v>40</v>
      </c>
      <c r="BG2" s="202" t="s">
        <v>41</v>
      </c>
      <c r="BH2" s="202" t="s">
        <v>37</v>
      </c>
      <c r="BI2" s="202" t="s">
        <v>38</v>
      </c>
      <c r="BJ2" s="205" t="s">
        <v>39</v>
      </c>
      <c r="BK2" s="199" t="s">
        <v>40</v>
      </c>
      <c r="BL2" s="202" t="s">
        <v>41</v>
      </c>
      <c r="BM2" s="202" t="s">
        <v>37</v>
      </c>
      <c r="BN2" s="202" t="s">
        <v>38</v>
      </c>
      <c r="BO2" s="205" t="s">
        <v>39</v>
      </c>
      <c r="BP2" s="199" t="s">
        <v>40</v>
      </c>
      <c r="BQ2" s="202" t="s">
        <v>41</v>
      </c>
      <c r="BR2" s="202" t="s">
        <v>37</v>
      </c>
      <c r="BS2" s="202" t="s">
        <v>38</v>
      </c>
      <c r="BT2" s="205" t="s">
        <v>39</v>
      </c>
      <c r="BU2" s="199" t="s">
        <v>40</v>
      </c>
      <c r="BV2" s="202" t="s">
        <v>41</v>
      </c>
      <c r="BW2" s="202" t="s">
        <v>37</v>
      </c>
      <c r="BX2" s="202" t="s">
        <v>38</v>
      </c>
      <c r="BY2" s="205" t="s">
        <v>39</v>
      </c>
      <c r="BZ2" s="199" t="s">
        <v>40</v>
      </c>
      <c r="CA2" s="202" t="s">
        <v>41</v>
      </c>
      <c r="CB2" s="202" t="s">
        <v>37</v>
      </c>
      <c r="CC2" s="202" t="s">
        <v>38</v>
      </c>
      <c r="CD2" s="205" t="s">
        <v>39</v>
      </c>
      <c r="CE2" s="199" t="s">
        <v>36</v>
      </c>
      <c r="CF2" s="202" t="s">
        <v>37</v>
      </c>
      <c r="CG2" s="202" t="s">
        <v>38</v>
      </c>
      <c r="CH2" s="202" t="s">
        <v>39</v>
      </c>
      <c r="CI2" s="199" t="s">
        <v>36</v>
      </c>
      <c r="CJ2" s="202" t="s">
        <v>37</v>
      </c>
      <c r="CK2" s="202" t="s">
        <v>38</v>
      </c>
      <c r="CL2" s="202" t="s">
        <v>39</v>
      </c>
      <c r="CM2" s="199" t="s">
        <v>36</v>
      </c>
      <c r="CN2" s="202" t="s">
        <v>37</v>
      </c>
      <c r="CO2" s="202" t="s">
        <v>38</v>
      </c>
      <c r="CP2" s="202" t="s">
        <v>39</v>
      </c>
      <c r="CQ2" s="4"/>
      <c r="CR2" s="23"/>
      <c r="CS2" s="23"/>
      <c r="CT2" s="23"/>
      <c r="CU2" s="23"/>
      <c r="CV2" s="23"/>
      <c r="CW2" s="23"/>
      <c r="CX2" s="23"/>
      <c r="CY2" s="23"/>
      <c r="CZ2" s="23"/>
      <c r="DA2" s="23"/>
      <c r="DB2" s="23"/>
      <c r="DC2" s="23"/>
      <c r="DD2" s="23"/>
      <c r="DE2" s="23"/>
      <c r="DF2" s="23"/>
      <c r="DG2" s="23"/>
      <c r="DH2" s="23"/>
      <c r="DI2" s="23"/>
      <c r="DJ2" s="23"/>
      <c r="DK2" s="23"/>
      <c r="DL2" s="23"/>
      <c r="DM2" s="23"/>
      <c r="DN2" s="23"/>
      <c r="DO2" s="23"/>
      <c r="DP2" s="23"/>
      <c r="DQ2" s="23"/>
      <c r="DR2" s="23"/>
      <c r="DS2" s="23"/>
      <c r="DT2" s="23"/>
      <c r="DU2" s="23"/>
      <c r="DV2" s="23"/>
    </row>
    <row r="3" spans="1:126" ht="24.75" customHeight="1" x14ac:dyDescent="0.3">
      <c r="A3" s="173"/>
      <c r="B3" s="176"/>
      <c r="C3" s="179"/>
      <c r="D3" s="182"/>
      <c r="E3" s="182"/>
      <c r="F3" s="209"/>
      <c r="G3" s="188"/>
      <c r="H3" s="191"/>
      <c r="I3" s="194"/>
      <c r="J3" s="197"/>
      <c r="K3" s="185"/>
      <c r="L3" s="143"/>
      <c r="M3" s="143"/>
      <c r="N3" s="212"/>
      <c r="O3" s="152"/>
      <c r="P3" s="155"/>
      <c r="Q3" s="215"/>
      <c r="R3" s="155"/>
      <c r="S3" s="155"/>
      <c r="T3" s="125"/>
      <c r="U3" s="155"/>
      <c r="V3" s="152"/>
      <c r="W3" s="152"/>
      <c r="X3" s="149"/>
      <c r="Y3" s="149"/>
      <c r="Z3" s="152"/>
      <c r="AA3" s="122"/>
      <c r="AB3" s="152"/>
      <c r="AC3" s="152"/>
      <c r="AD3" s="152"/>
      <c r="AE3" s="149"/>
      <c r="AF3" s="149"/>
      <c r="AG3" s="146"/>
      <c r="AH3" s="146"/>
      <c r="AI3" s="146"/>
      <c r="AJ3" s="146"/>
      <c r="AK3" s="152"/>
      <c r="AL3" s="152"/>
      <c r="AM3" s="152"/>
      <c r="AN3" s="152"/>
      <c r="AO3" s="158"/>
      <c r="AP3" s="146"/>
      <c r="AQ3" s="129"/>
      <c r="AR3" s="129"/>
      <c r="AS3" s="129"/>
      <c r="AT3" s="129"/>
      <c r="AU3" s="129"/>
      <c r="AV3" s="129"/>
      <c r="AW3" s="129"/>
      <c r="AX3" s="161"/>
      <c r="AY3" s="161"/>
      <c r="AZ3" s="164"/>
      <c r="BA3" s="161"/>
      <c r="BB3" s="200"/>
      <c r="BC3" s="203"/>
      <c r="BD3" s="203"/>
      <c r="BE3" s="206"/>
      <c r="BF3" s="200"/>
      <c r="BG3" s="203"/>
      <c r="BH3" s="203"/>
      <c r="BI3" s="203"/>
      <c r="BJ3" s="206"/>
      <c r="BK3" s="200"/>
      <c r="BL3" s="203"/>
      <c r="BM3" s="203"/>
      <c r="BN3" s="203"/>
      <c r="BO3" s="206"/>
      <c r="BP3" s="200"/>
      <c r="BQ3" s="203"/>
      <c r="BR3" s="203"/>
      <c r="BS3" s="203"/>
      <c r="BT3" s="206"/>
      <c r="BU3" s="200"/>
      <c r="BV3" s="203"/>
      <c r="BW3" s="203"/>
      <c r="BX3" s="203"/>
      <c r="BY3" s="206"/>
      <c r="BZ3" s="200"/>
      <c r="CA3" s="203"/>
      <c r="CB3" s="203"/>
      <c r="CC3" s="203"/>
      <c r="CD3" s="206"/>
      <c r="CE3" s="200"/>
      <c r="CF3" s="203"/>
      <c r="CG3" s="203"/>
      <c r="CH3" s="203"/>
      <c r="CI3" s="200"/>
      <c r="CJ3" s="203"/>
      <c r="CK3" s="203"/>
      <c r="CL3" s="203"/>
      <c r="CM3" s="200"/>
      <c r="CN3" s="203"/>
      <c r="CO3" s="203"/>
      <c r="CP3" s="203"/>
      <c r="CQ3" s="49"/>
    </row>
    <row r="4" spans="1:126" ht="13.5" customHeight="1" thickBot="1" x14ac:dyDescent="0.35">
      <c r="A4" s="174"/>
      <c r="B4" s="177"/>
      <c r="C4" s="180"/>
      <c r="D4" s="183"/>
      <c r="E4" s="183"/>
      <c r="F4" s="210"/>
      <c r="G4" s="189"/>
      <c r="H4" s="192"/>
      <c r="I4" s="195"/>
      <c r="J4" s="198"/>
      <c r="K4" s="186"/>
      <c r="L4" s="144"/>
      <c r="M4" s="144"/>
      <c r="N4" s="213"/>
      <c r="O4" s="153"/>
      <c r="P4" s="156"/>
      <c r="Q4" s="216"/>
      <c r="R4" s="156"/>
      <c r="S4" s="156"/>
      <c r="T4" s="126"/>
      <c r="U4" s="156"/>
      <c r="V4" s="153"/>
      <c r="W4" s="153"/>
      <c r="X4" s="150"/>
      <c r="Y4" s="150"/>
      <c r="Z4" s="153"/>
      <c r="AA4" s="123"/>
      <c r="AB4" s="153"/>
      <c r="AC4" s="153"/>
      <c r="AD4" s="153"/>
      <c r="AE4" s="150"/>
      <c r="AF4" s="150"/>
      <c r="AG4" s="147"/>
      <c r="AH4" s="147"/>
      <c r="AI4" s="147"/>
      <c r="AJ4" s="147"/>
      <c r="AK4" s="153"/>
      <c r="AL4" s="153"/>
      <c r="AM4" s="153"/>
      <c r="AN4" s="153"/>
      <c r="AO4" s="159"/>
      <c r="AP4" s="147"/>
      <c r="AQ4" s="130"/>
      <c r="AR4" s="130"/>
      <c r="AS4" s="130"/>
      <c r="AT4" s="130"/>
      <c r="AU4" s="130"/>
      <c r="AV4" s="130"/>
      <c r="AW4" s="130"/>
      <c r="AX4" s="162"/>
      <c r="AY4" s="162"/>
      <c r="AZ4" s="165"/>
      <c r="BA4" s="162"/>
      <c r="BB4" s="201"/>
      <c r="BC4" s="204"/>
      <c r="BD4" s="204"/>
      <c r="BE4" s="207"/>
      <c r="BF4" s="201"/>
      <c r="BG4" s="204"/>
      <c r="BH4" s="204"/>
      <c r="BI4" s="204"/>
      <c r="BJ4" s="207"/>
      <c r="BK4" s="201"/>
      <c r="BL4" s="204"/>
      <c r="BM4" s="204"/>
      <c r="BN4" s="204"/>
      <c r="BO4" s="207"/>
      <c r="BP4" s="201"/>
      <c r="BQ4" s="204"/>
      <c r="BR4" s="204"/>
      <c r="BS4" s="204"/>
      <c r="BT4" s="207"/>
      <c r="BU4" s="201"/>
      <c r="BV4" s="204"/>
      <c r="BW4" s="204"/>
      <c r="BX4" s="204"/>
      <c r="BY4" s="207"/>
      <c r="BZ4" s="201"/>
      <c r="CA4" s="204"/>
      <c r="CB4" s="204"/>
      <c r="CC4" s="204"/>
      <c r="CD4" s="207"/>
      <c r="CE4" s="201"/>
      <c r="CF4" s="204"/>
      <c r="CG4" s="204"/>
      <c r="CH4" s="204"/>
      <c r="CI4" s="201"/>
      <c r="CJ4" s="204"/>
      <c r="CK4" s="204"/>
      <c r="CL4" s="204"/>
      <c r="CM4" s="201"/>
      <c r="CN4" s="204"/>
      <c r="CO4" s="204"/>
      <c r="CP4" s="204"/>
      <c r="CQ4" s="49"/>
    </row>
    <row r="5" spans="1:126" s="7" customFormat="1" ht="15" customHeight="1" x14ac:dyDescent="0.3">
      <c r="A5" s="111">
        <v>80</v>
      </c>
      <c r="B5" s="105" t="s">
        <v>43</v>
      </c>
      <c r="C5" s="10">
        <v>7096688</v>
      </c>
      <c r="D5" s="10" t="s">
        <v>203</v>
      </c>
      <c r="E5" s="11" t="s">
        <v>204</v>
      </c>
      <c r="F5" s="141">
        <v>1</v>
      </c>
      <c r="G5" s="19">
        <v>0</v>
      </c>
      <c r="H5" s="8">
        <v>0</v>
      </c>
      <c r="I5" s="20">
        <v>0</v>
      </c>
      <c r="J5" s="22">
        <v>0</v>
      </c>
      <c r="K5" s="21">
        <v>0</v>
      </c>
      <c r="L5" s="21">
        <v>0</v>
      </c>
      <c r="M5" s="21">
        <v>0</v>
      </c>
      <c r="N5" s="21">
        <v>1</v>
      </c>
      <c r="O5" s="21">
        <v>1</v>
      </c>
      <c r="P5" s="133">
        <v>1</v>
      </c>
      <c r="Q5" s="133">
        <v>1</v>
      </c>
      <c r="R5" s="133">
        <v>0</v>
      </c>
      <c r="S5" s="133">
        <v>0</v>
      </c>
      <c r="T5" s="133">
        <v>0</v>
      </c>
      <c r="U5" s="133">
        <v>0</v>
      </c>
      <c r="V5" s="21">
        <v>0</v>
      </c>
      <c r="W5" s="21">
        <v>0</v>
      </c>
      <c r="X5" s="134">
        <v>0</v>
      </c>
      <c r="Y5" s="134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134">
        <v>1</v>
      </c>
      <c r="AF5" s="134">
        <v>1</v>
      </c>
      <c r="AG5" s="135">
        <v>0</v>
      </c>
      <c r="AH5" s="135">
        <v>0</v>
      </c>
      <c r="AI5" s="135">
        <v>0</v>
      </c>
      <c r="AJ5" s="135">
        <v>0</v>
      </c>
      <c r="AK5" s="21">
        <v>0</v>
      </c>
      <c r="AL5" s="21">
        <v>0</v>
      </c>
      <c r="AM5" s="21">
        <v>0</v>
      </c>
      <c r="AN5" s="21">
        <v>0</v>
      </c>
      <c r="AO5" s="21">
        <v>0</v>
      </c>
      <c r="AP5" s="135">
        <v>0</v>
      </c>
      <c r="AQ5" s="136">
        <v>0</v>
      </c>
      <c r="AR5" s="136">
        <v>0</v>
      </c>
      <c r="AS5" s="136">
        <v>0</v>
      </c>
      <c r="AT5" s="136">
        <v>0</v>
      </c>
      <c r="AU5" s="136">
        <v>0</v>
      </c>
      <c r="AV5" s="136">
        <v>0</v>
      </c>
      <c r="AW5" s="136">
        <v>0</v>
      </c>
      <c r="AX5" s="137">
        <v>0</v>
      </c>
      <c r="AY5" s="137">
        <v>0</v>
      </c>
      <c r="AZ5" s="137">
        <v>0</v>
      </c>
      <c r="BA5" s="137">
        <v>0</v>
      </c>
      <c r="BB5" s="24"/>
      <c r="BC5" s="50"/>
      <c r="BD5" s="50">
        <f t="shared" ref="BD5" si="0">BC5*2.5</f>
        <v>0</v>
      </c>
      <c r="BE5" s="50"/>
      <c r="BF5" s="24"/>
      <c r="BG5" s="24"/>
      <c r="BH5" s="50"/>
      <c r="BI5" s="51">
        <f t="shared" ref="BI5" si="1">IF(BH5&lt;4,BH5*1.5,BH5*1.625)</f>
        <v>0</v>
      </c>
      <c r="BJ5" s="50"/>
      <c r="BK5" s="24"/>
      <c r="BL5" s="24"/>
      <c r="BM5" s="25"/>
      <c r="BN5" s="25">
        <f t="shared" ref="BN5" si="2">IF(BM5&lt;4,BM5*1.5,BM5*1.625)</f>
        <v>0</v>
      </c>
      <c r="BO5" s="25"/>
      <c r="BP5" s="24"/>
      <c r="BQ5" s="24"/>
      <c r="BR5" s="25"/>
      <c r="BS5" s="25">
        <f t="shared" ref="BS5" si="3">IF(BR5&lt;4,BR5*1.5,BR5*1.625)</f>
        <v>0</v>
      </c>
      <c r="BT5" s="25"/>
      <c r="BU5" s="24"/>
      <c r="BV5" s="24"/>
      <c r="BW5" s="50"/>
      <c r="BX5" s="50">
        <f t="shared" ref="BX5" si="4">IF(BW5&lt;4,BW5*1.5,BW5*1.625)</f>
        <v>0</v>
      </c>
      <c r="BY5" s="50"/>
      <c r="BZ5" s="24"/>
      <c r="CA5" s="24"/>
      <c r="CB5" s="25"/>
      <c r="CC5" s="25">
        <f t="shared" ref="CC5" si="5">IF(CB5&lt;4,CB5*1.5,CB5*1.625)</f>
        <v>0</v>
      </c>
      <c r="CD5" s="25"/>
      <c r="CE5" s="24"/>
      <c r="CF5" s="25"/>
      <c r="CG5" s="25">
        <f t="shared" ref="CG5" si="6">IF(CF5&lt;4,CF5*1.5,CF5*1.625)</f>
        <v>0</v>
      </c>
      <c r="CH5" s="25"/>
      <c r="CI5" s="24"/>
      <c r="CJ5" s="25"/>
      <c r="CK5" s="25">
        <f t="shared" ref="CK5" si="7">IF(CJ5&gt;4,CJ5*1.5,CJ5*1.625)</f>
        <v>0</v>
      </c>
      <c r="CL5" s="25"/>
      <c r="CM5" s="24"/>
      <c r="CN5" s="17"/>
      <c r="CO5" s="5">
        <f t="shared" ref="CO5" si="8">CN5*2.5</f>
        <v>0</v>
      </c>
      <c r="CP5" s="9"/>
      <c r="CQ5" s="6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</row>
    <row r="6" spans="1:126" ht="15.6" x14ac:dyDescent="0.3">
      <c r="B6" s="14"/>
    </row>
    <row r="7" spans="1:126" ht="15.6" x14ac:dyDescent="0.3">
      <c r="B7" s="14"/>
    </row>
    <row r="8" spans="1:126" ht="15.6" x14ac:dyDescent="0.3">
      <c r="B8" s="14"/>
    </row>
    <row r="9" spans="1:126" ht="15.6" x14ac:dyDescent="0.3">
      <c r="B9" s="14"/>
    </row>
    <row r="10" spans="1:126" ht="15.6" x14ac:dyDescent="0.3">
      <c r="B10" s="14"/>
    </row>
    <row r="11" spans="1:126" ht="15.6" x14ac:dyDescent="0.3">
      <c r="B11" s="14"/>
    </row>
    <row r="12" spans="1:126" ht="15.6" x14ac:dyDescent="0.3">
      <c r="B12" s="14"/>
    </row>
    <row r="13" spans="1:126" ht="15.6" x14ac:dyDescent="0.3">
      <c r="B13" s="14"/>
    </row>
    <row r="14" spans="1:126" ht="15.6" x14ac:dyDescent="0.3">
      <c r="B14" s="14"/>
    </row>
    <row r="15" spans="1:126" ht="15.6" x14ac:dyDescent="0.3">
      <c r="B15" s="14"/>
    </row>
    <row r="16" spans="1:126" ht="15.6" x14ac:dyDescent="0.3">
      <c r="B16" s="14"/>
    </row>
    <row r="17" spans="2:2" ht="15.6" x14ac:dyDescent="0.3">
      <c r="B17" s="14"/>
    </row>
    <row r="18" spans="2:2" ht="15.6" x14ac:dyDescent="0.3">
      <c r="B18" s="14"/>
    </row>
    <row r="19" spans="2:2" ht="15.6" x14ac:dyDescent="0.3">
      <c r="B19" s="14"/>
    </row>
    <row r="20" spans="2:2" ht="15.6" x14ac:dyDescent="0.3">
      <c r="B20" s="14"/>
    </row>
    <row r="21" spans="2:2" ht="15.6" x14ac:dyDescent="0.3">
      <c r="B21" s="14"/>
    </row>
    <row r="22" spans="2:2" ht="15.6" x14ac:dyDescent="0.3">
      <c r="B22" s="14"/>
    </row>
    <row r="23" spans="2:2" ht="15.6" x14ac:dyDescent="0.3">
      <c r="B23" s="14"/>
    </row>
    <row r="24" spans="2:2" ht="15.6" x14ac:dyDescent="0.3">
      <c r="B24" s="14"/>
    </row>
    <row r="25" spans="2:2" ht="15.6" x14ac:dyDescent="0.3">
      <c r="B25" s="14"/>
    </row>
    <row r="26" spans="2:2" ht="15.6" x14ac:dyDescent="0.3">
      <c r="B26" s="14"/>
    </row>
    <row r="27" spans="2:2" ht="15.6" x14ac:dyDescent="0.3">
      <c r="B27" s="14"/>
    </row>
    <row r="28" spans="2:2" ht="15.6" x14ac:dyDescent="0.3">
      <c r="B28" s="14"/>
    </row>
    <row r="29" spans="2:2" ht="15.6" x14ac:dyDescent="0.3">
      <c r="B29" s="14"/>
    </row>
    <row r="30" spans="2:2" ht="15.6" x14ac:dyDescent="0.3">
      <c r="B30" s="14"/>
    </row>
    <row r="31" spans="2:2" ht="15.6" x14ac:dyDescent="0.3">
      <c r="B31" s="14"/>
    </row>
    <row r="32" spans="2:2" ht="15.6" x14ac:dyDescent="0.3">
      <c r="B32" s="14"/>
    </row>
    <row r="33" spans="2:2" ht="15.6" x14ac:dyDescent="0.3">
      <c r="B33" s="14"/>
    </row>
    <row r="34" spans="2:2" ht="15.6" x14ac:dyDescent="0.3">
      <c r="B34" s="14"/>
    </row>
    <row r="35" spans="2:2" ht="15.6" x14ac:dyDescent="0.3">
      <c r="B35" s="14"/>
    </row>
    <row r="36" spans="2:2" ht="15.6" x14ac:dyDescent="0.3">
      <c r="B36" s="14"/>
    </row>
    <row r="37" spans="2:2" ht="15.6" x14ac:dyDescent="0.3">
      <c r="B37" s="14"/>
    </row>
    <row r="38" spans="2:2" ht="15.6" x14ac:dyDescent="0.3">
      <c r="B38" s="14"/>
    </row>
    <row r="39" spans="2:2" ht="15.6" x14ac:dyDescent="0.3">
      <c r="B39" s="14"/>
    </row>
    <row r="40" spans="2:2" ht="15.6" x14ac:dyDescent="0.3">
      <c r="B40" s="14"/>
    </row>
    <row r="41" spans="2:2" ht="15.6" x14ac:dyDescent="0.3">
      <c r="B41" s="14"/>
    </row>
  </sheetData>
  <autoFilter ref="A2:DV5" xr:uid="{00000000-0009-0000-0000-000000000000}"/>
  <sortState xmlns:xlrd2="http://schemas.microsoft.com/office/spreadsheetml/2017/richdata2" ref="A5:E5">
    <sortCondition ref="D5"/>
    <sortCondition ref="E5"/>
  </sortState>
  <mergeCells count="94">
    <mergeCell ref="CE2:CE4"/>
    <mergeCell ref="CF2:CF4"/>
    <mergeCell ref="CG2:CG4"/>
    <mergeCell ref="CH2:CH4"/>
    <mergeCell ref="CI2:CI4"/>
    <mergeCell ref="CO2:CO4"/>
    <mergeCell ref="CP2:CP4"/>
    <mergeCell ref="CJ2:CJ4"/>
    <mergeCell ref="CK2:CK4"/>
    <mergeCell ref="CL2:CL4"/>
    <mergeCell ref="CM2:CM4"/>
    <mergeCell ref="CN2:CN4"/>
    <mergeCell ref="CC2:CC4"/>
    <mergeCell ref="CD2:CD4"/>
    <mergeCell ref="BU2:BU4"/>
    <mergeCell ref="BV2:BV4"/>
    <mergeCell ref="BW2:BW4"/>
    <mergeCell ref="BX2:BX4"/>
    <mergeCell ref="BY2:BY4"/>
    <mergeCell ref="BZ2:BZ4"/>
    <mergeCell ref="CA2:CA4"/>
    <mergeCell ref="CB2:CB4"/>
    <mergeCell ref="BP2:BP4"/>
    <mergeCell ref="BQ2:BQ4"/>
    <mergeCell ref="BR2:BR4"/>
    <mergeCell ref="BS2:BS4"/>
    <mergeCell ref="BT2:BT4"/>
    <mergeCell ref="BK2:BK4"/>
    <mergeCell ref="BL2:BL4"/>
    <mergeCell ref="BM2:BM4"/>
    <mergeCell ref="BN2:BN4"/>
    <mergeCell ref="BO2:BO4"/>
    <mergeCell ref="BF2:BF4"/>
    <mergeCell ref="BG2:BG4"/>
    <mergeCell ref="BH2:BH4"/>
    <mergeCell ref="BI2:BI4"/>
    <mergeCell ref="BJ2:BJ4"/>
    <mergeCell ref="BC2:BC4"/>
    <mergeCell ref="BD2:BD4"/>
    <mergeCell ref="BE2:BE4"/>
    <mergeCell ref="F2:F4"/>
    <mergeCell ref="AB2:AB4"/>
    <mergeCell ref="AC2:AC4"/>
    <mergeCell ref="AD2:AD4"/>
    <mergeCell ref="AE2:AE4"/>
    <mergeCell ref="AK2:AK4"/>
    <mergeCell ref="L2:L4"/>
    <mergeCell ref="N2:N4"/>
    <mergeCell ref="O2:O4"/>
    <mergeCell ref="P2:P4"/>
    <mergeCell ref="Q2:Q4"/>
    <mergeCell ref="S2:S4"/>
    <mergeCell ref="AL2:AL4"/>
    <mergeCell ref="BB1:BE1"/>
    <mergeCell ref="BF1:BJ1"/>
    <mergeCell ref="BK1:BO1"/>
    <mergeCell ref="A2:A4"/>
    <mergeCell ref="B2:B4"/>
    <mergeCell ref="C2:C4"/>
    <mergeCell ref="D2:D4"/>
    <mergeCell ref="E2:E4"/>
    <mergeCell ref="K2:K4"/>
    <mergeCell ref="G2:G4"/>
    <mergeCell ref="H2:H4"/>
    <mergeCell ref="I2:I4"/>
    <mergeCell ref="J2:J4"/>
    <mergeCell ref="U2:U4"/>
    <mergeCell ref="Z2:Z4"/>
    <mergeCell ref="BB2:BB4"/>
    <mergeCell ref="BZ1:CD1"/>
    <mergeCell ref="CE1:CH1"/>
    <mergeCell ref="CI1:CL1"/>
    <mergeCell ref="CM1:CP1"/>
    <mergeCell ref="BP1:BT1"/>
    <mergeCell ref="BU1:BY1"/>
    <mergeCell ref="AN2:AN4"/>
    <mergeCell ref="AO2:AO4"/>
    <mergeCell ref="BA2:BA4"/>
    <mergeCell ref="AM2:AM4"/>
    <mergeCell ref="AX2:AX4"/>
    <mergeCell ref="AY2:AY4"/>
    <mergeCell ref="AP2:AP4"/>
    <mergeCell ref="AZ2:AZ4"/>
    <mergeCell ref="M2:M4"/>
    <mergeCell ref="AG2:AG4"/>
    <mergeCell ref="AH2:AH4"/>
    <mergeCell ref="AI2:AI4"/>
    <mergeCell ref="AJ2:AJ4"/>
    <mergeCell ref="AF2:AF4"/>
    <mergeCell ref="V2:V4"/>
    <mergeCell ref="W2:W4"/>
    <mergeCell ref="X2:X4"/>
    <mergeCell ref="Y2:Y4"/>
    <mergeCell ref="R2:R4"/>
  </mergeCells>
  <phoneticPr fontId="26" type="noConversion"/>
  <conditionalFormatting sqref="I5">
    <cfRule type="cellIs" dxfId="21" priority="269" operator="greaterThan">
      <formula>20</formula>
    </cfRule>
  </conditionalFormatting>
  <conditionalFormatting sqref="BE5">
    <cfRule type="expression" dxfId="20" priority="57">
      <formula>SUM($BC5+$BE5)&gt;4</formula>
    </cfRule>
  </conditionalFormatting>
  <conditionalFormatting sqref="BJ5">
    <cfRule type="expression" dxfId="19" priority="56">
      <formula>SUM($BH5+$BJ5)&gt;4</formula>
    </cfRule>
  </conditionalFormatting>
  <conditionalFormatting sqref="BO5">
    <cfRule type="expression" dxfId="18" priority="55">
      <formula>SUM($BM5+$BO5)&gt;4</formula>
    </cfRule>
  </conditionalFormatting>
  <conditionalFormatting sqref="BT5">
    <cfRule type="expression" dxfId="17" priority="54">
      <formula>SUM($BR5+$BT5)&gt;4</formula>
    </cfRule>
  </conditionalFormatting>
  <conditionalFormatting sqref="BY5">
    <cfRule type="expression" dxfId="16" priority="53">
      <formula>SUM($BW5+$BY5)&gt;4</formula>
    </cfRule>
  </conditionalFormatting>
  <conditionalFormatting sqref="CD5">
    <cfRule type="expression" dxfId="15" priority="52">
      <formula>($CB5+$CD5)&gt;4</formula>
    </cfRule>
  </conditionalFormatting>
  <conditionalFormatting sqref="CF5:CH5">
    <cfRule type="expression" dxfId="14" priority="51">
      <formula>SUM($CB5+$CD5+$CF5+$CH5)&gt;4</formula>
    </cfRule>
  </conditionalFormatting>
  <pageMargins left="0.7" right="0.7" top="0.75" bottom="0.75" header="0.3" footer="0.3"/>
  <pageSetup orientation="portrait" verticalDpi="597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W148"/>
  <sheetViews>
    <sheetView zoomScale="90" zoomScaleNormal="9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M158" sqref="M158"/>
    </sheetView>
  </sheetViews>
  <sheetFormatPr defaultColWidth="9.109375" defaultRowHeight="14.4" x14ac:dyDescent="0.3"/>
  <cols>
    <col min="1" max="1" width="10.33203125" style="89" bestFit="1" customWidth="1"/>
    <col min="2" max="2" width="9.109375" style="90"/>
    <col min="3" max="3" width="14.88671875" style="90" customWidth="1"/>
    <col min="4" max="4" width="18.33203125" style="90" bestFit="1" customWidth="1"/>
    <col min="5" max="5" width="17.88671875" style="90" customWidth="1"/>
    <col min="6" max="6" width="9.33203125" style="92" customWidth="1"/>
    <col min="7" max="8" width="8.88671875" style="92" customWidth="1"/>
    <col min="9" max="25" width="9.109375" style="92" customWidth="1"/>
    <col min="26" max="27" width="9.109375" style="107" customWidth="1"/>
    <col min="28" max="29" width="9.109375" style="92" customWidth="1"/>
    <col min="30" max="49" width="9.109375" style="92"/>
    <col min="50" max="16384" width="9.109375" style="90"/>
  </cols>
  <sheetData>
    <row r="1" spans="1:49" ht="36.75" customHeight="1" x14ac:dyDescent="0.3">
      <c r="A1" s="89" t="s">
        <v>214</v>
      </c>
      <c r="D1" s="90" t="s">
        <v>337</v>
      </c>
      <c r="F1" s="91" t="s">
        <v>215</v>
      </c>
      <c r="G1" s="91" t="s">
        <v>215</v>
      </c>
      <c r="H1" s="91" t="s">
        <v>215</v>
      </c>
      <c r="I1" s="91" t="s">
        <v>215</v>
      </c>
      <c r="J1" s="91" t="s">
        <v>215</v>
      </c>
      <c r="K1" s="91" t="s">
        <v>215</v>
      </c>
      <c r="L1" s="91" t="s">
        <v>215</v>
      </c>
      <c r="M1" s="91" t="s">
        <v>215</v>
      </c>
      <c r="N1" s="91" t="s">
        <v>215</v>
      </c>
      <c r="O1" s="91" t="s">
        <v>215</v>
      </c>
      <c r="P1" s="91" t="s">
        <v>215</v>
      </c>
      <c r="Q1" s="91" t="s">
        <v>215</v>
      </c>
      <c r="R1" s="91" t="s">
        <v>215</v>
      </c>
      <c r="S1" s="91" t="s">
        <v>215</v>
      </c>
      <c r="T1" s="91" t="s">
        <v>215</v>
      </c>
      <c r="U1" s="91" t="s">
        <v>215</v>
      </c>
      <c r="V1" s="91" t="s">
        <v>215</v>
      </c>
      <c r="W1" s="91" t="s">
        <v>215</v>
      </c>
      <c r="X1" s="91" t="s">
        <v>215</v>
      </c>
      <c r="Y1" s="91" t="s">
        <v>215</v>
      </c>
      <c r="Z1" s="106" t="s">
        <v>215</v>
      </c>
      <c r="AA1" s="106" t="s">
        <v>215</v>
      </c>
      <c r="AB1" s="91" t="s">
        <v>215</v>
      </c>
      <c r="AC1" s="91" t="s">
        <v>215</v>
      </c>
      <c r="AD1" s="91" t="s">
        <v>215</v>
      </c>
      <c r="AE1" s="91" t="s">
        <v>215</v>
      </c>
      <c r="AF1" s="91" t="s">
        <v>215</v>
      </c>
      <c r="AG1" s="91" t="s">
        <v>215</v>
      </c>
      <c r="AH1" s="91" t="s">
        <v>215</v>
      </c>
      <c r="AI1" s="91" t="s">
        <v>215</v>
      </c>
      <c r="AJ1" s="91" t="s">
        <v>215</v>
      </c>
      <c r="AK1" s="91" t="s">
        <v>215</v>
      </c>
      <c r="AL1" s="91" t="s">
        <v>215</v>
      </c>
      <c r="AM1" s="91" t="s">
        <v>215</v>
      </c>
      <c r="AN1" s="91" t="s">
        <v>215</v>
      </c>
      <c r="AO1" s="91" t="s">
        <v>215</v>
      </c>
      <c r="AP1" s="91" t="s">
        <v>215</v>
      </c>
      <c r="AQ1" s="91" t="s">
        <v>215</v>
      </c>
      <c r="AR1" s="91" t="s">
        <v>215</v>
      </c>
      <c r="AS1" s="91" t="s">
        <v>215</v>
      </c>
      <c r="AT1" s="91" t="s">
        <v>215</v>
      </c>
      <c r="AU1" s="91" t="s">
        <v>215</v>
      </c>
      <c r="AV1" s="91" t="s">
        <v>215</v>
      </c>
      <c r="AW1" s="91" t="s">
        <v>215</v>
      </c>
    </row>
    <row r="2" spans="1:49" ht="50.25" customHeight="1" x14ac:dyDescent="0.3">
      <c r="A2" s="93" t="s">
        <v>9</v>
      </c>
      <c r="B2" s="30" t="s">
        <v>10</v>
      </c>
      <c r="C2" s="94" t="s">
        <v>11</v>
      </c>
      <c r="D2" s="95" t="s">
        <v>12</v>
      </c>
      <c r="E2" s="95" t="s">
        <v>13</v>
      </c>
      <c r="F2" s="47" t="s">
        <v>141</v>
      </c>
      <c r="G2" s="47" t="s">
        <v>142</v>
      </c>
      <c r="H2" s="47" t="s">
        <v>440</v>
      </c>
      <c r="I2" s="46" t="s">
        <v>143</v>
      </c>
      <c r="J2" s="46" t="s">
        <v>144</v>
      </c>
      <c r="K2" s="46" t="s">
        <v>145</v>
      </c>
      <c r="L2" s="46" t="s">
        <v>146</v>
      </c>
      <c r="M2" s="46" t="s">
        <v>340</v>
      </c>
      <c r="N2" s="46" t="s">
        <v>147</v>
      </c>
      <c r="O2" s="46" t="s">
        <v>458</v>
      </c>
      <c r="P2" s="46" t="s">
        <v>148</v>
      </c>
      <c r="Q2" s="46" t="s">
        <v>149</v>
      </c>
      <c r="R2" s="46" t="s">
        <v>29</v>
      </c>
      <c r="S2" s="46" t="s">
        <v>388</v>
      </c>
      <c r="T2" s="46" t="s">
        <v>389</v>
      </c>
      <c r="U2" s="46" t="s">
        <v>150</v>
      </c>
      <c r="V2" s="46" t="s">
        <v>459</v>
      </c>
      <c r="W2" s="46" t="s">
        <v>151</v>
      </c>
      <c r="X2" s="46" t="s">
        <v>32</v>
      </c>
      <c r="Y2" s="46" t="s">
        <v>152</v>
      </c>
      <c r="Z2" s="46" t="s">
        <v>153</v>
      </c>
      <c r="AA2" s="46" t="s">
        <v>154</v>
      </c>
      <c r="AB2" s="46" t="s">
        <v>158</v>
      </c>
      <c r="AC2" s="46" t="s">
        <v>159</v>
      </c>
      <c r="AD2" s="46" t="s">
        <v>160</v>
      </c>
      <c r="AE2" s="46" t="s">
        <v>162</v>
      </c>
      <c r="AF2" s="46" t="s">
        <v>155</v>
      </c>
      <c r="AG2" s="46" t="s">
        <v>156</v>
      </c>
      <c r="AH2" s="46" t="s">
        <v>364</v>
      </c>
      <c r="AI2" s="46" t="s">
        <v>390</v>
      </c>
      <c r="AJ2" s="18" t="s">
        <v>391</v>
      </c>
      <c r="AK2" s="18" t="s">
        <v>161</v>
      </c>
      <c r="AL2" s="18" t="s">
        <v>471</v>
      </c>
      <c r="AM2" s="18" t="s">
        <v>472</v>
      </c>
      <c r="AN2" s="18" t="s">
        <v>473</v>
      </c>
      <c r="AO2" s="18" t="s">
        <v>474</v>
      </c>
      <c r="AP2" s="18" t="s">
        <v>475</v>
      </c>
      <c r="AQ2" s="18" t="s">
        <v>476</v>
      </c>
      <c r="AR2" s="18" t="s">
        <v>477</v>
      </c>
      <c r="AS2" s="18" t="s">
        <v>157</v>
      </c>
      <c r="AT2" s="18" t="s">
        <v>395</v>
      </c>
      <c r="AU2" s="18" t="s">
        <v>479</v>
      </c>
      <c r="AV2" s="18" t="s">
        <v>394</v>
      </c>
      <c r="AW2" s="18" t="s">
        <v>480</v>
      </c>
    </row>
    <row r="3" spans="1:49" ht="15" customHeight="1" x14ac:dyDescent="0.3">
      <c r="A3" s="114">
        <v>80</v>
      </c>
      <c r="B3" s="36" t="s">
        <v>43</v>
      </c>
      <c r="C3" s="26">
        <v>7096688</v>
      </c>
      <c r="D3" s="26" t="s">
        <v>203</v>
      </c>
      <c r="E3" s="27" t="s">
        <v>204</v>
      </c>
      <c r="F3" s="96"/>
      <c r="G3" s="96"/>
      <c r="H3" s="87"/>
      <c r="I3" s="96">
        <v>1</v>
      </c>
      <c r="J3" s="96">
        <v>1</v>
      </c>
      <c r="K3" s="96">
        <v>1</v>
      </c>
      <c r="L3" s="96">
        <v>1</v>
      </c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96">
        <v>1</v>
      </c>
      <c r="AA3" s="96">
        <v>1</v>
      </c>
      <c r="AB3" s="96"/>
      <c r="AC3" s="96"/>
      <c r="AD3" s="96"/>
      <c r="AE3" s="96"/>
      <c r="AF3" s="96"/>
      <c r="AG3" s="96"/>
      <c r="AH3" s="96"/>
      <c r="AI3" s="96"/>
      <c r="AJ3" s="96"/>
      <c r="AK3" s="96"/>
      <c r="AL3" s="96"/>
      <c r="AM3" s="96"/>
      <c r="AN3" s="96"/>
      <c r="AO3" s="96"/>
      <c r="AP3" s="96"/>
      <c r="AQ3" s="96"/>
      <c r="AR3" s="96"/>
      <c r="AS3" s="96"/>
      <c r="AT3" s="96"/>
      <c r="AU3" s="96"/>
      <c r="AV3" s="87"/>
      <c r="AW3" s="87"/>
    </row>
    <row r="4" spans="1:49" x14ac:dyDescent="0.3">
      <c r="A4" s="114">
        <v>79</v>
      </c>
      <c r="B4" s="36" t="s">
        <v>42</v>
      </c>
      <c r="C4" s="26">
        <v>7096314</v>
      </c>
      <c r="D4" s="26" t="s">
        <v>205</v>
      </c>
      <c r="E4" s="27" t="s">
        <v>133</v>
      </c>
      <c r="F4" s="96"/>
      <c r="G4" s="96"/>
      <c r="H4" s="87"/>
      <c r="I4" s="96"/>
      <c r="J4" s="96"/>
      <c r="K4" s="96"/>
      <c r="L4" s="87">
        <v>1</v>
      </c>
      <c r="M4" s="87">
        <v>1</v>
      </c>
      <c r="N4" s="87">
        <v>1</v>
      </c>
      <c r="O4" s="87"/>
      <c r="P4" s="96"/>
      <c r="Q4" s="96">
        <v>1</v>
      </c>
      <c r="R4" s="96">
        <v>1</v>
      </c>
      <c r="S4" s="96">
        <v>1</v>
      </c>
      <c r="T4" s="96">
        <v>1</v>
      </c>
      <c r="U4" s="96"/>
      <c r="V4" s="96"/>
      <c r="W4" s="96"/>
      <c r="X4" s="96"/>
      <c r="Y4" s="96"/>
      <c r="Z4" s="96">
        <v>1</v>
      </c>
      <c r="AA4" s="96">
        <v>1</v>
      </c>
      <c r="AB4" s="96"/>
      <c r="AC4" s="96"/>
      <c r="AD4" s="96"/>
      <c r="AE4" s="96"/>
      <c r="AF4" s="96"/>
      <c r="AG4" s="96"/>
      <c r="AH4" s="96"/>
      <c r="AI4" s="96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87">
        <v>1</v>
      </c>
      <c r="AW4" s="87"/>
    </row>
    <row r="5" spans="1:49" x14ac:dyDescent="0.3">
      <c r="A5" s="31"/>
      <c r="B5" s="29"/>
      <c r="C5" s="26">
        <v>7104132</v>
      </c>
      <c r="D5" s="26" t="s">
        <v>486</v>
      </c>
      <c r="E5" s="113" t="s">
        <v>487</v>
      </c>
      <c r="F5" s="87">
        <v>1</v>
      </c>
      <c r="G5" s="87"/>
      <c r="H5" s="87"/>
      <c r="I5" s="87"/>
      <c r="J5" s="87"/>
      <c r="K5" s="87"/>
      <c r="L5" s="87">
        <v>1</v>
      </c>
      <c r="M5" s="87">
        <v>1</v>
      </c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8"/>
      <c r="AA5" s="88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</row>
    <row r="6" spans="1:49" x14ac:dyDescent="0.3">
      <c r="A6" s="115">
        <v>127</v>
      </c>
      <c r="B6" s="28" t="s">
        <v>198</v>
      </c>
      <c r="C6" s="26">
        <v>7402422</v>
      </c>
      <c r="D6" s="26" t="s">
        <v>424</v>
      </c>
      <c r="E6" s="27" t="s">
        <v>425</v>
      </c>
      <c r="F6" s="87">
        <v>1</v>
      </c>
      <c r="G6" s="87"/>
      <c r="H6" s="87">
        <v>1</v>
      </c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>
        <v>1</v>
      </c>
      <c r="X6" s="87"/>
      <c r="Y6" s="87"/>
      <c r="Z6" s="88">
        <v>1</v>
      </c>
      <c r="AA6" s="88">
        <v>1</v>
      </c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>
        <v>1</v>
      </c>
      <c r="AW6" s="87"/>
    </row>
    <row r="7" spans="1:49" x14ac:dyDescent="0.3">
      <c r="A7" s="31"/>
      <c r="B7" s="29"/>
      <c r="C7" s="26">
        <v>7402042</v>
      </c>
      <c r="D7" s="26" t="s">
        <v>441</v>
      </c>
      <c r="E7" s="113" t="s">
        <v>442</v>
      </c>
      <c r="F7" s="87">
        <v>1</v>
      </c>
      <c r="G7" s="87"/>
      <c r="H7" s="87">
        <v>1</v>
      </c>
      <c r="I7" s="87"/>
      <c r="J7" s="87"/>
      <c r="K7" s="87"/>
      <c r="L7" s="87">
        <v>1</v>
      </c>
      <c r="M7" s="87"/>
      <c r="N7" s="87"/>
      <c r="O7" s="87"/>
      <c r="P7" s="87"/>
      <c r="Q7" s="87"/>
      <c r="R7" s="87"/>
      <c r="S7" s="87">
        <v>1</v>
      </c>
      <c r="T7" s="87">
        <v>1</v>
      </c>
      <c r="U7" s="87"/>
      <c r="V7" s="87"/>
      <c r="W7" s="87"/>
      <c r="X7" s="87"/>
      <c r="Y7" s="87"/>
      <c r="Z7" s="88"/>
      <c r="AA7" s="88">
        <v>1</v>
      </c>
      <c r="AB7" s="87"/>
      <c r="AC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>
        <v>1</v>
      </c>
      <c r="AO7" s="87"/>
      <c r="AP7" s="87"/>
      <c r="AQ7" s="87"/>
      <c r="AR7" s="87"/>
      <c r="AS7" s="87"/>
      <c r="AT7" s="87"/>
      <c r="AU7" s="87"/>
      <c r="AV7" s="87">
        <v>1</v>
      </c>
      <c r="AW7" s="87"/>
    </row>
    <row r="8" spans="1:49" x14ac:dyDescent="0.3">
      <c r="A8" s="39">
        <v>48</v>
      </c>
      <c r="B8" s="28" t="s">
        <v>43</v>
      </c>
      <c r="C8" s="26">
        <v>7093513</v>
      </c>
      <c r="D8" s="26" t="s">
        <v>44</v>
      </c>
      <c r="E8" s="113" t="s">
        <v>45</v>
      </c>
      <c r="F8" s="87">
        <v>1</v>
      </c>
      <c r="G8" s="87"/>
      <c r="H8" s="87"/>
      <c r="I8" s="87">
        <v>1</v>
      </c>
      <c r="J8" s="87"/>
      <c r="K8" s="87"/>
      <c r="L8" s="87">
        <v>1</v>
      </c>
      <c r="M8" s="87"/>
      <c r="N8" s="87"/>
      <c r="O8" s="87"/>
      <c r="P8" s="87">
        <v>1</v>
      </c>
      <c r="Q8" s="87"/>
      <c r="R8" s="87"/>
      <c r="S8" s="87"/>
      <c r="T8" s="87"/>
      <c r="U8" s="87"/>
      <c r="V8" s="87"/>
      <c r="W8" s="87"/>
      <c r="X8" s="87"/>
      <c r="Y8" s="87"/>
      <c r="Z8" s="88">
        <v>1</v>
      </c>
      <c r="AA8" s="88">
        <v>1</v>
      </c>
      <c r="AB8" s="98"/>
      <c r="AC8" s="87"/>
      <c r="AD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>
        <v>1</v>
      </c>
      <c r="AS8" s="87"/>
      <c r="AT8" s="87"/>
      <c r="AU8" s="87"/>
      <c r="AV8" s="87">
        <v>1</v>
      </c>
      <c r="AW8" s="87"/>
    </row>
    <row r="9" spans="1:49" x14ac:dyDescent="0.3">
      <c r="A9" s="31">
        <v>74</v>
      </c>
      <c r="B9" s="32" t="s">
        <v>49</v>
      </c>
      <c r="C9" s="37">
        <v>7092979</v>
      </c>
      <c r="D9" s="38" t="s">
        <v>201</v>
      </c>
      <c r="E9" s="38" t="s">
        <v>202</v>
      </c>
      <c r="F9" s="87">
        <v>1</v>
      </c>
      <c r="G9" s="87"/>
      <c r="H9" s="87"/>
      <c r="I9" s="87">
        <v>1</v>
      </c>
      <c r="J9" s="87"/>
      <c r="K9" s="87"/>
      <c r="L9" s="87"/>
      <c r="M9" s="87"/>
      <c r="N9" s="87"/>
      <c r="O9" s="87"/>
      <c r="P9" s="87"/>
      <c r="Q9" s="87"/>
      <c r="R9" s="87"/>
      <c r="S9" s="87"/>
      <c r="T9" s="87">
        <v>1</v>
      </c>
      <c r="U9" s="87">
        <v>1</v>
      </c>
      <c r="V9" s="87"/>
      <c r="W9" s="87"/>
      <c r="X9" s="87"/>
      <c r="Y9" s="87"/>
      <c r="Z9" s="88">
        <v>1</v>
      </c>
      <c r="AA9" s="88">
        <v>1</v>
      </c>
      <c r="AB9" s="87"/>
      <c r="AC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  <c r="AT9" s="87"/>
      <c r="AU9" s="87"/>
      <c r="AV9" s="87">
        <v>1</v>
      </c>
      <c r="AW9" s="87"/>
    </row>
    <row r="10" spans="1:49" x14ac:dyDescent="0.3">
      <c r="A10" s="114">
        <v>5</v>
      </c>
      <c r="B10" s="36" t="s">
        <v>46</v>
      </c>
      <c r="C10" s="26">
        <v>7027489</v>
      </c>
      <c r="D10" s="26" t="s">
        <v>47</v>
      </c>
      <c r="E10" s="27" t="s">
        <v>48</v>
      </c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8"/>
      <c r="AA10" s="88"/>
      <c r="AB10" s="87"/>
      <c r="AC10" s="87"/>
      <c r="AD10" s="87"/>
      <c r="AE10" s="87"/>
      <c r="AF10" s="87"/>
      <c r="AG10" s="87"/>
      <c r="AH10" s="87"/>
      <c r="AI10" s="87"/>
      <c r="AJ10" s="87"/>
      <c r="AK10" s="87"/>
      <c r="AL10" s="87"/>
      <c r="AM10" s="87"/>
      <c r="AN10" s="87"/>
      <c r="AO10" s="87"/>
      <c r="AP10" s="87"/>
      <c r="AQ10" s="87"/>
      <c r="AR10" s="87"/>
      <c r="AS10" s="87"/>
      <c r="AT10" s="87"/>
      <c r="AU10" s="87"/>
      <c r="AV10" s="87"/>
      <c r="AW10" s="87"/>
    </row>
    <row r="11" spans="1:49" x14ac:dyDescent="0.3">
      <c r="A11" s="31">
        <v>104</v>
      </c>
      <c r="B11" s="104"/>
      <c r="C11" s="26">
        <v>7098023</v>
      </c>
      <c r="D11" s="26" t="s">
        <v>383</v>
      </c>
      <c r="E11" s="27" t="s">
        <v>384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>
        <v>1</v>
      </c>
      <c r="V11" s="87"/>
      <c r="W11" s="87"/>
      <c r="X11" s="87"/>
      <c r="Y11" s="87"/>
      <c r="Z11" s="88">
        <v>1</v>
      </c>
      <c r="AA11" s="88">
        <v>1</v>
      </c>
      <c r="AB11" s="87"/>
      <c r="AC11" s="87"/>
      <c r="AD11" s="87"/>
      <c r="AE11" s="87"/>
      <c r="AF11" s="87">
        <v>1</v>
      </c>
      <c r="AG11" s="87"/>
      <c r="AH11" s="87"/>
      <c r="AI11" s="87">
        <v>1</v>
      </c>
      <c r="AJ11" s="87">
        <v>1</v>
      </c>
      <c r="AK11" s="87"/>
      <c r="AL11" s="87"/>
      <c r="AM11" s="87"/>
      <c r="AN11" s="87"/>
      <c r="AO11" s="87"/>
      <c r="AP11" s="87"/>
      <c r="AQ11" s="87"/>
      <c r="AR11" s="87"/>
      <c r="AS11" s="87">
        <v>1</v>
      </c>
      <c r="AT11" s="87">
        <v>1</v>
      </c>
      <c r="AU11" s="87">
        <v>1</v>
      </c>
      <c r="AV11" s="87">
        <v>1</v>
      </c>
      <c r="AW11" s="87"/>
    </row>
    <row r="12" spans="1:49" x14ac:dyDescent="0.3">
      <c r="A12" s="31">
        <v>62</v>
      </c>
      <c r="B12" s="104" t="s">
        <v>49</v>
      </c>
      <c r="C12" s="26">
        <v>7092320</v>
      </c>
      <c r="D12" s="26" t="s">
        <v>179</v>
      </c>
      <c r="E12" s="27" t="s">
        <v>131</v>
      </c>
      <c r="F12" s="87">
        <v>1</v>
      </c>
      <c r="G12" s="87"/>
      <c r="H12" s="87"/>
      <c r="I12" s="87"/>
      <c r="J12" s="87"/>
      <c r="K12" s="87"/>
      <c r="L12" s="87">
        <v>1</v>
      </c>
      <c r="M12" s="87">
        <v>1</v>
      </c>
      <c r="N12" s="87">
        <v>1</v>
      </c>
      <c r="O12" s="87"/>
      <c r="P12" s="87">
        <v>1</v>
      </c>
      <c r="Q12" s="87"/>
      <c r="R12" s="87"/>
      <c r="S12" s="87"/>
      <c r="T12" s="87"/>
      <c r="U12" s="87"/>
      <c r="V12" s="87"/>
      <c r="W12" s="87"/>
      <c r="X12" s="87">
        <v>1</v>
      </c>
      <c r="Y12" s="87"/>
      <c r="Z12" s="88">
        <v>1</v>
      </c>
      <c r="AA12" s="88">
        <v>1</v>
      </c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>
        <v>1</v>
      </c>
      <c r="AW12" s="87"/>
    </row>
    <row r="13" spans="1:49" x14ac:dyDescent="0.3">
      <c r="A13" s="31">
        <v>107</v>
      </c>
      <c r="B13" s="29" t="s">
        <v>198</v>
      </c>
      <c r="C13" s="33">
        <v>7401960</v>
      </c>
      <c r="D13" s="34" t="s">
        <v>396</v>
      </c>
      <c r="E13" s="34" t="s">
        <v>397</v>
      </c>
      <c r="F13" s="87">
        <v>1</v>
      </c>
      <c r="G13" s="87"/>
      <c r="H13" s="87"/>
      <c r="I13" s="87"/>
      <c r="J13" s="87"/>
      <c r="K13" s="87"/>
      <c r="L13" s="87">
        <v>1</v>
      </c>
      <c r="M13" s="87">
        <v>1</v>
      </c>
      <c r="N13" s="87">
        <v>1</v>
      </c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8">
        <v>1</v>
      </c>
      <c r="AA13" s="88">
        <v>1</v>
      </c>
      <c r="AB13" s="87"/>
      <c r="AC13" s="87"/>
      <c r="AD13" s="87"/>
      <c r="AE13" s="87"/>
      <c r="AF13" s="87"/>
      <c r="AG13" s="87"/>
      <c r="AH13" s="87"/>
      <c r="AI13" s="87">
        <v>1</v>
      </c>
      <c r="AJ13" s="87">
        <v>1</v>
      </c>
      <c r="AK13" s="87"/>
      <c r="AL13" s="87"/>
      <c r="AM13" s="87"/>
      <c r="AN13" s="87">
        <v>1</v>
      </c>
      <c r="AO13" s="87">
        <v>1</v>
      </c>
      <c r="AP13" s="87">
        <v>1</v>
      </c>
      <c r="AQ13" s="87">
        <v>1</v>
      </c>
      <c r="AR13" s="87"/>
      <c r="AS13" s="87"/>
      <c r="AT13" s="87"/>
      <c r="AU13" s="87"/>
      <c r="AV13" s="87">
        <v>1</v>
      </c>
      <c r="AW13" s="87"/>
    </row>
    <row r="14" spans="1:49" x14ac:dyDescent="0.3">
      <c r="A14" s="31">
        <v>7</v>
      </c>
      <c r="B14" s="110" t="s">
        <v>192</v>
      </c>
      <c r="C14" s="37">
        <v>7027788</v>
      </c>
      <c r="D14" s="38" t="s">
        <v>191</v>
      </c>
      <c r="E14" s="38" t="s">
        <v>78</v>
      </c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8"/>
      <c r="AA14" s="88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</row>
    <row r="15" spans="1:49" x14ac:dyDescent="0.3">
      <c r="A15" s="31">
        <v>128</v>
      </c>
      <c r="B15" s="104" t="s">
        <v>198</v>
      </c>
      <c r="C15" s="26">
        <v>7400313</v>
      </c>
      <c r="D15" s="26" t="s">
        <v>426</v>
      </c>
      <c r="E15" s="26" t="s">
        <v>427</v>
      </c>
      <c r="F15" s="87">
        <v>1</v>
      </c>
      <c r="G15" s="87"/>
      <c r="H15" s="87"/>
      <c r="I15" s="87"/>
      <c r="J15" s="87"/>
      <c r="K15" s="87"/>
      <c r="L15" s="87">
        <v>1</v>
      </c>
      <c r="M15" s="87">
        <v>1</v>
      </c>
      <c r="N15" s="87"/>
      <c r="O15" s="87"/>
      <c r="P15" s="87"/>
      <c r="Q15" s="87">
        <v>1</v>
      </c>
      <c r="R15" s="87">
        <v>1</v>
      </c>
      <c r="S15" s="87">
        <v>1</v>
      </c>
      <c r="T15" s="87">
        <v>1</v>
      </c>
      <c r="U15" s="87"/>
      <c r="V15" s="87"/>
      <c r="W15" s="87"/>
      <c r="X15" s="87"/>
      <c r="Y15" s="87"/>
      <c r="Z15" s="88">
        <v>1</v>
      </c>
      <c r="AA15" s="88">
        <v>1</v>
      </c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</row>
    <row r="16" spans="1:49" x14ac:dyDescent="0.3">
      <c r="A16" s="39">
        <v>117</v>
      </c>
      <c r="B16" s="28" t="s">
        <v>198</v>
      </c>
      <c r="C16" s="26">
        <v>7402023</v>
      </c>
      <c r="D16" s="26" t="s">
        <v>398</v>
      </c>
      <c r="E16" s="113" t="s">
        <v>399</v>
      </c>
      <c r="F16" s="87">
        <v>1</v>
      </c>
      <c r="G16" s="87"/>
      <c r="H16" s="87"/>
      <c r="I16" s="87"/>
      <c r="J16" s="87"/>
      <c r="K16" s="87"/>
      <c r="L16" s="87">
        <v>1</v>
      </c>
      <c r="M16" s="87">
        <v>1</v>
      </c>
      <c r="N16" s="87">
        <v>1</v>
      </c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8">
        <v>1</v>
      </c>
      <c r="AA16" s="88">
        <v>1</v>
      </c>
      <c r="AB16" s="98"/>
      <c r="AC16" s="87"/>
      <c r="AD16" s="87"/>
      <c r="AE16" s="87"/>
      <c r="AF16" s="87">
        <v>1</v>
      </c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>
        <v>1</v>
      </c>
      <c r="AW16" s="87"/>
    </row>
    <row r="17" spans="1:49" x14ac:dyDescent="0.3">
      <c r="A17" s="44"/>
      <c r="B17" s="45"/>
      <c r="C17" s="26">
        <v>7402762</v>
      </c>
      <c r="D17" s="26" t="s">
        <v>443</v>
      </c>
      <c r="E17" s="113" t="s">
        <v>444</v>
      </c>
      <c r="F17" s="101">
        <v>1</v>
      </c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>
        <v>1</v>
      </c>
      <c r="T17" s="101">
        <v>1</v>
      </c>
      <c r="U17" s="101"/>
      <c r="V17" s="101"/>
      <c r="W17" s="101"/>
      <c r="X17" s="101"/>
      <c r="Y17" s="101"/>
      <c r="Z17" s="108">
        <v>1</v>
      </c>
      <c r="AA17" s="108">
        <v>1</v>
      </c>
      <c r="AB17" s="101"/>
      <c r="AC17" s="101"/>
      <c r="AD17" s="101"/>
      <c r="AE17" s="101"/>
      <c r="AF17" s="101"/>
      <c r="AG17" s="101">
        <v>1</v>
      </c>
      <c r="AH17" s="101">
        <v>1</v>
      </c>
      <c r="AI17" s="101">
        <v>1</v>
      </c>
      <c r="AJ17" s="101">
        <v>1</v>
      </c>
      <c r="AK17" s="101"/>
      <c r="AL17" s="101"/>
      <c r="AM17" s="101"/>
      <c r="AN17" s="101"/>
      <c r="AO17" s="101"/>
      <c r="AP17" s="101"/>
      <c r="AQ17" s="101"/>
      <c r="AR17" s="101"/>
      <c r="AS17" s="101"/>
      <c r="AT17" s="101"/>
      <c r="AU17" s="101"/>
      <c r="AV17" s="101">
        <v>1</v>
      </c>
      <c r="AW17" s="101"/>
    </row>
    <row r="18" spans="1:49" x14ac:dyDescent="0.3">
      <c r="A18" s="31">
        <v>15</v>
      </c>
      <c r="B18" s="110" t="s">
        <v>42</v>
      </c>
      <c r="C18" s="26">
        <v>7051892</v>
      </c>
      <c r="D18" s="26" t="s">
        <v>50</v>
      </c>
      <c r="E18" s="27" t="s">
        <v>51</v>
      </c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8">
        <v>1</v>
      </c>
      <c r="AA18" s="88">
        <v>1</v>
      </c>
      <c r="AB18" s="87">
        <v>1</v>
      </c>
      <c r="AC18" s="87"/>
      <c r="AD18" s="87"/>
      <c r="AE18" s="87"/>
      <c r="AF18" s="87">
        <v>1</v>
      </c>
      <c r="AG18" s="87">
        <v>1</v>
      </c>
      <c r="AH18" s="87">
        <v>1</v>
      </c>
      <c r="AI18" s="87">
        <v>1</v>
      </c>
      <c r="AJ18" s="87">
        <v>1</v>
      </c>
      <c r="AK18" s="87">
        <v>1</v>
      </c>
      <c r="AL18" s="87"/>
      <c r="AM18" s="87">
        <v>1</v>
      </c>
      <c r="AN18" s="87"/>
      <c r="AO18" s="87"/>
      <c r="AP18" s="87"/>
      <c r="AQ18" s="87"/>
      <c r="AR18" s="87"/>
      <c r="AS18" s="87"/>
      <c r="AT18" s="87">
        <v>1</v>
      </c>
      <c r="AU18" s="87">
        <v>1</v>
      </c>
      <c r="AV18" s="87">
        <v>1</v>
      </c>
      <c r="AW18" s="87"/>
    </row>
    <row r="19" spans="1:49" x14ac:dyDescent="0.3">
      <c r="A19" s="31">
        <v>71</v>
      </c>
      <c r="B19" s="28" t="s">
        <v>43</v>
      </c>
      <c r="C19" s="26">
        <v>7092642</v>
      </c>
      <c r="D19" s="26" t="s">
        <v>182</v>
      </c>
      <c r="E19" s="27" t="s">
        <v>88</v>
      </c>
      <c r="F19" s="87">
        <v>1</v>
      </c>
      <c r="G19" s="87"/>
      <c r="H19" s="87"/>
      <c r="I19" s="87"/>
      <c r="J19" s="87"/>
      <c r="K19" s="87"/>
      <c r="L19" s="87">
        <v>1</v>
      </c>
      <c r="M19" s="87"/>
      <c r="N19" s="87"/>
      <c r="O19" s="87"/>
      <c r="P19" s="87"/>
      <c r="Q19" s="87"/>
      <c r="R19" s="87"/>
      <c r="S19" s="87"/>
      <c r="T19" s="87">
        <v>1</v>
      </c>
      <c r="U19" s="87"/>
      <c r="V19" s="87"/>
      <c r="W19" s="87"/>
      <c r="X19" s="87"/>
      <c r="Y19" s="87">
        <v>1</v>
      </c>
      <c r="Z19" s="88">
        <v>1</v>
      </c>
      <c r="AA19" s="88">
        <v>1</v>
      </c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</row>
    <row r="20" spans="1:49" x14ac:dyDescent="0.3">
      <c r="A20" s="31">
        <v>53</v>
      </c>
      <c r="B20" s="32" t="s">
        <v>49</v>
      </c>
      <c r="C20" s="33">
        <v>7093556</v>
      </c>
      <c r="D20" s="34" t="s">
        <v>52</v>
      </c>
      <c r="E20" s="34" t="s">
        <v>53</v>
      </c>
      <c r="F20" s="87"/>
      <c r="G20" s="87"/>
      <c r="H20" s="87"/>
      <c r="I20" s="87"/>
      <c r="J20" s="87"/>
      <c r="K20" s="87"/>
      <c r="L20" s="87">
        <v>1</v>
      </c>
      <c r="M20" s="87">
        <v>1</v>
      </c>
      <c r="N20" s="87">
        <v>1</v>
      </c>
      <c r="O20" s="87">
        <v>1</v>
      </c>
      <c r="P20" s="87"/>
      <c r="Q20" s="87">
        <v>1</v>
      </c>
      <c r="R20" s="87"/>
      <c r="S20" s="87">
        <v>1</v>
      </c>
      <c r="T20" s="87">
        <v>1</v>
      </c>
      <c r="U20" s="87"/>
      <c r="V20" s="87"/>
      <c r="W20" s="87"/>
      <c r="X20" s="87"/>
      <c r="Y20" s="87"/>
      <c r="Z20" s="88">
        <v>1</v>
      </c>
      <c r="AA20" s="88">
        <v>1</v>
      </c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>
        <v>1</v>
      </c>
      <c r="AW20" s="87"/>
    </row>
    <row r="21" spans="1:49" x14ac:dyDescent="0.3">
      <c r="A21" s="31">
        <v>90</v>
      </c>
      <c r="B21" s="29" t="s">
        <v>42</v>
      </c>
      <c r="C21" s="26">
        <v>7096419</v>
      </c>
      <c r="D21" s="26" t="s">
        <v>54</v>
      </c>
      <c r="E21" s="26" t="s">
        <v>354</v>
      </c>
      <c r="F21" s="87"/>
      <c r="G21" s="87"/>
      <c r="H21" s="87"/>
      <c r="I21" s="87"/>
      <c r="J21" s="87"/>
      <c r="K21" s="87"/>
      <c r="L21" s="87">
        <v>1</v>
      </c>
      <c r="M21" s="87">
        <v>1</v>
      </c>
      <c r="N21" s="87">
        <v>1</v>
      </c>
      <c r="O21" s="87"/>
      <c r="P21" s="87"/>
      <c r="Q21" s="87">
        <v>1</v>
      </c>
      <c r="R21" s="87"/>
      <c r="S21" s="87">
        <v>1</v>
      </c>
      <c r="T21" s="87">
        <v>1</v>
      </c>
      <c r="U21" s="87"/>
      <c r="V21" s="87"/>
      <c r="W21" s="87"/>
      <c r="X21" s="87"/>
      <c r="Y21" s="87"/>
      <c r="Z21" s="88">
        <v>1</v>
      </c>
      <c r="AA21" s="88">
        <v>1</v>
      </c>
      <c r="AB21" s="87"/>
      <c r="AC21" s="87"/>
      <c r="AD21" s="87"/>
      <c r="AE21" s="87"/>
      <c r="AF21" s="87"/>
      <c r="AG21" s="87">
        <v>1</v>
      </c>
      <c r="AH21" s="87">
        <v>1</v>
      </c>
      <c r="AI21" s="87">
        <v>1</v>
      </c>
      <c r="AJ21" s="87">
        <v>1</v>
      </c>
      <c r="AK21" s="87">
        <v>1</v>
      </c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</row>
    <row r="22" spans="1:49" x14ac:dyDescent="0.3">
      <c r="A22" s="115">
        <v>43</v>
      </c>
      <c r="B22" s="28" t="s">
        <v>42</v>
      </c>
      <c r="C22" s="26">
        <v>7092308</v>
      </c>
      <c r="D22" s="26" t="s">
        <v>54</v>
      </c>
      <c r="E22" s="26" t="s">
        <v>55</v>
      </c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8">
        <v>1</v>
      </c>
      <c r="AA22" s="88">
        <v>1</v>
      </c>
      <c r="AB22" s="87">
        <v>1</v>
      </c>
      <c r="AC22" s="87"/>
      <c r="AD22" s="87"/>
      <c r="AE22" s="87"/>
      <c r="AF22" s="87">
        <v>1</v>
      </c>
      <c r="AG22" s="87">
        <v>1</v>
      </c>
      <c r="AH22" s="87">
        <v>1</v>
      </c>
      <c r="AI22" s="87">
        <v>1</v>
      </c>
      <c r="AJ22" s="87">
        <v>1</v>
      </c>
      <c r="AK22" s="87">
        <v>1</v>
      </c>
      <c r="AL22" s="87"/>
      <c r="AM22" s="87"/>
      <c r="AN22" s="87">
        <v>1</v>
      </c>
      <c r="AO22" s="87">
        <v>1</v>
      </c>
      <c r="AP22" s="87">
        <v>1</v>
      </c>
      <c r="AQ22" s="87">
        <v>1</v>
      </c>
      <c r="AR22" s="87"/>
      <c r="AS22" s="87"/>
      <c r="AT22" s="87"/>
      <c r="AU22" s="87"/>
      <c r="AV22" s="87"/>
      <c r="AW22" s="87"/>
    </row>
    <row r="23" spans="1:49" x14ac:dyDescent="0.3">
      <c r="A23" s="31">
        <v>77</v>
      </c>
      <c r="B23" s="28" t="s">
        <v>42</v>
      </c>
      <c r="C23" s="26">
        <v>7095860</v>
      </c>
      <c r="D23" s="26" t="s">
        <v>193</v>
      </c>
      <c r="E23" s="26" t="s">
        <v>194</v>
      </c>
      <c r="F23" s="87"/>
      <c r="G23" s="87"/>
      <c r="H23" s="87"/>
      <c r="I23" s="87"/>
      <c r="J23" s="87"/>
      <c r="K23" s="87"/>
      <c r="L23" s="99">
        <v>1</v>
      </c>
      <c r="M23" s="87">
        <v>1</v>
      </c>
      <c r="N23" s="87">
        <v>1</v>
      </c>
      <c r="O23" s="87">
        <v>1</v>
      </c>
      <c r="P23" s="87"/>
      <c r="Q23" s="87">
        <v>1</v>
      </c>
      <c r="R23" s="87">
        <v>1</v>
      </c>
      <c r="S23" s="87">
        <v>1</v>
      </c>
      <c r="T23" s="87">
        <v>1</v>
      </c>
      <c r="U23" s="87"/>
      <c r="V23" s="87"/>
      <c r="W23" s="87"/>
      <c r="X23" s="87"/>
      <c r="Y23" s="87"/>
      <c r="Z23" s="88">
        <v>1</v>
      </c>
      <c r="AA23" s="88">
        <v>1</v>
      </c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>
        <v>1</v>
      </c>
      <c r="AW23" s="87"/>
    </row>
    <row r="24" spans="1:49" x14ac:dyDescent="0.3">
      <c r="A24" s="114">
        <v>11</v>
      </c>
      <c r="B24" s="28" t="s">
        <v>49</v>
      </c>
      <c r="C24" s="40">
        <v>7042058</v>
      </c>
      <c r="D24" s="40" t="s">
        <v>56</v>
      </c>
      <c r="E24" s="40" t="s">
        <v>57</v>
      </c>
      <c r="F24" s="87">
        <v>1</v>
      </c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>
        <v>1</v>
      </c>
      <c r="X24" s="87">
        <v>1</v>
      </c>
      <c r="Y24" s="87"/>
      <c r="Z24" s="88">
        <v>1</v>
      </c>
      <c r="AA24" s="88">
        <v>1</v>
      </c>
      <c r="AB24" s="87"/>
      <c r="AC24" s="87"/>
      <c r="AD24" s="87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>
        <v>1</v>
      </c>
      <c r="AW24" s="87"/>
    </row>
    <row r="25" spans="1:49" x14ac:dyDescent="0.3">
      <c r="A25" s="31">
        <v>87</v>
      </c>
      <c r="B25" s="29" t="s">
        <v>42</v>
      </c>
      <c r="C25" s="26">
        <v>7096844</v>
      </c>
      <c r="D25" s="26" t="s">
        <v>362</v>
      </c>
      <c r="E25" s="27" t="s">
        <v>360</v>
      </c>
      <c r="F25" s="87">
        <v>1</v>
      </c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>
        <v>1</v>
      </c>
      <c r="V25" s="87"/>
      <c r="W25" s="87"/>
      <c r="X25" s="87"/>
      <c r="Y25" s="87"/>
      <c r="Z25" s="88">
        <v>1</v>
      </c>
      <c r="AA25" s="88">
        <v>1</v>
      </c>
      <c r="AB25" s="87"/>
      <c r="AC25" s="87"/>
      <c r="AD25" s="87"/>
      <c r="AE25" s="87"/>
      <c r="AF25" s="87"/>
      <c r="AG25" s="87"/>
      <c r="AH25" s="87"/>
      <c r="AI25" s="87"/>
      <c r="AJ25" s="87"/>
      <c r="AK25" s="87"/>
      <c r="AL25" s="87"/>
      <c r="AM25" s="87"/>
      <c r="AN25" s="87"/>
      <c r="AO25" s="87"/>
      <c r="AP25" s="87"/>
      <c r="AQ25" s="87"/>
      <c r="AR25" s="87"/>
      <c r="AS25" s="87"/>
      <c r="AT25" s="87"/>
      <c r="AU25" s="87"/>
      <c r="AV25" s="87">
        <v>1</v>
      </c>
      <c r="AW25" s="87"/>
    </row>
    <row r="26" spans="1:49" x14ac:dyDescent="0.3">
      <c r="A26" s="31">
        <v>85</v>
      </c>
      <c r="B26" s="28" t="s">
        <v>49</v>
      </c>
      <c r="C26" s="26">
        <v>7096839</v>
      </c>
      <c r="D26" s="26" t="s">
        <v>345</v>
      </c>
      <c r="E26" s="27" t="s">
        <v>346</v>
      </c>
      <c r="F26" s="87"/>
      <c r="G26" s="87"/>
      <c r="H26" s="87"/>
      <c r="I26" s="87"/>
      <c r="J26" s="87"/>
      <c r="K26" s="87"/>
      <c r="L26" s="87">
        <v>1</v>
      </c>
      <c r="M26" s="87">
        <v>1</v>
      </c>
      <c r="N26" s="87">
        <v>1</v>
      </c>
      <c r="O26" s="87"/>
      <c r="P26" s="87">
        <v>1</v>
      </c>
      <c r="Q26" s="87">
        <v>1</v>
      </c>
      <c r="R26" s="87"/>
      <c r="S26" s="87"/>
      <c r="T26" s="87"/>
      <c r="U26" s="87"/>
      <c r="V26" s="87"/>
      <c r="W26" s="87"/>
      <c r="X26" s="87"/>
      <c r="Y26" s="87"/>
      <c r="Z26" s="88">
        <v>1</v>
      </c>
      <c r="AA26" s="88">
        <v>1</v>
      </c>
      <c r="AB26" s="87"/>
      <c r="AC26" s="87"/>
      <c r="AD26" s="87"/>
      <c r="AE26" s="87"/>
      <c r="AF26" s="87"/>
      <c r="AG26" s="87"/>
      <c r="AH26" s="87"/>
      <c r="AI26" s="87"/>
      <c r="AJ26" s="87"/>
      <c r="AK26" s="87"/>
      <c r="AL26" s="87">
        <v>1</v>
      </c>
      <c r="AM26" s="87"/>
      <c r="AN26" s="87"/>
      <c r="AO26" s="87"/>
      <c r="AP26" s="87"/>
      <c r="AQ26" s="87"/>
      <c r="AR26" s="87">
        <v>1</v>
      </c>
      <c r="AS26" s="87"/>
      <c r="AT26" s="87"/>
      <c r="AU26" s="87"/>
      <c r="AV26" s="87">
        <v>1</v>
      </c>
      <c r="AW26" s="87"/>
    </row>
    <row r="27" spans="1:49" x14ac:dyDescent="0.3">
      <c r="A27" s="115">
        <v>12</v>
      </c>
      <c r="B27" s="29" t="s">
        <v>49</v>
      </c>
      <c r="C27" s="26">
        <v>7027781</v>
      </c>
      <c r="D27" s="26" t="s">
        <v>58</v>
      </c>
      <c r="E27" s="26" t="s">
        <v>59</v>
      </c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8">
        <v>1</v>
      </c>
      <c r="AA27" s="88">
        <v>1</v>
      </c>
      <c r="AB27" s="87">
        <v>1</v>
      </c>
      <c r="AC27" s="87"/>
      <c r="AD27" s="87"/>
      <c r="AE27" s="87"/>
      <c r="AF27" s="87">
        <v>1</v>
      </c>
      <c r="AG27" s="87"/>
      <c r="AH27" s="87"/>
      <c r="AI27" s="87">
        <v>1</v>
      </c>
      <c r="AJ27" s="87">
        <v>1</v>
      </c>
      <c r="AK27" s="87">
        <v>1</v>
      </c>
      <c r="AL27" s="87"/>
      <c r="AM27" s="87"/>
      <c r="AN27" s="87"/>
      <c r="AO27" s="87"/>
      <c r="AP27" s="87"/>
      <c r="AQ27" s="87"/>
      <c r="AR27" s="87"/>
      <c r="AS27" s="87"/>
      <c r="AT27" s="87"/>
      <c r="AU27" s="87"/>
      <c r="AV27" s="87"/>
      <c r="AW27" s="87"/>
    </row>
    <row r="28" spans="1:49" x14ac:dyDescent="0.3">
      <c r="A28" s="115">
        <v>78</v>
      </c>
      <c r="B28" s="29" t="s">
        <v>43</v>
      </c>
      <c r="C28" s="26">
        <v>7095862</v>
      </c>
      <c r="D28" s="26" t="s">
        <v>481</v>
      </c>
      <c r="E28" s="26" t="s">
        <v>482</v>
      </c>
      <c r="F28" s="87"/>
      <c r="G28" s="87"/>
      <c r="H28" s="87"/>
      <c r="I28" s="87"/>
      <c r="J28" s="87"/>
      <c r="K28" s="87">
        <v>1</v>
      </c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8"/>
      <c r="AA28" s="88"/>
      <c r="AB28" s="87"/>
      <c r="AC28" s="87"/>
      <c r="AD28" s="87"/>
      <c r="AE28" s="87"/>
      <c r="AF28" s="87"/>
      <c r="AG28" s="87"/>
      <c r="AH28" s="87"/>
      <c r="AI28" s="87"/>
      <c r="AJ28" s="87"/>
      <c r="AK28" s="87"/>
      <c r="AL28" s="87"/>
      <c r="AM28" s="87"/>
      <c r="AN28" s="87"/>
      <c r="AO28" s="87"/>
      <c r="AP28" s="87"/>
      <c r="AQ28" s="87"/>
      <c r="AR28" s="87"/>
      <c r="AS28" s="87"/>
      <c r="AT28" s="87"/>
      <c r="AU28" s="87"/>
      <c r="AV28" s="87"/>
      <c r="AW28" s="87"/>
    </row>
    <row r="29" spans="1:49" x14ac:dyDescent="0.3">
      <c r="A29" s="31">
        <v>42</v>
      </c>
      <c r="B29" s="29" t="s">
        <v>43</v>
      </c>
      <c r="C29" s="26">
        <v>7092742</v>
      </c>
      <c r="D29" s="26" t="s">
        <v>60</v>
      </c>
      <c r="E29" s="27" t="s">
        <v>61</v>
      </c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8">
        <v>1</v>
      </c>
      <c r="AA29" s="88">
        <v>1</v>
      </c>
      <c r="AB29" s="87">
        <v>1</v>
      </c>
      <c r="AC29" s="87"/>
      <c r="AD29" s="87"/>
      <c r="AE29" s="87"/>
      <c r="AF29" s="87">
        <v>1</v>
      </c>
      <c r="AG29" s="87"/>
      <c r="AH29" s="87"/>
      <c r="AI29" s="87">
        <v>1</v>
      </c>
      <c r="AJ29" s="87">
        <v>1</v>
      </c>
      <c r="AK29" s="87">
        <v>1</v>
      </c>
      <c r="AL29" s="87"/>
      <c r="AM29" s="87"/>
      <c r="AN29" s="87"/>
      <c r="AO29" s="87"/>
      <c r="AP29" s="87"/>
      <c r="AQ29" s="87"/>
      <c r="AR29" s="87"/>
      <c r="AS29" s="87"/>
      <c r="AT29" s="87"/>
      <c r="AU29" s="87"/>
      <c r="AV29" s="87"/>
      <c r="AW29" s="87"/>
    </row>
    <row r="30" spans="1:49" x14ac:dyDescent="0.3">
      <c r="A30" s="31">
        <v>60</v>
      </c>
      <c r="B30" s="32" t="s">
        <v>49</v>
      </c>
      <c r="C30" s="42">
        <v>7094360</v>
      </c>
      <c r="D30" s="43" t="s">
        <v>62</v>
      </c>
      <c r="E30" s="100" t="s">
        <v>177</v>
      </c>
      <c r="F30" s="87">
        <v>1</v>
      </c>
      <c r="G30" s="87"/>
      <c r="H30" s="87"/>
      <c r="I30" s="87"/>
      <c r="J30" s="87"/>
      <c r="K30" s="87"/>
      <c r="L30" s="87">
        <v>1</v>
      </c>
      <c r="M30" s="87">
        <v>1</v>
      </c>
      <c r="N30" s="87">
        <v>1</v>
      </c>
      <c r="O30" s="87"/>
      <c r="P30" s="87"/>
      <c r="Q30" s="87"/>
      <c r="R30" s="87"/>
      <c r="S30" s="87">
        <v>1</v>
      </c>
      <c r="T30" s="87">
        <v>1</v>
      </c>
      <c r="U30" s="87"/>
      <c r="V30" s="87"/>
      <c r="W30" s="87"/>
      <c r="X30" s="87"/>
      <c r="Y30" s="87"/>
      <c r="Z30" s="88">
        <v>1</v>
      </c>
      <c r="AA30" s="88">
        <v>1</v>
      </c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7"/>
      <c r="AO30" s="87"/>
      <c r="AP30" s="87"/>
      <c r="AQ30" s="87"/>
      <c r="AR30" s="87"/>
      <c r="AS30" s="87"/>
      <c r="AT30" s="87"/>
      <c r="AU30" s="87"/>
      <c r="AV30" s="87">
        <v>1</v>
      </c>
      <c r="AW30" s="87"/>
    </row>
    <row r="31" spans="1:49" x14ac:dyDescent="0.3">
      <c r="A31" s="31">
        <v>6</v>
      </c>
      <c r="B31" s="32" t="s">
        <v>43</v>
      </c>
      <c r="C31" s="26">
        <v>7027011</v>
      </c>
      <c r="D31" s="26" t="s">
        <v>62</v>
      </c>
      <c r="E31" s="27" t="s">
        <v>63</v>
      </c>
      <c r="F31" s="87"/>
      <c r="G31" s="87"/>
      <c r="H31" s="87"/>
      <c r="I31" s="87">
        <v>1</v>
      </c>
      <c r="J31" s="87">
        <v>1</v>
      </c>
      <c r="K31" s="87">
        <v>1</v>
      </c>
      <c r="L31" s="87">
        <v>1</v>
      </c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8">
        <v>1</v>
      </c>
      <c r="AA31" s="88">
        <v>1</v>
      </c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</row>
    <row r="32" spans="1:49" x14ac:dyDescent="0.3">
      <c r="A32" s="31">
        <v>55</v>
      </c>
      <c r="B32" s="29" t="s">
        <v>49</v>
      </c>
      <c r="C32" s="33">
        <v>7094195</v>
      </c>
      <c r="D32" s="34" t="s">
        <v>190</v>
      </c>
      <c r="E32" s="34" t="s">
        <v>106</v>
      </c>
      <c r="F32" s="87">
        <v>1</v>
      </c>
      <c r="G32" s="87"/>
      <c r="H32" s="87"/>
      <c r="I32" s="87"/>
      <c r="J32" s="87"/>
      <c r="K32" s="87"/>
      <c r="L32" s="87">
        <v>1</v>
      </c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8">
        <v>1</v>
      </c>
      <c r="AA32" s="88">
        <v>1</v>
      </c>
      <c r="AB32" s="87"/>
      <c r="AC32" s="87"/>
      <c r="AD32" s="87"/>
      <c r="AE32" s="87"/>
      <c r="AF32" s="87">
        <v>1</v>
      </c>
      <c r="AG32" s="87">
        <v>1</v>
      </c>
      <c r="AH32" s="87">
        <v>1</v>
      </c>
      <c r="AI32" s="87">
        <v>1</v>
      </c>
      <c r="AJ32" s="87">
        <v>1</v>
      </c>
      <c r="AK32" s="87"/>
      <c r="AL32" s="87"/>
      <c r="AM32" s="87"/>
      <c r="AN32" s="87"/>
      <c r="AO32" s="87"/>
      <c r="AP32" s="87"/>
      <c r="AQ32" s="87"/>
      <c r="AR32" s="87"/>
      <c r="AS32" s="87"/>
      <c r="AT32" s="87">
        <v>1</v>
      </c>
      <c r="AU32" s="87">
        <v>1</v>
      </c>
      <c r="AV32" s="87">
        <v>1</v>
      </c>
      <c r="AW32" s="87"/>
    </row>
    <row r="33" spans="1:49" x14ac:dyDescent="0.3">
      <c r="A33" s="31">
        <v>29</v>
      </c>
      <c r="B33" s="32" t="s">
        <v>46</v>
      </c>
      <c r="C33" s="26">
        <v>7091826</v>
      </c>
      <c r="D33" s="26" t="s">
        <v>64</v>
      </c>
      <c r="E33" s="27" t="s">
        <v>65</v>
      </c>
      <c r="F33" s="87">
        <v>1</v>
      </c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8">
        <v>1</v>
      </c>
      <c r="AA33" s="88">
        <v>1</v>
      </c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7"/>
      <c r="AO33" s="87"/>
      <c r="AP33" s="87"/>
      <c r="AQ33" s="87"/>
      <c r="AR33" s="87"/>
      <c r="AS33" s="87"/>
      <c r="AT33" s="87"/>
      <c r="AU33" s="87"/>
      <c r="AV33" s="87"/>
      <c r="AW33" s="87"/>
    </row>
    <row r="34" spans="1:49" x14ac:dyDescent="0.3">
      <c r="A34" s="31">
        <v>121</v>
      </c>
      <c r="B34" s="29" t="s">
        <v>341</v>
      </c>
      <c r="C34" s="33">
        <v>7402166</v>
      </c>
      <c r="D34" s="34" t="s">
        <v>64</v>
      </c>
      <c r="E34" s="34" t="s">
        <v>430</v>
      </c>
      <c r="F34" s="87">
        <v>1</v>
      </c>
      <c r="G34" s="87"/>
      <c r="H34" s="87"/>
      <c r="I34" s="87">
        <v>1</v>
      </c>
      <c r="J34" s="87"/>
      <c r="K34" s="87"/>
      <c r="L34" s="87">
        <v>1</v>
      </c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8"/>
      <c r="AA34" s="88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7"/>
      <c r="AO34" s="87"/>
      <c r="AP34" s="87"/>
      <c r="AQ34" s="87"/>
      <c r="AR34" s="87"/>
      <c r="AS34" s="87"/>
      <c r="AT34" s="87"/>
      <c r="AU34" s="87"/>
      <c r="AV34" s="87"/>
      <c r="AW34" s="87"/>
    </row>
    <row r="35" spans="1:49" x14ac:dyDescent="0.3">
      <c r="A35" s="31">
        <v>16</v>
      </c>
      <c r="B35" s="104" t="s">
        <v>42</v>
      </c>
      <c r="C35" s="26">
        <v>7051891</v>
      </c>
      <c r="D35" s="26" t="s">
        <v>66</v>
      </c>
      <c r="E35" s="27" t="s">
        <v>67</v>
      </c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8">
        <v>1</v>
      </c>
      <c r="AA35" s="88">
        <v>1</v>
      </c>
      <c r="AB35" s="87">
        <v>1</v>
      </c>
      <c r="AC35" s="87"/>
      <c r="AD35" s="87"/>
      <c r="AE35" s="87"/>
      <c r="AF35" s="87">
        <v>1</v>
      </c>
      <c r="AG35" s="87">
        <v>1</v>
      </c>
      <c r="AH35" s="87"/>
      <c r="AI35" s="87">
        <v>1</v>
      </c>
      <c r="AJ35" s="87">
        <v>1</v>
      </c>
      <c r="AK35" s="87">
        <v>1</v>
      </c>
      <c r="AL35" s="87"/>
      <c r="AM35" s="87"/>
      <c r="AN35" s="87"/>
      <c r="AO35" s="87"/>
      <c r="AP35" s="87"/>
      <c r="AQ35" s="87"/>
      <c r="AR35" s="87"/>
      <c r="AS35" s="87"/>
      <c r="AT35" s="87"/>
      <c r="AU35" s="87"/>
      <c r="AV35" s="87"/>
      <c r="AW35" s="87"/>
    </row>
    <row r="36" spans="1:49" x14ac:dyDescent="0.3">
      <c r="A36" s="112"/>
      <c r="B36" s="110"/>
      <c r="C36" s="28">
        <v>7401878</v>
      </c>
      <c r="D36" s="28" t="s">
        <v>445</v>
      </c>
      <c r="E36" s="28" t="s">
        <v>446</v>
      </c>
      <c r="F36" s="101">
        <v>1</v>
      </c>
      <c r="G36" s="101"/>
      <c r="H36" s="101"/>
      <c r="I36" s="101"/>
      <c r="J36" s="101"/>
      <c r="K36" s="101"/>
      <c r="L36" s="101">
        <v>1</v>
      </c>
      <c r="M36" s="101">
        <v>1</v>
      </c>
      <c r="N36" s="101">
        <v>1</v>
      </c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8"/>
      <c r="AA36" s="108">
        <v>1</v>
      </c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>
        <v>1</v>
      </c>
      <c r="AW36" s="101"/>
    </row>
    <row r="37" spans="1:49" x14ac:dyDescent="0.3">
      <c r="A37" s="115">
        <v>17</v>
      </c>
      <c r="B37" s="28" t="s">
        <v>49</v>
      </c>
      <c r="C37" s="26">
        <v>7051764</v>
      </c>
      <c r="D37" s="26" t="s">
        <v>68</v>
      </c>
      <c r="E37" s="113" t="s">
        <v>69</v>
      </c>
      <c r="F37" s="87"/>
      <c r="G37" s="87"/>
      <c r="H37" s="87"/>
      <c r="I37" s="87"/>
      <c r="J37" s="87"/>
      <c r="K37" s="87"/>
      <c r="L37" s="87">
        <v>1</v>
      </c>
      <c r="M37" s="87">
        <v>1</v>
      </c>
      <c r="N37" s="87">
        <v>1</v>
      </c>
      <c r="O37" s="87"/>
      <c r="P37" s="87"/>
      <c r="Q37" s="87">
        <v>1</v>
      </c>
      <c r="R37" s="87">
        <v>1</v>
      </c>
      <c r="S37" s="87">
        <v>1</v>
      </c>
      <c r="T37" s="87">
        <v>1</v>
      </c>
      <c r="U37" s="87"/>
      <c r="V37" s="87"/>
      <c r="W37" s="87"/>
      <c r="X37" s="87"/>
      <c r="Y37" s="87"/>
      <c r="Z37" s="88">
        <v>1</v>
      </c>
      <c r="AA37" s="88">
        <v>1</v>
      </c>
      <c r="AB37" s="87"/>
      <c r="AC37" s="87"/>
      <c r="AD37" s="87"/>
      <c r="AE37" s="87"/>
      <c r="AF37" s="87"/>
      <c r="AG37" s="87"/>
      <c r="AH37" s="87"/>
      <c r="AI37" s="87"/>
      <c r="AJ37" s="87"/>
      <c r="AK37" s="87"/>
      <c r="AL37" s="87"/>
      <c r="AM37" s="87"/>
      <c r="AN37" s="87"/>
      <c r="AO37" s="87"/>
      <c r="AP37" s="87"/>
      <c r="AQ37" s="87"/>
      <c r="AR37" s="87"/>
      <c r="AS37" s="87"/>
      <c r="AT37" s="87"/>
      <c r="AU37" s="87"/>
      <c r="AV37" s="87"/>
      <c r="AW37" s="87"/>
    </row>
    <row r="38" spans="1:49" x14ac:dyDescent="0.3">
      <c r="A38" s="115"/>
      <c r="B38" s="29"/>
      <c r="C38" s="28">
        <v>7402080</v>
      </c>
      <c r="D38" s="28" t="s">
        <v>447</v>
      </c>
      <c r="E38" s="28" t="s">
        <v>99</v>
      </c>
      <c r="F38" s="87">
        <v>1</v>
      </c>
      <c r="G38" s="87"/>
      <c r="H38" s="87"/>
      <c r="I38" s="87"/>
      <c r="J38" s="87"/>
      <c r="K38" s="87"/>
      <c r="L38" s="87">
        <v>1</v>
      </c>
      <c r="M38" s="87">
        <v>1</v>
      </c>
      <c r="N38" s="87">
        <v>1</v>
      </c>
      <c r="O38" s="87">
        <v>1</v>
      </c>
      <c r="P38" s="87"/>
      <c r="Q38" s="87"/>
      <c r="R38" s="87"/>
      <c r="S38" s="87">
        <v>1</v>
      </c>
      <c r="T38" s="87">
        <v>1</v>
      </c>
      <c r="U38" s="87"/>
      <c r="V38" s="87"/>
      <c r="W38" s="87"/>
      <c r="X38" s="87"/>
      <c r="Y38" s="87">
        <v>1</v>
      </c>
      <c r="Z38" s="88">
        <v>1</v>
      </c>
      <c r="AA38" s="88">
        <v>1</v>
      </c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7"/>
      <c r="AO38" s="87"/>
      <c r="AP38" s="87"/>
      <c r="AQ38" s="87"/>
      <c r="AR38" s="87"/>
      <c r="AS38" s="87"/>
      <c r="AT38" s="87"/>
      <c r="AU38" s="87"/>
      <c r="AV38" s="87">
        <v>1</v>
      </c>
      <c r="AW38" s="87"/>
    </row>
    <row r="39" spans="1:49" x14ac:dyDescent="0.3">
      <c r="A39" s="31">
        <v>57</v>
      </c>
      <c r="B39" s="28" t="s">
        <v>42</v>
      </c>
      <c r="C39" s="26">
        <v>7092660</v>
      </c>
      <c r="D39" s="26" t="s">
        <v>169</v>
      </c>
      <c r="E39" s="27" t="s">
        <v>170</v>
      </c>
      <c r="F39" s="87">
        <v>1</v>
      </c>
      <c r="G39" s="87"/>
      <c r="H39" s="87"/>
      <c r="I39" s="87"/>
      <c r="J39" s="87"/>
      <c r="K39" s="87"/>
      <c r="L39" s="87">
        <v>1</v>
      </c>
      <c r="M39" s="87"/>
      <c r="N39" s="87"/>
      <c r="O39" s="87"/>
      <c r="P39" s="87">
        <v>1</v>
      </c>
      <c r="Q39" s="87"/>
      <c r="R39" s="87"/>
      <c r="S39" s="87"/>
      <c r="T39" s="87"/>
      <c r="U39" s="87"/>
      <c r="V39" s="87"/>
      <c r="W39" s="87">
        <v>1</v>
      </c>
      <c r="X39" s="87"/>
      <c r="Y39" s="87"/>
      <c r="Z39" s="88">
        <v>1</v>
      </c>
      <c r="AA39" s="88">
        <v>1</v>
      </c>
      <c r="AB39" s="87"/>
      <c r="AC39" s="87"/>
      <c r="AD39" s="87"/>
      <c r="AE39" s="87">
        <v>1</v>
      </c>
      <c r="AF39" s="87"/>
      <c r="AG39" s="87"/>
      <c r="AH39" s="87"/>
      <c r="AI39" s="87"/>
      <c r="AJ39" s="87"/>
      <c r="AK39" s="87"/>
      <c r="AL39" s="87"/>
      <c r="AM39" s="87"/>
      <c r="AN39" s="87"/>
      <c r="AO39" s="87"/>
      <c r="AP39" s="87"/>
      <c r="AQ39" s="87"/>
      <c r="AR39" s="87"/>
      <c r="AS39" s="87"/>
      <c r="AT39" s="87"/>
      <c r="AU39" s="87"/>
      <c r="AV39" s="87">
        <v>1</v>
      </c>
      <c r="AW39" s="87"/>
    </row>
    <row r="40" spans="1:49" x14ac:dyDescent="0.3">
      <c r="A40" s="31">
        <v>116</v>
      </c>
      <c r="B40" s="32"/>
      <c r="C40" s="37">
        <v>7402314</v>
      </c>
      <c r="D40" s="38" t="s">
        <v>412</v>
      </c>
      <c r="E40" s="38" t="s">
        <v>78</v>
      </c>
      <c r="F40" s="87">
        <v>1</v>
      </c>
      <c r="G40" s="87"/>
      <c r="H40" s="87">
        <v>1</v>
      </c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>
        <v>1</v>
      </c>
      <c r="X40" s="87"/>
      <c r="Y40" s="87"/>
      <c r="Z40" s="88"/>
      <c r="AA40" s="88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7"/>
      <c r="AO40" s="87"/>
      <c r="AP40" s="87"/>
      <c r="AQ40" s="87"/>
      <c r="AR40" s="87"/>
      <c r="AS40" s="87"/>
      <c r="AT40" s="87"/>
      <c r="AU40" s="87"/>
      <c r="AV40" s="87">
        <v>1</v>
      </c>
      <c r="AW40" s="87"/>
    </row>
    <row r="41" spans="1:49" x14ac:dyDescent="0.3">
      <c r="A41" s="31">
        <v>28</v>
      </c>
      <c r="B41" s="28" t="s">
        <v>43</v>
      </c>
      <c r="C41" s="33">
        <v>7077347</v>
      </c>
      <c r="D41" s="34" t="s">
        <v>70</v>
      </c>
      <c r="E41" s="34" t="s">
        <v>71</v>
      </c>
      <c r="F41" s="87">
        <v>1</v>
      </c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>
        <v>1</v>
      </c>
      <c r="Y41" s="87"/>
      <c r="Z41" s="88">
        <v>1</v>
      </c>
      <c r="AA41" s="88">
        <v>1</v>
      </c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>
        <v>1</v>
      </c>
      <c r="AW41" s="87"/>
    </row>
    <row r="42" spans="1:49" x14ac:dyDescent="0.3">
      <c r="A42" s="31">
        <v>66</v>
      </c>
      <c r="B42" s="28" t="s">
        <v>43</v>
      </c>
      <c r="C42" s="26">
        <v>7095758</v>
      </c>
      <c r="D42" s="26" t="s">
        <v>183</v>
      </c>
      <c r="E42" s="26" t="s">
        <v>184</v>
      </c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8">
        <v>1</v>
      </c>
      <c r="AA42" s="88">
        <v>1</v>
      </c>
      <c r="AB42" s="87"/>
      <c r="AC42" s="87"/>
      <c r="AD42" s="87"/>
      <c r="AE42" s="87"/>
      <c r="AF42" s="87">
        <v>1</v>
      </c>
      <c r="AG42" s="87">
        <v>1</v>
      </c>
      <c r="AH42" s="87"/>
      <c r="AI42" s="87">
        <v>1</v>
      </c>
      <c r="AJ42" s="87">
        <v>1</v>
      </c>
      <c r="AK42" s="87"/>
      <c r="AL42" s="87"/>
      <c r="AM42" s="87"/>
      <c r="AN42" s="87"/>
      <c r="AO42" s="87"/>
      <c r="AP42" s="87"/>
      <c r="AQ42" s="87"/>
      <c r="AR42" s="87"/>
      <c r="AS42" s="87"/>
      <c r="AT42" s="87"/>
      <c r="AU42" s="87"/>
      <c r="AV42" s="87"/>
      <c r="AW42" s="87"/>
    </row>
    <row r="43" spans="1:49" x14ac:dyDescent="0.3">
      <c r="A43" s="31">
        <v>86</v>
      </c>
      <c r="B43" s="32" t="s">
        <v>42</v>
      </c>
      <c r="C43" s="37">
        <v>7095865</v>
      </c>
      <c r="D43" s="34" t="s">
        <v>353</v>
      </c>
      <c r="E43" s="34" t="s">
        <v>45</v>
      </c>
      <c r="F43" s="87">
        <v>1</v>
      </c>
      <c r="G43" s="87"/>
      <c r="H43" s="87">
        <v>1</v>
      </c>
      <c r="I43" s="87"/>
      <c r="J43" s="87"/>
      <c r="K43" s="87"/>
      <c r="L43" s="87">
        <v>1</v>
      </c>
      <c r="M43" s="87">
        <v>1</v>
      </c>
      <c r="N43" s="87">
        <v>1</v>
      </c>
      <c r="O43" s="87">
        <v>1</v>
      </c>
      <c r="P43" s="87"/>
      <c r="Q43" s="87">
        <v>1</v>
      </c>
      <c r="R43" s="87">
        <v>1</v>
      </c>
      <c r="S43" s="87">
        <v>1</v>
      </c>
      <c r="T43" s="87">
        <v>1</v>
      </c>
      <c r="U43" s="87"/>
      <c r="V43" s="87"/>
      <c r="W43" s="87"/>
      <c r="X43" s="87"/>
      <c r="Y43" s="87"/>
      <c r="Z43" s="88">
        <v>1</v>
      </c>
      <c r="AA43" s="88">
        <v>1</v>
      </c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7"/>
      <c r="AO43" s="87"/>
      <c r="AP43" s="87"/>
      <c r="AQ43" s="87"/>
      <c r="AR43" s="87"/>
      <c r="AS43" s="87"/>
      <c r="AT43" s="87"/>
      <c r="AU43" s="87"/>
      <c r="AV43" s="87">
        <v>1</v>
      </c>
      <c r="AW43" s="87"/>
    </row>
    <row r="44" spans="1:49" x14ac:dyDescent="0.3">
      <c r="A44" s="31">
        <v>97</v>
      </c>
      <c r="B44" s="32"/>
      <c r="C44" s="33">
        <v>7401072</v>
      </c>
      <c r="D44" s="34" t="s">
        <v>372</v>
      </c>
      <c r="E44" s="34" t="s">
        <v>373</v>
      </c>
      <c r="F44" s="87"/>
      <c r="G44" s="87"/>
      <c r="H44" s="87"/>
      <c r="I44" s="87"/>
      <c r="J44" s="87"/>
      <c r="K44" s="87">
        <v>1</v>
      </c>
      <c r="L44" s="87">
        <v>1</v>
      </c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8">
        <v>1</v>
      </c>
      <c r="AA44" s="88">
        <v>1</v>
      </c>
      <c r="AB44" s="87"/>
      <c r="AC44" s="87"/>
      <c r="AD44" s="87"/>
      <c r="AE44" s="87"/>
      <c r="AF44" s="87">
        <v>1</v>
      </c>
      <c r="AG44" s="87"/>
      <c r="AH44" s="87"/>
      <c r="AI44" s="87">
        <v>1</v>
      </c>
      <c r="AJ44" s="87">
        <v>1</v>
      </c>
      <c r="AK44" s="87"/>
      <c r="AL44" s="87"/>
      <c r="AM44" s="87"/>
      <c r="AN44" s="87"/>
      <c r="AO44" s="87"/>
      <c r="AP44" s="87"/>
      <c r="AQ44" s="87"/>
      <c r="AR44" s="87"/>
      <c r="AS44" s="87"/>
      <c r="AT44" s="87"/>
      <c r="AU44" s="87"/>
      <c r="AV44" s="87">
        <v>1</v>
      </c>
      <c r="AW44" s="87"/>
    </row>
    <row r="45" spans="1:49" x14ac:dyDescent="0.3">
      <c r="A45" s="115">
        <v>78</v>
      </c>
      <c r="B45" s="28" t="s">
        <v>198</v>
      </c>
      <c r="C45" s="119">
        <v>7095735</v>
      </c>
      <c r="D45" s="120" t="s">
        <v>199</v>
      </c>
      <c r="E45" s="120" t="s">
        <v>200</v>
      </c>
      <c r="F45" s="87">
        <v>1</v>
      </c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>
        <v>1</v>
      </c>
      <c r="V45" s="87">
        <v>1</v>
      </c>
      <c r="W45" s="87">
        <v>1</v>
      </c>
      <c r="X45" s="87"/>
      <c r="Y45" s="87"/>
      <c r="Z45" s="88">
        <v>1</v>
      </c>
      <c r="AA45" s="88">
        <v>1</v>
      </c>
      <c r="AB45" s="87"/>
      <c r="AC45" s="87"/>
      <c r="AD45" s="87"/>
      <c r="AE45" s="87"/>
      <c r="AF45" s="87"/>
      <c r="AG45" s="87"/>
      <c r="AH45" s="87">
        <v>1</v>
      </c>
      <c r="AI45" s="87">
        <v>1</v>
      </c>
      <c r="AJ45" s="87">
        <v>1</v>
      </c>
      <c r="AK45" s="87"/>
      <c r="AL45" s="87"/>
      <c r="AM45" s="87"/>
      <c r="AN45" s="87"/>
      <c r="AO45" s="87"/>
      <c r="AP45" s="87"/>
      <c r="AQ45" s="87"/>
      <c r="AR45" s="87"/>
      <c r="AS45" s="87"/>
      <c r="AT45" s="87"/>
      <c r="AU45" s="87"/>
      <c r="AV45" s="87">
        <v>1</v>
      </c>
      <c r="AW45" s="87"/>
    </row>
    <row r="46" spans="1:49" x14ac:dyDescent="0.3">
      <c r="A46" s="115">
        <v>96</v>
      </c>
      <c r="B46" s="87" t="s">
        <v>49</v>
      </c>
      <c r="C46" s="33">
        <v>7098056</v>
      </c>
      <c r="D46" s="34" t="s">
        <v>365</v>
      </c>
      <c r="E46" s="34" t="s">
        <v>67</v>
      </c>
      <c r="F46" s="87">
        <v>1</v>
      </c>
      <c r="G46" s="87"/>
      <c r="H46" s="87">
        <v>1</v>
      </c>
      <c r="I46" s="87"/>
      <c r="J46" s="87"/>
      <c r="K46" s="87"/>
      <c r="L46" s="87">
        <v>1</v>
      </c>
      <c r="M46" s="87">
        <v>1</v>
      </c>
      <c r="N46" s="87">
        <v>1</v>
      </c>
      <c r="O46" s="87">
        <v>1</v>
      </c>
      <c r="P46" s="87"/>
      <c r="Q46" s="87">
        <v>1</v>
      </c>
      <c r="R46" s="87">
        <v>1</v>
      </c>
      <c r="S46" s="87">
        <v>1</v>
      </c>
      <c r="T46" s="87">
        <v>1</v>
      </c>
      <c r="U46" s="87"/>
      <c r="V46" s="87"/>
      <c r="W46" s="87">
        <v>1</v>
      </c>
      <c r="X46" s="87"/>
      <c r="Y46" s="87">
        <v>1</v>
      </c>
      <c r="Z46" s="88">
        <v>1</v>
      </c>
      <c r="AA46" s="88">
        <v>1</v>
      </c>
      <c r="AB46" s="87"/>
      <c r="AC46" s="87"/>
      <c r="AD46" s="87"/>
      <c r="AE46" s="87"/>
      <c r="AF46" s="87"/>
      <c r="AG46" s="87"/>
      <c r="AH46" s="87"/>
      <c r="AI46" s="87"/>
      <c r="AJ46" s="87"/>
      <c r="AK46" s="87"/>
      <c r="AL46" s="87"/>
      <c r="AM46" s="87"/>
      <c r="AN46" s="87"/>
      <c r="AO46" s="87"/>
      <c r="AP46" s="87"/>
      <c r="AQ46" s="87"/>
      <c r="AR46" s="87"/>
      <c r="AS46" s="87"/>
      <c r="AT46" s="87"/>
      <c r="AU46" s="87"/>
      <c r="AV46" s="87">
        <v>1</v>
      </c>
      <c r="AW46" s="87"/>
    </row>
    <row r="47" spans="1:49" x14ac:dyDescent="0.3">
      <c r="A47" s="114">
        <v>61</v>
      </c>
      <c r="B47" s="36" t="s">
        <v>49</v>
      </c>
      <c r="C47" s="26">
        <v>7077343</v>
      </c>
      <c r="D47" s="26" t="s">
        <v>168</v>
      </c>
      <c r="E47" s="27" t="s">
        <v>100</v>
      </c>
      <c r="F47" s="87">
        <v>1</v>
      </c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>
        <v>1</v>
      </c>
      <c r="V47" s="87"/>
      <c r="W47" s="87"/>
      <c r="X47" s="87"/>
      <c r="Y47" s="87"/>
      <c r="Z47" s="88">
        <v>1</v>
      </c>
      <c r="AA47" s="88">
        <v>1</v>
      </c>
      <c r="AB47" s="87"/>
      <c r="AC47" s="87"/>
      <c r="AD47" s="87"/>
      <c r="AE47" s="87"/>
      <c r="AF47" s="87"/>
      <c r="AG47" s="87"/>
      <c r="AH47" s="87"/>
      <c r="AI47" s="87"/>
      <c r="AJ47" s="87"/>
      <c r="AK47" s="87"/>
      <c r="AL47" s="87"/>
      <c r="AM47" s="87"/>
      <c r="AN47" s="87"/>
      <c r="AO47" s="87"/>
      <c r="AP47" s="87"/>
      <c r="AQ47" s="87"/>
      <c r="AR47" s="87"/>
      <c r="AS47" s="87"/>
      <c r="AT47" s="87"/>
      <c r="AU47" s="87"/>
      <c r="AV47" s="87"/>
      <c r="AW47" s="87"/>
    </row>
    <row r="48" spans="1:49" x14ac:dyDescent="0.3">
      <c r="A48" s="115">
        <v>34</v>
      </c>
      <c r="B48" s="29" t="s">
        <v>43</v>
      </c>
      <c r="C48" s="26">
        <v>7074372</v>
      </c>
      <c r="D48" s="26" t="s">
        <v>72</v>
      </c>
      <c r="E48" s="26" t="s">
        <v>73</v>
      </c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>
        <v>1</v>
      </c>
      <c r="Q48" s="87"/>
      <c r="R48" s="87"/>
      <c r="S48" s="87"/>
      <c r="T48" s="87"/>
      <c r="U48" s="87"/>
      <c r="V48" s="87"/>
      <c r="W48" s="87"/>
      <c r="X48" s="87"/>
      <c r="Y48" s="87"/>
      <c r="Z48" s="88">
        <v>1</v>
      </c>
      <c r="AA48" s="88"/>
      <c r="AB48" s="87"/>
      <c r="AC48" s="87"/>
      <c r="AD48" s="87"/>
      <c r="AE48" s="87"/>
      <c r="AF48" s="87"/>
      <c r="AG48" s="87"/>
      <c r="AH48" s="87"/>
      <c r="AI48" s="87"/>
      <c r="AJ48" s="87"/>
      <c r="AK48" s="87"/>
      <c r="AL48" s="87"/>
      <c r="AM48" s="87"/>
      <c r="AN48" s="87"/>
      <c r="AO48" s="87"/>
      <c r="AP48" s="87"/>
      <c r="AQ48" s="87"/>
      <c r="AR48" s="87"/>
      <c r="AS48" s="87"/>
      <c r="AT48" s="87"/>
      <c r="AU48" s="87"/>
      <c r="AV48" s="87"/>
      <c r="AW48" s="87"/>
    </row>
    <row r="49" spans="1:49" x14ac:dyDescent="0.3">
      <c r="A49" s="31">
        <v>84</v>
      </c>
      <c r="B49" s="29" t="s">
        <v>42</v>
      </c>
      <c r="C49" s="33">
        <v>7095749</v>
      </c>
      <c r="D49" s="34" t="s">
        <v>347</v>
      </c>
      <c r="E49" s="34" t="s">
        <v>348</v>
      </c>
      <c r="F49" s="87"/>
      <c r="G49" s="87"/>
      <c r="H49" s="87"/>
      <c r="I49" s="87"/>
      <c r="J49" s="87"/>
      <c r="K49" s="87"/>
      <c r="L49" s="87">
        <v>1</v>
      </c>
      <c r="M49" s="87">
        <v>1</v>
      </c>
      <c r="N49" s="87">
        <v>1</v>
      </c>
      <c r="O49" s="87"/>
      <c r="P49" s="87">
        <v>1</v>
      </c>
      <c r="Q49" s="87">
        <v>1</v>
      </c>
      <c r="R49" s="87"/>
      <c r="S49" s="87">
        <v>1</v>
      </c>
      <c r="T49" s="87"/>
      <c r="U49" s="87"/>
      <c r="V49" s="87"/>
      <c r="W49" s="87"/>
      <c r="X49" s="87"/>
      <c r="Y49" s="87"/>
      <c r="Z49" s="88">
        <v>1</v>
      </c>
      <c r="AA49" s="88">
        <v>1</v>
      </c>
      <c r="AB49" s="87"/>
      <c r="AC49" s="87"/>
      <c r="AD49" s="87"/>
      <c r="AE49" s="87"/>
      <c r="AF49" s="87"/>
      <c r="AG49" s="87"/>
      <c r="AH49" s="87"/>
      <c r="AI49" s="87"/>
      <c r="AJ49" s="87"/>
      <c r="AK49" s="87"/>
      <c r="AL49" s="87"/>
      <c r="AM49" s="87"/>
      <c r="AN49" s="87"/>
      <c r="AO49" s="87"/>
      <c r="AP49" s="87"/>
      <c r="AQ49" s="87"/>
      <c r="AR49" s="87"/>
      <c r="AS49" s="87"/>
      <c r="AT49" s="87"/>
      <c r="AU49" s="87"/>
      <c r="AV49" s="87"/>
      <c r="AW49" s="87"/>
    </row>
    <row r="50" spans="1:49" x14ac:dyDescent="0.3">
      <c r="A50" s="31"/>
      <c r="B50" s="32"/>
      <c r="C50" s="28">
        <v>7401169</v>
      </c>
      <c r="D50" s="28" t="s">
        <v>448</v>
      </c>
      <c r="E50" s="28" t="s">
        <v>449</v>
      </c>
      <c r="F50" s="87">
        <v>1</v>
      </c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>
        <v>1</v>
      </c>
      <c r="T50" s="87">
        <v>1</v>
      </c>
      <c r="U50" s="87"/>
      <c r="V50" s="87"/>
      <c r="W50" s="87"/>
      <c r="X50" s="87"/>
      <c r="Y50" s="87">
        <v>1</v>
      </c>
      <c r="Z50" s="88"/>
      <c r="AA50" s="88">
        <v>1</v>
      </c>
      <c r="AB50" s="98"/>
      <c r="AC50" s="87"/>
      <c r="AD50" s="87"/>
      <c r="AE50" s="87"/>
      <c r="AF50" s="87"/>
      <c r="AG50" s="87"/>
      <c r="AH50" s="87"/>
      <c r="AI50" s="87"/>
      <c r="AJ50" s="87"/>
      <c r="AK50" s="87"/>
      <c r="AL50" s="87">
        <v>1</v>
      </c>
      <c r="AM50" s="87"/>
      <c r="AN50" s="87"/>
      <c r="AO50" s="87"/>
      <c r="AP50" s="87"/>
      <c r="AQ50" s="87"/>
      <c r="AR50" s="87"/>
      <c r="AS50" s="87"/>
      <c r="AT50" s="87"/>
      <c r="AU50" s="87"/>
      <c r="AV50" s="87">
        <v>1</v>
      </c>
      <c r="AW50" s="87"/>
    </row>
    <row r="51" spans="1:49" x14ac:dyDescent="0.3">
      <c r="A51" s="31">
        <v>3</v>
      </c>
      <c r="B51" s="32" t="s">
        <v>49</v>
      </c>
      <c r="C51" s="26">
        <v>7026887</v>
      </c>
      <c r="D51" s="26" t="s">
        <v>75</v>
      </c>
      <c r="E51" s="27" t="s">
        <v>76</v>
      </c>
      <c r="F51" s="87"/>
      <c r="G51" s="87"/>
      <c r="H51" s="87"/>
      <c r="I51" s="87"/>
      <c r="J51" s="87"/>
      <c r="K51" s="87"/>
      <c r="L51" s="87"/>
      <c r="M51" s="98"/>
      <c r="N51" s="98"/>
      <c r="O51" s="98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8">
        <v>1</v>
      </c>
      <c r="AA51" s="88">
        <v>1</v>
      </c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</row>
    <row r="52" spans="1:49" x14ac:dyDescent="0.3">
      <c r="A52" s="115">
        <v>10</v>
      </c>
      <c r="B52" s="28" t="s">
        <v>46</v>
      </c>
      <c r="C52" s="26">
        <v>41825</v>
      </c>
      <c r="D52" s="26" t="s">
        <v>77</v>
      </c>
      <c r="E52" s="26" t="s">
        <v>78</v>
      </c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8"/>
      <c r="AA52" s="88"/>
      <c r="AB52" s="87"/>
      <c r="AC52" s="87"/>
      <c r="AD52" s="87"/>
      <c r="AE52" s="87"/>
      <c r="AF52" s="87"/>
      <c r="AG52" s="87"/>
      <c r="AH52" s="87"/>
      <c r="AI52" s="87"/>
      <c r="AJ52" s="87"/>
      <c r="AK52" s="87"/>
      <c r="AL52" s="87"/>
      <c r="AM52" s="87"/>
      <c r="AN52" s="87"/>
      <c r="AO52" s="87"/>
      <c r="AP52" s="87"/>
      <c r="AQ52" s="87"/>
      <c r="AR52" s="87"/>
      <c r="AS52" s="87"/>
      <c r="AT52" s="87"/>
      <c r="AU52" s="87"/>
      <c r="AV52" s="87"/>
      <c r="AW52" s="87"/>
    </row>
    <row r="53" spans="1:49" x14ac:dyDescent="0.3">
      <c r="A53" s="31">
        <v>9</v>
      </c>
      <c r="B53" s="29" t="s">
        <v>43</v>
      </c>
      <c r="C53" s="26">
        <v>7029156</v>
      </c>
      <c r="D53" s="26" t="s">
        <v>79</v>
      </c>
      <c r="E53" s="27" t="s">
        <v>78</v>
      </c>
      <c r="F53" s="87">
        <v>1</v>
      </c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>
        <v>1</v>
      </c>
      <c r="V53" s="87"/>
      <c r="W53" s="87">
        <v>1</v>
      </c>
      <c r="X53" s="87"/>
      <c r="Y53" s="87"/>
      <c r="Z53" s="88">
        <v>1</v>
      </c>
      <c r="AA53" s="88">
        <v>1</v>
      </c>
      <c r="AB53" s="87"/>
      <c r="AC53" s="87"/>
      <c r="AD53" s="87"/>
      <c r="AE53" s="87">
        <v>1</v>
      </c>
      <c r="AF53" s="87"/>
      <c r="AG53" s="87"/>
      <c r="AH53" s="87"/>
      <c r="AI53" s="87"/>
      <c r="AJ53" s="87"/>
      <c r="AK53" s="87"/>
      <c r="AL53" s="87"/>
      <c r="AM53" s="87"/>
      <c r="AN53" s="87"/>
      <c r="AO53" s="87"/>
      <c r="AP53" s="87"/>
      <c r="AQ53" s="87"/>
      <c r="AR53" s="87"/>
      <c r="AS53" s="87"/>
      <c r="AT53" s="87"/>
      <c r="AU53" s="87"/>
      <c r="AV53" s="87"/>
      <c r="AW53" s="87"/>
    </row>
    <row r="54" spans="1:49" x14ac:dyDescent="0.3">
      <c r="A54" s="31">
        <v>119</v>
      </c>
      <c r="B54" s="104" t="s">
        <v>198</v>
      </c>
      <c r="C54" s="26">
        <v>7401914</v>
      </c>
      <c r="D54" s="26" t="s">
        <v>415</v>
      </c>
      <c r="E54" s="27" t="s">
        <v>416</v>
      </c>
      <c r="F54" s="87">
        <v>1</v>
      </c>
      <c r="G54" s="87"/>
      <c r="H54" s="87"/>
      <c r="I54" s="87"/>
      <c r="J54" s="87"/>
      <c r="K54" s="87"/>
      <c r="L54" s="87">
        <v>1</v>
      </c>
      <c r="M54" s="87">
        <v>1</v>
      </c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8">
        <v>1</v>
      </c>
      <c r="AA54" s="88">
        <v>1</v>
      </c>
      <c r="AB54" s="87"/>
      <c r="AC54" s="87"/>
      <c r="AD54" s="87"/>
      <c r="AE54" s="87"/>
      <c r="AF54" s="87">
        <v>1</v>
      </c>
      <c r="AG54" s="87"/>
      <c r="AH54" s="87"/>
      <c r="AI54" s="87">
        <v>1</v>
      </c>
      <c r="AJ54" s="87">
        <v>1</v>
      </c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7"/>
      <c r="AV54" s="87">
        <v>1</v>
      </c>
      <c r="AW54" s="87"/>
    </row>
    <row r="55" spans="1:49" x14ac:dyDescent="0.3">
      <c r="A55" s="31">
        <v>73</v>
      </c>
      <c r="B55" s="32" t="s">
        <v>49</v>
      </c>
      <c r="C55" s="26">
        <v>7092980</v>
      </c>
      <c r="D55" s="26" t="s">
        <v>197</v>
      </c>
      <c r="E55" s="27" t="s">
        <v>99</v>
      </c>
      <c r="F55" s="87">
        <v>1</v>
      </c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>
        <v>1</v>
      </c>
      <c r="V55" s="87"/>
      <c r="W55" s="87">
        <v>1</v>
      </c>
      <c r="X55" s="87">
        <v>1</v>
      </c>
      <c r="Y55" s="87"/>
      <c r="Z55" s="88">
        <v>1</v>
      </c>
      <c r="AA55" s="88">
        <v>1</v>
      </c>
      <c r="AB55" s="87"/>
      <c r="AC55" s="87"/>
      <c r="AD55" s="87"/>
      <c r="AE55" s="87">
        <v>1</v>
      </c>
      <c r="AF55" s="87"/>
      <c r="AG55" s="87"/>
      <c r="AH55" s="87"/>
      <c r="AI55" s="87"/>
      <c r="AJ55" s="87"/>
      <c r="AK55" s="87"/>
      <c r="AL55" s="87"/>
      <c r="AM55" s="87"/>
      <c r="AN55" s="87"/>
      <c r="AO55" s="87"/>
      <c r="AP55" s="87"/>
      <c r="AQ55" s="87"/>
      <c r="AR55" s="87"/>
      <c r="AS55" s="87"/>
      <c r="AT55" s="87"/>
      <c r="AU55" s="87"/>
      <c r="AV55" s="87"/>
      <c r="AW55" s="87"/>
    </row>
    <row r="56" spans="1:49" x14ac:dyDescent="0.3">
      <c r="A56" s="39">
        <v>110</v>
      </c>
      <c r="B56" s="28" t="s">
        <v>198</v>
      </c>
      <c r="C56" s="37">
        <v>7401949</v>
      </c>
      <c r="D56" s="26" t="s">
        <v>400</v>
      </c>
      <c r="E56" s="26" t="s">
        <v>401</v>
      </c>
      <c r="F56" s="87">
        <v>1</v>
      </c>
      <c r="G56" s="87"/>
      <c r="H56" s="87">
        <v>1</v>
      </c>
      <c r="I56" s="87"/>
      <c r="J56" s="87"/>
      <c r="K56" s="87"/>
      <c r="L56" s="87">
        <v>1</v>
      </c>
      <c r="M56" s="87">
        <v>1</v>
      </c>
      <c r="N56" s="87">
        <v>1</v>
      </c>
      <c r="O56" s="87"/>
      <c r="P56" s="87"/>
      <c r="Q56" s="87"/>
      <c r="R56" s="87"/>
      <c r="S56" s="87"/>
      <c r="T56" s="87"/>
      <c r="U56" s="87"/>
      <c r="V56" s="87"/>
      <c r="W56" s="87">
        <v>1</v>
      </c>
      <c r="X56" s="87"/>
      <c r="Y56" s="87"/>
      <c r="Z56" s="88"/>
      <c r="AA56" s="88">
        <v>1</v>
      </c>
      <c r="AB56" s="98"/>
      <c r="AC56" s="87"/>
      <c r="AD56" s="87"/>
      <c r="AE56" s="87"/>
      <c r="AF56" s="87"/>
      <c r="AG56" s="87"/>
      <c r="AH56" s="87"/>
      <c r="AI56" s="87"/>
      <c r="AJ56" s="87"/>
      <c r="AK56" s="87"/>
      <c r="AL56" s="87"/>
      <c r="AM56" s="87"/>
      <c r="AN56" s="87"/>
      <c r="AO56" s="87"/>
      <c r="AP56" s="87"/>
      <c r="AQ56" s="87"/>
      <c r="AR56" s="87"/>
      <c r="AS56" s="87"/>
      <c r="AT56" s="87"/>
      <c r="AU56" s="87"/>
      <c r="AV56" s="87">
        <v>1</v>
      </c>
      <c r="AW56" s="87"/>
    </row>
    <row r="57" spans="1:49" x14ac:dyDescent="0.3">
      <c r="A57" s="31">
        <v>30</v>
      </c>
      <c r="B57" s="29" t="s">
        <v>42</v>
      </c>
      <c r="C57" s="33">
        <v>7051932</v>
      </c>
      <c r="D57" s="34" t="s">
        <v>80</v>
      </c>
      <c r="E57" s="34" t="s">
        <v>81</v>
      </c>
      <c r="F57" s="87">
        <v>1</v>
      </c>
      <c r="G57" s="87"/>
      <c r="H57" s="87"/>
      <c r="I57" s="87">
        <v>1</v>
      </c>
      <c r="J57" s="87">
        <v>1</v>
      </c>
      <c r="K57" s="87">
        <v>1</v>
      </c>
      <c r="L57" s="87">
        <v>1</v>
      </c>
      <c r="M57" s="87"/>
      <c r="N57" s="87"/>
      <c r="O57" s="87"/>
      <c r="P57" s="87"/>
      <c r="Q57" s="87"/>
      <c r="R57" s="87"/>
      <c r="S57" s="87"/>
      <c r="T57" s="87">
        <v>1</v>
      </c>
      <c r="U57" s="87"/>
      <c r="V57" s="87"/>
      <c r="W57" s="87"/>
      <c r="X57" s="87"/>
      <c r="Y57" s="87"/>
      <c r="Z57" s="88">
        <v>1</v>
      </c>
      <c r="AA57" s="88">
        <v>1</v>
      </c>
      <c r="AB57" s="87"/>
      <c r="AC57" s="87"/>
      <c r="AD57" s="87"/>
      <c r="AE57" s="87"/>
      <c r="AF57" s="87"/>
      <c r="AG57" s="87"/>
      <c r="AH57" s="87"/>
      <c r="AI57" s="87"/>
      <c r="AJ57" s="87"/>
      <c r="AK57" s="87"/>
      <c r="AL57" s="87"/>
      <c r="AM57" s="87"/>
      <c r="AN57" s="87"/>
      <c r="AO57" s="87"/>
      <c r="AP57" s="87"/>
      <c r="AQ57" s="87"/>
      <c r="AR57" s="87"/>
      <c r="AS57" s="87"/>
      <c r="AT57" s="87"/>
      <c r="AU57" s="87"/>
      <c r="AV57" s="87">
        <v>1</v>
      </c>
      <c r="AW57" s="87"/>
    </row>
    <row r="58" spans="1:49" x14ac:dyDescent="0.3">
      <c r="A58" s="31">
        <v>113</v>
      </c>
      <c r="B58" s="110" t="s">
        <v>198</v>
      </c>
      <c r="C58" s="37">
        <v>7401950</v>
      </c>
      <c r="D58" s="38" t="s">
        <v>80</v>
      </c>
      <c r="E58" s="38" t="s">
        <v>402</v>
      </c>
      <c r="F58" s="87">
        <v>1</v>
      </c>
      <c r="G58" s="87"/>
      <c r="H58" s="87"/>
      <c r="I58" s="87">
        <v>1</v>
      </c>
      <c r="J58" s="87">
        <v>1</v>
      </c>
      <c r="K58" s="87">
        <v>1</v>
      </c>
      <c r="L58" s="87">
        <v>1</v>
      </c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8">
        <v>1</v>
      </c>
      <c r="AA58" s="88">
        <v>1</v>
      </c>
      <c r="AB58" s="87"/>
      <c r="AC58" s="87"/>
      <c r="AD58" s="87"/>
      <c r="AE58" s="87"/>
      <c r="AF58" s="87"/>
      <c r="AG58" s="87"/>
      <c r="AH58" s="87"/>
      <c r="AI58" s="87"/>
      <c r="AJ58" s="87"/>
      <c r="AK58" s="87"/>
      <c r="AL58" s="87"/>
      <c r="AM58" s="87"/>
      <c r="AN58" s="87"/>
      <c r="AO58" s="87"/>
      <c r="AP58" s="87"/>
      <c r="AQ58" s="87"/>
      <c r="AR58" s="87"/>
      <c r="AS58" s="87"/>
      <c r="AT58" s="87"/>
      <c r="AU58" s="87"/>
      <c r="AV58" s="87">
        <v>1</v>
      </c>
      <c r="AW58" s="87"/>
    </row>
    <row r="59" spans="1:49" x14ac:dyDescent="0.3">
      <c r="A59" s="31">
        <v>26</v>
      </c>
      <c r="B59" s="28" t="s">
        <v>49</v>
      </c>
      <c r="C59" s="26">
        <v>7051763</v>
      </c>
      <c r="D59" s="26" t="s">
        <v>82</v>
      </c>
      <c r="E59" s="27" t="s">
        <v>83</v>
      </c>
      <c r="F59" s="87">
        <v>1</v>
      </c>
      <c r="G59" s="87"/>
      <c r="H59" s="87"/>
      <c r="I59" s="87"/>
      <c r="J59" s="87"/>
      <c r="K59" s="87"/>
      <c r="L59" s="87">
        <v>1</v>
      </c>
      <c r="M59" s="87"/>
      <c r="N59" s="87"/>
      <c r="O59" s="87"/>
      <c r="P59" s="87">
        <v>1</v>
      </c>
      <c r="Q59" s="87"/>
      <c r="R59" s="87"/>
      <c r="S59" s="87">
        <v>1</v>
      </c>
      <c r="T59" s="87">
        <v>1</v>
      </c>
      <c r="U59" s="87">
        <v>1</v>
      </c>
      <c r="V59" s="87"/>
      <c r="W59" s="87"/>
      <c r="X59" s="87">
        <v>1</v>
      </c>
      <c r="Y59" s="87"/>
      <c r="Z59" s="88">
        <v>1</v>
      </c>
      <c r="AA59" s="88">
        <v>1</v>
      </c>
      <c r="AB59" s="87"/>
      <c r="AC59" s="87"/>
      <c r="AD59" s="87"/>
      <c r="AE59" s="87"/>
      <c r="AF59" s="87"/>
      <c r="AG59" s="87"/>
      <c r="AH59" s="87"/>
      <c r="AI59" s="87"/>
      <c r="AJ59" s="87"/>
      <c r="AK59" s="87"/>
      <c r="AL59" s="87"/>
      <c r="AM59" s="87"/>
      <c r="AN59" s="87"/>
      <c r="AO59" s="87"/>
      <c r="AP59" s="87"/>
      <c r="AQ59" s="87"/>
      <c r="AR59" s="87"/>
      <c r="AS59" s="87"/>
      <c r="AT59" s="87"/>
      <c r="AU59" s="87"/>
      <c r="AV59" s="87"/>
      <c r="AW59" s="87"/>
    </row>
    <row r="60" spans="1:49" x14ac:dyDescent="0.3">
      <c r="A60" s="31"/>
      <c r="B60" s="29"/>
      <c r="C60" s="37">
        <v>7402634</v>
      </c>
      <c r="D60" s="118" t="s">
        <v>450</v>
      </c>
      <c r="E60" s="118" t="s">
        <v>359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8"/>
      <c r="AA60" s="88">
        <v>1</v>
      </c>
      <c r="AB60" s="98"/>
      <c r="AC60" s="87"/>
      <c r="AD60" s="87"/>
      <c r="AE60" s="87"/>
      <c r="AF60" s="87"/>
      <c r="AG60" s="87"/>
      <c r="AH60" s="87"/>
      <c r="AI60" s="87"/>
      <c r="AJ60" s="87">
        <v>1</v>
      </c>
      <c r="AK60" s="87"/>
      <c r="AL60" s="87"/>
      <c r="AM60" s="87">
        <v>1</v>
      </c>
      <c r="AN60" s="87"/>
      <c r="AO60" s="87"/>
      <c r="AP60" s="87"/>
      <c r="AQ60" s="87"/>
      <c r="AR60" s="87"/>
      <c r="AS60" s="87"/>
      <c r="AT60" s="87"/>
      <c r="AU60" s="87"/>
      <c r="AV60" s="87"/>
      <c r="AW60" s="87"/>
    </row>
    <row r="61" spans="1:49" x14ac:dyDescent="0.3">
      <c r="A61" s="31">
        <v>89</v>
      </c>
      <c r="B61" s="110" t="s">
        <v>42</v>
      </c>
      <c r="C61" s="37">
        <v>7095767</v>
      </c>
      <c r="D61" s="38" t="s">
        <v>355</v>
      </c>
      <c r="E61" s="38" t="s">
        <v>346</v>
      </c>
      <c r="F61" s="87"/>
      <c r="G61" s="87"/>
      <c r="H61" s="87"/>
      <c r="I61" s="87"/>
      <c r="J61" s="87"/>
      <c r="K61" s="87"/>
      <c r="L61" s="87">
        <v>1</v>
      </c>
      <c r="M61" s="87"/>
      <c r="N61" s="87"/>
      <c r="O61" s="87"/>
      <c r="P61" s="87"/>
      <c r="Q61" s="87"/>
      <c r="R61" s="87"/>
      <c r="S61" s="87"/>
      <c r="T61" s="87"/>
      <c r="U61" s="87">
        <v>1</v>
      </c>
      <c r="V61" s="87"/>
      <c r="W61" s="87"/>
      <c r="X61" s="87"/>
      <c r="Y61" s="87"/>
      <c r="Z61" s="88">
        <v>1</v>
      </c>
      <c r="AA61" s="88">
        <v>1</v>
      </c>
      <c r="AB61" s="87"/>
      <c r="AC61" s="87"/>
      <c r="AD61" s="87"/>
      <c r="AE61" s="87"/>
      <c r="AF61" s="87"/>
      <c r="AG61" s="87">
        <v>1</v>
      </c>
      <c r="AH61" s="87">
        <v>1</v>
      </c>
      <c r="AI61" s="87">
        <v>1</v>
      </c>
      <c r="AJ61" s="87">
        <v>1</v>
      </c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</row>
    <row r="62" spans="1:49" x14ac:dyDescent="0.3">
      <c r="A62" s="31">
        <v>13</v>
      </c>
      <c r="B62" s="29" t="s">
        <v>341</v>
      </c>
      <c r="C62" s="37">
        <v>7051784</v>
      </c>
      <c r="D62" s="38" t="s">
        <v>342</v>
      </c>
      <c r="E62" s="38" t="s">
        <v>343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8"/>
      <c r="AA62" s="88"/>
      <c r="AB62" s="87"/>
      <c r="AC62" s="87"/>
      <c r="AD62" s="87"/>
      <c r="AE62" s="87"/>
      <c r="AF62" s="87"/>
      <c r="AG62" s="87"/>
      <c r="AH62" s="87"/>
      <c r="AI62" s="87"/>
      <c r="AJ62" s="87"/>
      <c r="AK62" s="87"/>
      <c r="AL62" s="87"/>
      <c r="AM62" s="87"/>
      <c r="AN62" s="87"/>
      <c r="AO62" s="87"/>
      <c r="AP62" s="87"/>
      <c r="AQ62" s="87"/>
      <c r="AR62" s="87"/>
      <c r="AS62" s="87"/>
      <c r="AT62" s="87"/>
      <c r="AU62" s="87"/>
      <c r="AV62" s="87"/>
      <c r="AW62" s="87"/>
    </row>
    <row r="63" spans="1:49" x14ac:dyDescent="0.3">
      <c r="A63" s="31">
        <v>38</v>
      </c>
      <c r="B63" s="28" t="s">
        <v>42</v>
      </c>
      <c r="C63" s="33">
        <v>7077415</v>
      </c>
      <c r="D63" s="34" t="s">
        <v>84</v>
      </c>
      <c r="E63" s="34" t="s">
        <v>85</v>
      </c>
      <c r="F63" s="87">
        <v>1</v>
      </c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8">
        <v>1</v>
      </c>
      <c r="AA63" s="88">
        <v>1</v>
      </c>
      <c r="AB63" s="87"/>
      <c r="AC63" s="87"/>
      <c r="AD63" s="87"/>
      <c r="AE63" s="87"/>
      <c r="AF63" s="87">
        <v>1</v>
      </c>
      <c r="AG63" s="87"/>
      <c r="AH63" s="87"/>
      <c r="AI63" s="87">
        <v>1</v>
      </c>
      <c r="AJ63" s="87">
        <v>1</v>
      </c>
      <c r="AK63" s="87"/>
      <c r="AL63" s="87"/>
      <c r="AM63" s="87"/>
      <c r="AN63" s="87"/>
      <c r="AO63" s="87"/>
      <c r="AP63" s="87"/>
      <c r="AQ63" s="87"/>
      <c r="AR63" s="87"/>
      <c r="AS63" s="87"/>
      <c r="AT63" s="87"/>
      <c r="AU63" s="87"/>
      <c r="AV63" s="87"/>
      <c r="AW63" s="87"/>
    </row>
    <row r="64" spans="1:49" x14ac:dyDescent="0.3">
      <c r="A64" s="31"/>
      <c r="B64" s="32"/>
      <c r="C64" s="26">
        <v>7402470</v>
      </c>
      <c r="D64" s="26" t="s">
        <v>451</v>
      </c>
      <c r="E64" s="26" t="s">
        <v>430</v>
      </c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8"/>
      <c r="AA64" s="88"/>
      <c r="AB64" s="98"/>
      <c r="AC64" s="87"/>
      <c r="AD64" s="87"/>
      <c r="AE64" s="87"/>
      <c r="AF64" s="87"/>
      <c r="AG64" s="87"/>
      <c r="AH64" s="87"/>
      <c r="AI64" s="87"/>
      <c r="AJ64" s="87"/>
      <c r="AK64" s="87"/>
      <c r="AL64" s="87"/>
      <c r="AM64" s="87"/>
      <c r="AN64" s="87"/>
      <c r="AO64" s="87"/>
      <c r="AP64" s="87"/>
      <c r="AQ64" s="87"/>
      <c r="AR64" s="87"/>
      <c r="AS64" s="87"/>
      <c r="AT64" s="87"/>
      <c r="AU64" s="87"/>
      <c r="AV64" s="87"/>
      <c r="AW64" s="87"/>
    </row>
    <row r="65" spans="1:49" x14ac:dyDescent="0.3">
      <c r="A65" s="115">
        <v>36</v>
      </c>
      <c r="B65" s="28" t="s">
        <v>49</v>
      </c>
      <c r="C65" s="33">
        <v>7077878</v>
      </c>
      <c r="D65" s="34" t="s">
        <v>86</v>
      </c>
      <c r="E65" s="34" t="s">
        <v>87</v>
      </c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8">
        <v>1</v>
      </c>
      <c r="AA65" s="88">
        <v>1</v>
      </c>
      <c r="AB65" s="87"/>
      <c r="AC65" s="87"/>
      <c r="AD65" s="87"/>
      <c r="AE65" s="87"/>
      <c r="AF65" s="87">
        <v>1</v>
      </c>
      <c r="AG65" s="87">
        <v>1</v>
      </c>
      <c r="AH65" s="87"/>
      <c r="AI65" s="87">
        <v>1</v>
      </c>
      <c r="AJ65" s="87">
        <v>1</v>
      </c>
      <c r="AK65" s="87"/>
      <c r="AL65" s="87"/>
      <c r="AM65" s="87"/>
      <c r="AN65" s="87"/>
      <c r="AO65" s="87"/>
      <c r="AP65" s="87"/>
      <c r="AQ65" s="87"/>
      <c r="AR65" s="87"/>
      <c r="AS65" s="87"/>
      <c r="AT65" s="87"/>
      <c r="AU65" s="87"/>
      <c r="AV65" s="87"/>
      <c r="AW65" s="87"/>
    </row>
    <row r="66" spans="1:49" x14ac:dyDescent="0.3">
      <c r="A66" s="31">
        <v>118</v>
      </c>
      <c r="B66" s="32" t="s">
        <v>198</v>
      </c>
      <c r="C66" s="33">
        <v>7400394</v>
      </c>
      <c r="D66" s="34" t="s">
        <v>89</v>
      </c>
      <c r="E66" s="34" t="s">
        <v>200</v>
      </c>
      <c r="F66" s="87">
        <v>1</v>
      </c>
      <c r="G66" s="87"/>
      <c r="H66" s="87"/>
      <c r="I66" s="87">
        <v>1</v>
      </c>
      <c r="J66" s="87">
        <v>1</v>
      </c>
      <c r="K66" s="87">
        <v>1</v>
      </c>
      <c r="L66" s="87">
        <v>1</v>
      </c>
      <c r="M66" s="87"/>
      <c r="N66" s="87"/>
      <c r="O66" s="87"/>
      <c r="P66" s="87">
        <v>1</v>
      </c>
      <c r="Q66" s="87"/>
      <c r="R66" s="87"/>
      <c r="S66" s="87"/>
      <c r="T66" s="87"/>
      <c r="U66" s="87"/>
      <c r="V66" s="87"/>
      <c r="W66" s="87"/>
      <c r="X66" s="87"/>
      <c r="Y66" s="87"/>
      <c r="Z66" s="88">
        <v>1</v>
      </c>
      <c r="AA66" s="88">
        <v>1</v>
      </c>
      <c r="AB66" s="87"/>
      <c r="AC66" s="87"/>
      <c r="AD66" s="87"/>
      <c r="AE66" s="87"/>
      <c r="AF66" s="87"/>
      <c r="AG66" s="87"/>
      <c r="AH66" s="87"/>
      <c r="AI66" s="87"/>
      <c r="AJ66" s="87"/>
      <c r="AK66" s="87"/>
      <c r="AL66" s="87"/>
      <c r="AM66" s="87"/>
      <c r="AN66" s="87"/>
      <c r="AO66" s="87"/>
      <c r="AP66" s="87"/>
      <c r="AQ66" s="87"/>
      <c r="AR66" s="87"/>
      <c r="AS66" s="87"/>
      <c r="AT66" s="87"/>
      <c r="AU66" s="87"/>
      <c r="AV66" s="87">
        <v>1</v>
      </c>
      <c r="AW66" s="87"/>
    </row>
    <row r="67" spans="1:49" x14ac:dyDescent="0.3">
      <c r="A67" s="31">
        <v>37</v>
      </c>
      <c r="B67" s="28" t="s">
        <v>42</v>
      </c>
      <c r="C67" s="26">
        <v>7092620</v>
      </c>
      <c r="D67" s="26" t="s">
        <v>89</v>
      </c>
      <c r="E67" s="27" t="s">
        <v>90</v>
      </c>
      <c r="F67" s="87"/>
      <c r="G67" s="87">
        <v>1</v>
      </c>
      <c r="H67" s="87"/>
      <c r="I67" s="87">
        <v>1</v>
      </c>
      <c r="J67" s="87"/>
      <c r="K67" s="87"/>
      <c r="L67" s="87">
        <v>1</v>
      </c>
      <c r="M67" s="87">
        <v>1</v>
      </c>
      <c r="N67" s="87">
        <v>1</v>
      </c>
      <c r="O67" s="87">
        <v>1</v>
      </c>
      <c r="P67" s="87"/>
      <c r="Q67" s="87">
        <v>1</v>
      </c>
      <c r="R67" s="87">
        <v>1</v>
      </c>
      <c r="S67" s="87">
        <v>1</v>
      </c>
      <c r="T67" s="87">
        <v>1</v>
      </c>
      <c r="U67" s="87"/>
      <c r="V67" s="87"/>
      <c r="W67" s="87"/>
      <c r="X67" s="87"/>
      <c r="Y67" s="87"/>
      <c r="Z67" s="88">
        <v>1</v>
      </c>
      <c r="AA67" s="88">
        <v>1</v>
      </c>
      <c r="AB67" s="87">
        <v>1</v>
      </c>
      <c r="AC67" s="87"/>
      <c r="AD67" s="87"/>
      <c r="AE67" s="87"/>
      <c r="AF67" s="87"/>
      <c r="AG67" s="87"/>
      <c r="AH67" s="87"/>
      <c r="AI67" s="87"/>
      <c r="AJ67" s="87"/>
      <c r="AK67" s="87"/>
      <c r="AL67" s="87"/>
      <c r="AM67" s="87"/>
      <c r="AN67" s="87"/>
      <c r="AO67" s="87"/>
      <c r="AP67" s="87"/>
      <c r="AQ67" s="87"/>
      <c r="AR67" s="87"/>
      <c r="AS67" s="87"/>
      <c r="AT67" s="87"/>
      <c r="AU67" s="87"/>
      <c r="AV67" s="87">
        <v>1</v>
      </c>
      <c r="AW67" s="87"/>
    </row>
    <row r="68" spans="1:49" x14ac:dyDescent="0.3">
      <c r="A68" s="31">
        <v>91</v>
      </c>
      <c r="B68" s="28" t="s">
        <v>49</v>
      </c>
      <c r="C68" s="26">
        <v>7096575</v>
      </c>
      <c r="D68" s="26" t="s">
        <v>356</v>
      </c>
      <c r="E68" s="27" t="s">
        <v>357</v>
      </c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8">
        <v>1</v>
      </c>
      <c r="AA68" s="88">
        <v>1</v>
      </c>
      <c r="AB68" s="87"/>
      <c r="AC68" s="87"/>
      <c r="AD68" s="87"/>
      <c r="AE68" s="87"/>
      <c r="AF68" s="87">
        <v>1</v>
      </c>
      <c r="AG68" s="87"/>
      <c r="AH68" s="87"/>
      <c r="AI68" s="87">
        <v>1</v>
      </c>
      <c r="AJ68" s="87">
        <v>1</v>
      </c>
      <c r="AK68" s="87"/>
      <c r="AL68" s="87"/>
      <c r="AM68" s="87"/>
      <c r="AN68" s="87"/>
      <c r="AO68" s="87"/>
      <c r="AP68" s="87"/>
      <c r="AQ68" s="87"/>
      <c r="AR68" s="87"/>
      <c r="AS68" s="87"/>
      <c r="AT68" s="87"/>
      <c r="AU68" s="87"/>
      <c r="AV68" s="87"/>
      <c r="AW68" s="87"/>
    </row>
    <row r="69" spans="1:49" x14ac:dyDescent="0.3">
      <c r="A69" s="31"/>
      <c r="B69" s="29"/>
      <c r="C69" s="26">
        <v>7402915</v>
      </c>
      <c r="D69" s="26" t="s">
        <v>498</v>
      </c>
      <c r="E69" s="113" t="s">
        <v>499</v>
      </c>
      <c r="F69" s="87">
        <v>1</v>
      </c>
      <c r="G69" s="87"/>
      <c r="H69" s="87">
        <v>1</v>
      </c>
      <c r="I69" s="87"/>
      <c r="J69" s="87"/>
      <c r="K69" s="87">
        <v>1</v>
      </c>
      <c r="L69" s="87">
        <v>1</v>
      </c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8"/>
      <c r="AA69" s="88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>
        <v>1</v>
      </c>
      <c r="AW69" s="87"/>
    </row>
    <row r="70" spans="1:49" x14ac:dyDescent="0.3">
      <c r="A70" s="31">
        <v>44</v>
      </c>
      <c r="B70" s="29" t="s">
        <v>43</v>
      </c>
      <c r="C70" s="26">
        <v>7091821</v>
      </c>
      <c r="D70" s="26" t="s">
        <v>91</v>
      </c>
      <c r="E70" s="27" t="s">
        <v>92</v>
      </c>
      <c r="F70" s="87">
        <v>1</v>
      </c>
      <c r="G70" s="87"/>
      <c r="H70" s="87"/>
      <c r="I70" s="87"/>
      <c r="J70" s="87"/>
      <c r="K70" s="87"/>
      <c r="L70" s="87">
        <v>1</v>
      </c>
      <c r="M70" s="87">
        <v>1</v>
      </c>
      <c r="N70" s="87">
        <v>1</v>
      </c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8">
        <v>1</v>
      </c>
      <c r="AA70" s="88">
        <v>1</v>
      </c>
      <c r="AB70" s="87"/>
      <c r="AC70" s="87"/>
      <c r="AD70" s="87"/>
      <c r="AE70" s="87"/>
      <c r="AF70" s="87"/>
      <c r="AG70" s="87"/>
      <c r="AH70" s="87"/>
      <c r="AI70" s="87"/>
      <c r="AJ70" s="87"/>
      <c r="AK70" s="87"/>
      <c r="AL70" s="87"/>
      <c r="AM70" s="87"/>
      <c r="AN70" s="87"/>
      <c r="AO70" s="87"/>
      <c r="AP70" s="87"/>
      <c r="AQ70" s="87"/>
      <c r="AR70" s="87"/>
      <c r="AS70" s="87"/>
      <c r="AT70" s="87"/>
      <c r="AU70" s="87"/>
      <c r="AV70" s="87">
        <v>1</v>
      </c>
      <c r="AW70" s="87"/>
    </row>
    <row r="71" spans="1:49" x14ac:dyDescent="0.3">
      <c r="A71" s="39">
        <v>105</v>
      </c>
      <c r="B71" s="28" t="s">
        <v>42</v>
      </c>
      <c r="C71" s="26">
        <v>7401922</v>
      </c>
      <c r="D71" s="26" t="s">
        <v>385</v>
      </c>
      <c r="E71" s="113" t="s">
        <v>386</v>
      </c>
      <c r="F71" s="87">
        <v>1</v>
      </c>
      <c r="G71" s="87"/>
      <c r="H71" s="87">
        <v>1</v>
      </c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8">
        <v>1</v>
      </c>
      <c r="AA71" s="88">
        <v>1</v>
      </c>
      <c r="AB71" s="98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>
        <v>1</v>
      </c>
      <c r="AU71" s="87">
        <v>1</v>
      </c>
      <c r="AV71" s="87">
        <v>1</v>
      </c>
      <c r="AW71" s="87"/>
    </row>
    <row r="72" spans="1:49" x14ac:dyDescent="0.3">
      <c r="A72" s="31">
        <v>106</v>
      </c>
      <c r="B72" s="28" t="s">
        <v>198</v>
      </c>
      <c r="C72" s="26">
        <v>7402044</v>
      </c>
      <c r="D72" s="26" t="s">
        <v>403</v>
      </c>
      <c r="E72" s="27" t="s">
        <v>404</v>
      </c>
      <c r="F72" s="87">
        <v>1</v>
      </c>
      <c r="G72" s="87"/>
      <c r="H72" s="87">
        <v>1</v>
      </c>
      <c r="I72" s="87">
        <v>1</v>
      </c>
      <c r="J72" s="87">
        <v>1</v>
      </c>
      <c r="K72" s="87">
        <v>1</v>
      </c>
      <c r="L72" s="87">
        <v>1</v>
      </c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8">
        <v>1</v>
      </c>
      <c r="AA72" s="88">
        <v>1</v>
      </c>
      <c r="AB72" s="87"/>
      <c r="AC72" s="87"/>
      <c r="AD72" s="87"/>
      <c r="AE72" s="87"/>
      <c r="AF72" s="87"/>
      <c r="AG72" s="87"/>
      <c r="AH72" s="87"/>
      <c r="AI72" s="87"/>
      <c r="AJ72" s="87"/>
      <c r="AK72" s="87"/>
      <c r="AL72" s="87"/>
      <c r="AM72" s="87"/>
      <c r="AN72" s="87"/>
      <c r="AO72" s="87"/>
      <c r="AP72" s="87"/>
      <c r="AQ72" s="87"/>
      <c r="AR72" s="87"/>
      <c r="AS72" s="87"/>
      <c r="AT72" s="87"/>
      <c r="AU72" s="87"/>
      <c r="AV72" s="87">
        <v>1</v>
      </c>
      <c r="AW72" s="87"/>
    </row>
    <row r="73" spans="1:49" x14ac:dyDescent="0.3">
      <c r="A73" s="115">
        <v>50</v>
      </c>
      <c r="B73" s="29" t="s">
        <v>43</v>
      </c>
      <c r="C73" s="87">
        <v>7095152</v>
      </c>
      <c r="D73" s="26" t="s">
        <v>93</v>
      </c>
      <c r="E73" s="26" t="s">
        <v>94</v>
      </c>
      <c r="F73" s="87"/>
      <c r="G73" s="87"/>
      <c r="H73" s="87"/>
      <c r="I73" s="87"/>
      <c r="J73" s="87"/>
      <c r="K73" s="87"/>
      <c r="L73" s="87">
        <v>1</v>
      </c>
      <c r="M73" s="87"/>
      <c r="N73" s="87"/>
      <c r="O73" s="87"/>
      <c r="P73" s="87"/>
      <c r="Q73" s="87"/>
      <c r="R73" s="87"/>
      <c r="S73" s="87">
        <v>1</v>
      </c>
      <c r="T73" s="87">
        <v>1</v>
      </c>
      <c r="U73" s="87"/>
      <c r="V73" s="87"/>
      <c r="W73" s="87"/>
      <c r="X73" s="87"/>
      <c r="Y73" s="87"/>
      <c r="Z73" s="88">
        <v>1</v>
      </c>
      <c r="AA73" s="88">
        <v>1</v>
      </c>
      <c r="AB73" s="87">
        <v>1</v>
      </c>
      <c r="AC73" s="87"/>
      <c r="AD73" s="87"/>
      <c r="AE73" s="87"/>
      <c r="AF73" s="87">
        <v>1</v>
      </c>
      <c r="AG73" s="87">
        <v>1</v>
      </c>
      <c r="AH73" s="87">
        <v>1</v>
      </c>
      <c r="AI73" s="87">
        <v>1</v>
      </c>
      <c r="AJ73" s="87">
        <v>1</v>
      </c>
      <c r="AK73" s="87"/>
      <c r="AL73" s="87"/>
      <c r="AM73" s="87">
        <v>1</v>
      </c>
      <c r="AN73" s="87"/>
      <c r="AO73" s="87"/>
      <c r="AP73" s="87"/>
      <c r="AQ73" s="87"/>
      <c r="AR73" s="87"/>
      <c r="AS73" s="87"/>
      <c r="AT73" s="87"/>
      <c r="AU73" s="87"/>
      <c r="AV73" s="87">
        <v>1</v>
      </c>
      <c r="AW73" s="87"/>
    </row>
    <row r="74" spans="1:49" x14ac:dyDescent="0.3">
      <c r="A74" s="31">
        <v>82</v>
      </c>
      <c r="B74" s="110" t="s">
        <v>49</v>
      </c>
      <c r="C74" s="26">
        <v>7095148</v>
      </c>
      <c r="D74" s="26" t="s">
        <v>349</v>
      </c>
      <c r="E74" s="27" t="s">
        <v>350</v>
      </c>
      <c r="F74" s="87">
        <v>1</v>
      </c>
      <c r="G74" s="87"/>
      <c r="H74" s="87"/>
      <c r="I74" s="87"/>
      <c r="J74" s="87"/>
      <c r="K74" s="87"/>
      <c r="L74" s="87">
        <v>1</v>
      </c>
      <c r="M74" s="87"/>
      <c r="N74" s="87"/>
      <c r="O74" s="87"/>
      <c r="P74" s="87">
        <v>1</v>
      </c>
      <c r="Q74" s="87"/>
      <c r="R74" s="87"/>
      <c r="S74" s="87"/>
      <c r="T74" s="87"/>
      <c r="U74" s="87"/>
      <c r="V74" s="87"/>
      <c r="W74" s="87"/>
      <c r="X74" s="87"/>
      <c r="Y74" s="87"/>
      <c r="Z74" s="88">
        <v>1</v>
      </c>
      <c r="AA74" s="88">
        <v>1</v>
      </c>
      <c r="AB74" s="87"/>
      <c r="AC74" s="87"/>
      <c r="AD74" s="87"/>
      <c r="AE74" s="87"/>
      <c r="AF74" s="87"/>
      <c r="AG74" s="87"/>
      <c r="AH74" s="87"/>
      <c r="AI74" s="87"/>
      <c r="AJ74" s="87"/>
      <c r="AK74" s="87"/>
      <c r="AL74" s="87"/>
      <c r="AM74" s="87"/>
      <c r="AN74" s="87"/>
      <c r="AO74" s="87"/>
      <c r="AP74" s="87"/>
      <c r="AQ74" s="87"/>
      <c r="AR74" s="87"/>
      <c r="AS74" s="87">
        <v>1</v>
      </c>
      <c r="AT74" s="87">
        <v>1</v>
      </c>
      <c r="AU74" s="87">
        <v>1</v>
      </c>
      <c r="AV74" s="87">
        <v>1</v>
      </c>
      <c r="AW74" s="87"/>
    </row>
    <row r="75" spans="1:49" x14ac:dyDescent="0.3">
      <c r="A75" s="31">
        <v>63</v>
      </c>
      <c r="B75" s="32" t="s">
        <v>49</v>
      </c>
      <c r="C75" s="26">
        <v>7092653</v>
      </c>
      <c r="D75" s="26" t="s">
        <v>180</v>
      </c>
      <c r="E75" s="26" t="s">
        <v>181</v>
      </c>
      <c r="F75" s="87">
        <v>1</v>
      </c>
      <c r="G75" s="87"/>
      <c r="H75" s="87"/>
      <c r="I75" s="87"/>
      <c r="J75" s="87"/>
      <c r="K75" s="87"/>
      <c r="L75" s="87"/>
      <c r="M75" s="87"/>
      <c r="N75" s="87"/>
      <c r="O75" s="87"/>
      <c r="P75" s="87">
        <v>1</v>
      </c>
      <c r="Q75" s="87"/>
      <c r="R75" s="87"/>
      <c r="S75" s="87"/>
      <c r="T75" s="98"/>
      <c r="U75" s="87">
        <v>1</v>
      </c>
      <c r="V75" s="87"/>
      <c r="W75" s="87"/>
      <c r="X75" s="87">
        <v>1</v>
      </c>
      <c r="Y75" s="87"/>
      <c r="Z75" s="88">
        <v>1</v>
      </c>
      <c r="AA75" s="88">
        <v>1</v>
      </c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>
        <v>1</v>
      </c>
      <c r="AS75" s="87"/>
      <c r="AT75" s="87"/>
      <c r="AU75" s="87"/>
      <c r="AV75" s="87">
        <v>1</v>
      </c>
      <c r="AW75" s="87"/>
    </row>
    <row r="76" spans="1:49" x14ac:dyDescent="0.3">
      <c r="A76" s="31">
        <v>136</v>
      </c>
      <c r="B76" s="36" t="s">
        <v>436</v>
      </c>
      <c r="C76" s="26">
        <v>7403495</v>
      </c>
      <c r="D76" s="26" t="s">
        <v>437</v>
      </c>
      <c r="E76" s="26" t="s">
        <v>438</v>
      </c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8"/>
      <c r="AA76" s="88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>
        <v>1</v>
      </c>
      <c r="AM76" s="87"/>
      <c r="AN76" s="87">
        <v>1</v>
      </c>
      <c r="AO76" s="87">
        <v>1</v>
      </c>
      <c r="AP76" s="87">
        <v>1</v>
      </c>
      <c r="AQ76" s="87">
        <v>1</v>
      </c>
      <c r="AR76" s="87"/>
      <c r="AS76" s="87"/>
      <c r="AT76" s="87"/>
      <c r="AU76" s="87"/>
      <c r="AV76" s="87"/>
      <c r="AW76" s="87"/>
    </row>
    <row r="77" spans="1:49" x14ac:dyDescent="0.3">
      <c r="A77" s="116">
        <v>31</v>
      </c>
      <c r="B77" s="28" t="s">
        <v>42</v>
      </c>
      <c r="C77" s="26">
        <v>7074373</v>
      </c>
      <c r="D77" s="26" t="s">
        <v>95</v>
      </c>
      <c r="E77" s="26" t="s">
        <v>74</v>
      </c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8">
        <v>1</v>
      </c>
      <c r="AA77" s="88">
        <v>1</v>
      </c>
      <c r="AB77" s="87">
        <v>1</v>
      </c>
      <c r="AC77" s="87"/>
      <c r="AD77" s="87"/>
      <c r="AE77" s="87"/>
      <c r="AF77" s="87">
        <v>1</v>
      </c>
      <c r="AG77" s="87">
        <v>1</v>
      </c>
      <c r="AH77" s="87"/>
      <c r="AI77" s="87">
        <v>1</v>
      </c>
      <c r="AJ77" s="87">
        <v>1</v>
      </c>
      <c r="AK77" s="87">
        <v>1</v>
      </c>
      <c r="AL77" s="87"/>
      <c r="AM77" s="87"/>
      <c r="AN77" s="87"/>
      <c r="AO77" s="87"/>
      <c r="AP77" s="87"/>
      <c r="AQ77" s="87"/>
      <c r="AR77" s="87"/>
      <c r="AS77" s="87"/>
      <c r="AT77" s="87"/>
      <c r="AU77" s="87"/>
      <c r="AV77" s="87"/>
      <c r="AW77" s="87"/>
    </row>
    <row r="78" spans="1:49" x14ac:dyDescent="0.3">
      <c r="A78" s="31">
        <v>14</v>
      </c>
      <c r="B78" s="110" t="s">
        <v>49</v>
      </c>
      <c r="C78" s="26">
        <v>7051769</v>
      </c>
      <c r="D78" s="26" t="s">
        <v>96</v>
      </c>
      <c r="E78" s="27" t="s">
        <v>97</v>
      </c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8"/>
      <c r="AA78" s="88"/>
      <c r="AB78" s="87"/>
      <c r="AC78" s="87"/>
      <c r="AD78" s="87"/>
      <c r="AE78" s="87"/>
      <c r="AF78" s="87"/>
      <c r="AG78" s="87"/>
      <c r="AH78" s="87"/>
      <c r="AI78" s="87"/>
      <c r="AJ78" s="87"/>
      <c r="AK78" s="87"/>
      <c r="AL78" s="87"/>
      <c r="AM78" s="87"/>
      <c r="AN78" s="87"/>
      <c r="AO78" s="87"/>
      <c r="AP78" s="87"/>
      <c r="AQ78" s="87"/>
      <c r="AR78" s="87"/>
      <c r="AS78" s="87"/>
      <c r="AT78" s="87"/>
      <c r="AU78" s="87"/>
      <c r="AV78" s="87"/>
      <c r="AW78" s="87"/>
    </row>
    <row r="79" spans="1:49" x14ac:dyDescent="0.3">
      <c r="A79" s="31">
        <v>83</v>
      </c>
      <c r="B79" s="32" t="s">
        <v>49</v>
      </c>
      <c r="C79" s="26">
        <v>7095156</v>
      </c>
      <c r="D79" s="26" t="s">
        <v>98</v>
      </c>
      <c r="E79" s="26" t="s">
        <v>351</v>
      </c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8">
        <v>1</v>
      </c>
      <c r="AA79" s="88">
        <v>1</v>
      </c>
      <c r="AB79" s="87"/>
      <c r="AC79" s="87"/>
      <c r="AD79" s="87"/>
      <c r="AE79" s="87"/>
      <c r="AF79" s="87"/>
      <c r="AG79" s="87"/>
      <c r="AH79" s="87"/>
      <c r="AI79" s="87">
        <v>1</v>
      </c>
      <c r="AJ79" s="87">
        <v>1</v>
      </c>
      <c r="AK79" s="87"/>
      <c r="AL79" s="87"/>
      <c r="AM79" s="87"/>
      <c r="AN79" s="87">
        <v>1</v>
      </c>
      <c r="AO79" s="87">
        <v>1</v>
      </c>
      <c r="AP79" s="87">
        <v>1</v>
      </c>
      <c r="AQ79" s="87">
        <v>1</v>
      </c>
      <c r="AR79" s="87"/>
      <c r="AS79" s="87"/>
      <c r="AT79" s="87"/>
      <c r="AU79" s="87"/>
      <c r="AV79" s="87"/>
      <c r="AW79" s="87"/>
    </row>
    <row r="80" spans="1:49" x14ac:dyDescent="0.3">
      <c r="A80" s="115">
        <v>98</v>
      </c>
      <c r="B80" s="29"/>
      <c r="C80" s="26">
        <v>7400330</v>
      </c>
      <c r="D80" s="26" t="s">
        <v>98</v>
      </c>
      <c r="E80" s="26" t="s">
        <v>374</v>
      </c>
      <c r="F80" s="87">
        <v>1</v>
      </c>
      <c r="G80" s="87"/>
      <c r="H80" s="87"/>
      <c r="I80" s="87">
        <v>1</v>
      </c>
      <c r="J80" s="87">
        <v>1</v>
      </c>
      <c r="K80" s="87">
        <v>1</v>
      </c>
      <c r="L80" s="87">
        <v>1</v>
      </c>
      <c r="M80" s="87">
        <v>1</v>
      </c>
      <c r="N80" s="87">
        <v>1</v>
      </c>
      <c r="O80" s="87"/>
      <c r="P80" s="87"/>
      <c r="Q80" s="87">
        <v>1</v>
      </c>
      <c r="R80" s="87">
        <v>1</v>
      </c>
      <c r="S80" s="87"/>
      <c r="T80" s="87">
        <v>1</v>
      </c>
      <c r="U80" s="87"/>
      <c r="V80" s="87"/>
      <c r="W80" s="87"/>
      <c r="X80" s="87"/>
      <c r="Y80" s="87"/>
      <c r="Z80" s="88">
        <v>1</v>
      </c>
      <c r="AA80" s="88">
        <v>1</v>
      </c>
      <c r="AB80" s="87"/>
      <c r="AC80" s="87"/>
      <c r="AD80" s="87"/>
      <c r="AE80" s="87"/>
      <c r="AF80" s="87"/>
      <c r="AG80" s="87"/>
      <c r="AH80" s="87"/>
      <c r="AI80" s="87"/>
      <c r="AJ80" s="87"/>
      <c r="AK80" s="87"/>
      <c r="AL80" s="87"/>
      <c r="AM80" s="87"/>
      <c r="AN80" s="87"/>
      <c r="AO80" s="87"/>
      <c r="AP80" s="87"/>
      <c r="AQ80" s="87"/>
      <c r="AR80" s="87"/>
      <c r="AS80" s="87"/>
      <c r="AT80" s="87"/>
      <c r="AU80" s="87"/>
      <c r="AV80" s="87">
        <v>1</v>
      </c>
      <c r="AW80" s="87"/>
    </row>
    <row r="81" spans="1:49" x14ac:dyDescent="0.3">
      <c r="A81" s="31">
        <v>76</v>
      </c>
      <c r="B81" s="29" t="s">
        <v>43</v>
      </c>
      <c r="C81" s="33">
        <v>7095158</v>
      </c>
      <c r="D81" s="34" t="s">
        <v>195</v>
      </c>
      <c r="E81" s="34" t="s">
        <v>196</v>
      </c>
      <c r="F81" s="87"/>
      <c r="G81" s="87"/>
      <c r="H81" s="87"/>
      <c r="I81" s="87"/>
      <c r="J81" s="87"/>
      <c r="K81" s="87"/>
      <c r="L81" s="87">
        <v>1</v>
      </c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8">
        <v>1</v>
      </c>
      <c r="AA81" s="88">
        <v>1</v>
      </c>
      <c r="AB81" s="87"/>
      <c r="AC81" s="87"/>
      <c r="AD81" s="87"/>
      <c r="AE81" s="87"/>
      <c r="AF81" s="87"/>
      <c r="AG81" s="87"/>
      <c r="AH81" s="87"/>
      <c r="AI81" s="87">
        <v>1</v>
      </c>
      <c r="AJ81" s="87">
        <v>1</v>
      </c>
      <c r="AK81" s="87"/>
      <c r="AL81" s="87"/>
      <c r="AM81" s="87"/>
      <c r="AN81" s="87"/>
      <c r="AO81" s="87"/>
      <c r="AP81" s="87"/>
      <c r="AQ81" s="87"/>
      <c r="AR81" s="87"/>
      <c r="AS81" s="87"/>
      <c r="AT81" s="87"/>
      <c r="AU81" s="87"/>
      <c r="AV81" s="87"/>
      <c r="AW81" s="87"/>
    </row>
    <row r="82" spans="1:49" x14ac:dyDescent="0.3">
      <c r="A82" s="31">
        <v>115</v>
      </c>
      <c r="B82" s="36"/>
      <c r="C82" s="26">
        <v>7400269</v>
      </c>
      <c r="D82" s="26" t="s">
        <v>413</v>
      </c>
      <c r="E82" s="27" t="s">
        <v>414</v>
      </c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>
        <v>1</v>
      </c>
      <c r="Q82" s="87"/>
      <c r="R82" s="87"/>
      <c r="S82" s="87"/>
      <c r="T82" s="87"/>
      <c r="U82" s="87"/>
      <c r="V82" s="87"/>
      <c r="W82" s="87"/>
      <c r="X82" s="138">
        <v>1</v>
      </c>
      <c r="Y82" s="87"/>
      <c r="Z82" s="88"/>
      <c r="AA82" s="88">
        <v>1</v>
      </c>
      <c r="AB82" s="87"/>
      <c r="AC82" s="87"/>
      <c r="AD82" s="87"/>
      <c r="AE82" s="87"/>
      <c r="AF82" s="87"/>
      <c r="AG82" s="87"/>
      <c r="AH82" s="87"/>
      <c r="AI82" s="87"/>
      <c r="AJ82" s="87"/>
      <c r="AK82" s="87"/>
      <c r="AL82" s="87"/>
      <c r="AM82" s="87"/>
      <c r="AN82" s="87"/>
      <c r="AO82" s="87"/>
      <c r="AP82" s="87"/>
      <c r="AQ82" s="87"/>
      <c r="AR82" s="87"/>
      <c r="AS82" s="87"/>
      <c r="AT82" s="87"/>
      <c r="AU82" s="87"/>
      <c r="AV82" s="87">
        <v>1</v>
      </c>
      <c r="AW82" s="87"/>
    </row>
    <row r="83" spans="1:49" x14ac:dyDescent="0.3">
      <c r="A83" s="31">
        <v>99</v>
      </c>
      <c r="B83" s="28" t="s">
        <v>43</v>
      </c>
      <c r="C83" s="26">
        <v>7401131</v>
      </c>
      <c r="D83" s="26" t="s">
        <v>375</v>
      </c>
      <c r="E83" s="27" t="s">
        <v>376</v>
      </c>
      <c r="F83" s="87">
        <v>1</v>
      </c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>
        <v>1</v>
      </c>
      <c r="X83" s="87"/>
      <c r="Y83" s="87">
        <v>1</v>
      </c>
      <c r="Z83" s="88">
        <v>1</v>
      </c>
      <c r="AA83" s="88">
        <v>1</v>
      </c>
      <c r="AB83" s="87"/>
      <c r="AC83" s="87"/>
      <c r="AD83" s="87"/>
      <c r="AE83" s="87"/>
      <c r="AF83" s="87"/>
      <c r="AG83" s="87"/>
      <c r="AH83" s="87"/>
      <c r="AI83" s="87"/>
      <c r="AJ83" s="87"/>
      <c r="AK83" s="87"/>
      <c r="AL83" s="87"/>
      <c r="AM83" s="87"/>
      <c r="AN83" s="87"/>
      <c r="AO83" s="87"/>
      <c r="AP83" s="87"/>
      <c r="AQ83" s="87"/>
      <c r="AR83" s="87"/>
      <c r="AS83" s="87"/>
      <c r="AT83" s="87">
        <v>1</v>
      </c>
      <c r="AU83" s="87">
        <v>1</v>
      </c>
      <c r="AV83" s="87">
        <v>1</v>
      </c>
      <c r="AW83" s="87"/>
    </row>
    <row r="84" spans="1:49" x14ac:dyDescent="0.3">
      <c r="A84" s="31"/>
      <c r="B84" s="29"/>
      <c r="C84" s="26">
        <v>7403380</v>
      </c>
      <c r="D84" s="26" t="s">
        <v>488</v>
      </c>
      <c r="E84" s="113" t="s">
        <v>489</v>
      </c>
      <c r="F84" s="87">
        <v>1</v>
      </c>
      <c r="G84" s="87"/>
      <c r="H84" s="87"/>
      <c r="I84" s="87"/>
      <c r="J84" s="87"/>
      <c r="K84" s="87"/>
      <c r="L84" s="87"/>
      <c r="M84" s="87"/>
      <c r="N84" s="87"/>
      <c r="O84" s="87"/>
      <c r="P84" s="87">
        <v>1</v>
      </c>
      <c r="Q84" s="87"/>
      <c r="R84" s="87"/>
      <c r="S84" s="87"/>
      <c r="T84" s="87"/>
      <c r="U84" s="87"/>
      <c r="V84" s="87"/>
      <c r="W84" s="87"/>
      <c r="X84" s="87"/>
      <c r="Y84" s="87"/>
      <c r="Z84" s="88"/>
      <c r="AA84" s="88"/>
      <c r="AB84" s="87"/>
      <c r="AC84" s="87"/>
      <c r="AD84" s="87"/>
      <c r="AE84" s="87"/>
      <c r="AF84" s="87"/>
      <c r="AG84" s="87"/>
      <c r="AH84" s="87"/>
      <c r="AI84" s="87"/>
      <c r="AJ84" s="87"/>
      <c r="AK84" s="87"/>
      <c r="AL84" s="87"/>
      <c r="AM84" s="87"/>
      <c r="AN84" s="87"/>
      <c r="AO84" s="87"/>
      <c r="AP84" s="87"/>
      <c r="AQ84" s="87"/>
      <c r="AR84" s="87"/>
      <c r="AS84" s="87"/>
      <c r="AT84" s="87"/>
      <c r="AU84" s="87"/>
      <c r="AV84" s="87"/>
      <c r="AW84" s="87"/>
    </row>
    <row r="85" spans="1:49" x14ac:dyDescent="0.3">
      <c r="A85" s="115">
        <v>22</v>
      </c>
      <c r="B85" s="29" t="s">
        <v>43</v>
      </c>
      <c r="C85" s="26">
        <v>7051907</v>
      </c>
      <c r="D85" s="26" t="s">
        <v>102</v>
      </c>
      <c r="E85" s="26" t="s">
        <v>103</v>
      </c>
      <c r="F85" s="87">
        <v>1</v>
      </c>
      <c r="G85" s="87"/>
      <c r="H85" s="87"/>
      <c r="I85" s="87"/>
      <c r="J85" s="87"/>
      <c r="K85" s="87">
        <v>1</v>
      </c>
      <c r="L85" s="87">
        <v>1</v>
      </c>
      <c r="M85" s="87">
        <v>1</v>
      </c>
      <c r="N85" s="87">
        <v>1</v>
      </c>
      <c r="O85" s="87"/>
      <c r="P85" s="87"/>
      <c r="Q85" s="87"/>
      <c r="R85" s="87"/>
      <c r="S85" s="87">
        <v>1</v>
      </c>
      <c r="T85" s="87">
        <v>1</v>
      </c>
      <c r="U85" s="87"/>
      <c r="V85" s="87"/>
      <c r="W85" s="87"/>
      <c r="X85" s="87"/>
      <c r="Y85" s="87"/>
      <c r="Z85" s="88">
        <v>1</v>
      </c>
      <c r="AA85" s="88">
        <v>1</v>
      </c>
      <c r="AB85" s="87"/>
      <c r="AC85" s="87"/>
      <c r="AD85" s="87"/>
      <c r="AE85" s="87"/>
      <c r="AF85" s="87"/>
      <c r="AG85" s="87"/>
      <c r="AH85" s="87"/>
      <c r="AI85" s="87"/>
      <c r="AJ85" s="87"/>
      <c r="AK85" s="87"/>
      <c r="AL85" s="87"/>
      <c r="AM85" s="87"/>
      <c r="AN85" s="87"/>
      <c r="AO85" s="87"/>
      <c r="AP85" s="87"/>
      <c r="AQ85" s="87"/>
      <c r="AR85" s="87"/>
      <c r="AS85" s="87"/>
      <c r="AT85" s="87"/>
      <c r="AU85" s="87"/>
      <c r="AV85" s="87"/>
      <c r="AW85" s="87"/>
    </row>
    <row r="86" spans="1:49" x14ac:dyDescent="0.3">
      <c r="A86" s="31">
        <v>124</v>
      </c>
      <c r="B86" s="36" t="s">
        <v>198</v>
      </c>
      <c r="C86" s="26">
        <v>7400855</v>
      </c>
      <c r="D86" s="26" t="s">
        <v>421</v>
      </c>
      <c r="E86" s="26" t="s">
        <v>88</v>
      </c>
      <c r="F86" s="87">
        <v>1</v>
      </c>
      <c r="G86" s="87"/>
      <c r="H86" s="87"/>
      <c r="I86" s="87"/>
      <c r="J86" s="87"/>
      <c r="K86" s="87"/>
      <c r="L86" s="87">
        <v>1</v>
      </c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8">
        <v>1</v>
      </c>
      <c r="AA86" s="88">
        <v>1</v>
      </c>
      <c r="AB86" s="87"/>
      <c r="AC86" s="87"/>
      <c r="AD86" s="87"/>
      <c r="AE86" s="87"/>
      <c r="AF86" s="87"/>
      <c r="AG86" s="87"/>
      <c r="AH86" s="87">
        <v>1</v>
      </c>
      <c r="AI86" s="87">
        <v>1</v>
      </c>
      <c r="AJ86" s="87">
        <v>1</v>
      </c>
      <c r="AK86" s="87"/>
      <c r="AL86" s="87"/>
      <c r="AM86" s="87"/>
      <c r="AN86" s="87"/>
      <c r="AO86" s="87"/>
      <c r="AP86" s="87"/>
      <c r="AQ86" s="87"/>
      <c r="AR86" s="87"/>
      <c r="AS86" s="87"/>
      <c r="AT86" s="87"/>
      <c r="AU86" s="87"/>
      <c r="AV86" s="87">
        <v>1</v>
      </c>
      <c r="AW86" s="87"/>
    </row>
    <row r="87" spans="1:49" x14ac:dyDescent="0.3">
      <c r="A87" s="31">
        <v>123</v>
      </c>
      <c r="B87" s="32" t="s">
        <v>198</v>
      </c>
      <c r="C87" s="40">
        <v>7402547</v>
      </c>
      <c r="D87" s="40" t="s">
        <v>431</v>
      </c>
      <c r="E87" s="40" t="s">
        <v>359</v>
      </c>
      <c r="F87" s="87">
        <v>1</v>
      </c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8"/>
      <c r="AA87" s="88"/>
      <c r="AB87" s="87"/>
      <c r="AC87" s="87"/>
      <c r="AD87" s="87"/>
      <c r="AE87" s="87"/>
      <c r="AF87" s="87">
        <v>1</v>
      </c>
      <c r="AG87" s="87"/>
      <c r="AH87" s="87"/>
      <c r="AI87" s="87">
        <v>1</v>
      </c>
      <c r="AJ87" s="87"/>
      <c r="AK87" s="87"/>
      <c r="AL87" s="87"/>
      <c r="AM87" s="87"/>
      <c r="AN87" s="87"/>
      <c r="AO87" s="87"/>
      <c r="AP87" s="87"/>
      <c r="AQ87" s="87"/>
      <c r="AR87" s="87"/>
      <c r="AS87" s="87"/>
      <c r="AT87" s="87"/>
      <c r="AU87" s="87"/>
      <c r="AV87" s="87"/>
      <c r="AW87" s="87"/>
    </row>
    <row r="88" spans="1:49" x14ac:dyDescent="0.3">
      <c r="A88" s="31"/>
      <c r="B88" s="29"/>
      <c r="C88" s="26">
        <v>7403656</v>
      </c>
      <c r="D88" s="26" t="s">
        <v>502</v>
      </c>
      <c r="E88" s="113" t="s">
        <v>503</v>
      </c>
      <c r="F88" s="87">
        <v>1</v>
      </c>
      <c r="G88" s="87"/>
      <c r="H88" s="87">
        <v>1</v>
      </c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>
        <v>1</v>
      </c>
      <c r="U88" s="87"/>
      <c r="V88" s="87"/>
      <c r="W88" s="87"/>
      <c r="X88" s="87"/>
      <c r="Y88" s="87"/>
      <c r="Z88" s="88"/>
      <c r="AA88" s="88"/>
      <c r="AB88" s="87"/>
      <c r="AC88" s="87"/>
      <c r="AD88" s="87"/>
      <c r="AE88" s="87"/>
      <c r="AF88" s="87"/>
      <c r="AG88" s="87"/>
      <c r="AH88" s="87"/>
      <c r="AI88" s="87"/>
      <c r="AJ88" s="87"/>
      <c r="AK88" s="87"/>
      <c r="AL88" s="87"/>
      <c r="AM88" s="87"/>
      <c r="AN88" s="87"/>
      <c r="AO88" s="87"/>
      <c r="AP88" s="87"/>
      <c r="AQ88" s="87"/>
      <c r="AR88" s="87"/>
      <c r="AS88" s="87"/>
      <c r="AT88" s="87"/>
      <c r="AU88" s="87"/>
      <c r="AV88" s="87"/>
      <c r="AW88" s="87"/>
    </row>
    <row r="89" spans="1:49" x14ac:dyDescent="0.3">
      <c r="A89" s="31">
        <v>103</v>
      </c>
      <c r="B89" s="110"/>
      <c r="C89" s="26">
        <v>7400910</v>
      </c>
      <c r="D89" s="26" t="s">
        <v>382</v>
      </c>
      <c r="E89" s="26" t="s">
        <v>381</v>
      </c>
      <c r="F89" s="87">
        <v>1</v>
      </c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>
        <v>1</v>
      </c>
      <c r="T89" s="87">
        <v>1</v>
      </c>
      <c r="U89" s="87"/>
      <c r="V89" s="87"/>
      <c r="W89" s="87"/>
      <c r="X89" s="87"/>
      <c r="Y89" s="87"/>
      <c r="Z89" s="88">
        <v>1</v>
      </c>
      <c r="AA89" s="88">
        <v>1</v>
      </c>
      <c r="AB89" s="87"/>
      <c r="AC89" s="87"/>
      <c r="AD89" s="87"/>
      <c r="AE89" s="87"/>
      <c r="AF89" s="87">
        <v>1</v>
      </c>
      <c r="AG89" s="87">
        <v>1</v>
      </c>
      <c r="AH89" s="87">
        <v>1</v>
      </c>
      <c r="AI89" s="87">
        <v>1</v>
      </c>
      <c r="AJ89" s="87">
        <v>1</v>
      </c>
      <c r="AK89" s="87"/>
      <c r="AL89" s="87"/>
      <c r="AM89" s="87">
        <v>1</v>
      </c>
      <c r="AN89" s="87"/>
      <c r="AO89" s="87"/>
      <c r="AP89" s="87"/>
      <c r="AQ89" s="87"/>
      <c r="AR89" s="87"/>
      <c r="AS89" s="87"/>
      <c r="AT89" s="87"/>
      <c r="AU89" s="87"/>
      <c r="AV89" s="87">
        <v>1</v>
      </c>
      <c r="AW89" s="87"/>
    </row>
    <row r="90" spans="1:49" x14ac:dyDescent="0.3">
      <c r="A90" s="31">
        <v>111</v>
      </c>
      <c r="B90" s="29" t="s">
        <v>198</v>
      </c>
      <c r="C90" s="26">
        <v>7076186</v>
      </c>
      <c r="D90" s="26" t="s">
        <v>411</v>
      </c>
      <c r="E90" s="26" t="s">
        <v>131</v>
      </c>
      <c r="F90" s="87">
        <v>1</v>
      </c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>
        <v>1</v>
      </c>
      <c r="V90" s="87">
        <v>1</v>
      </c>
      <c r="W90" s="87"/>
      <c r="X90" s="87"/>
      <c r="Y90" s="87"/>
      <c r="Z90" s="88"/>
      <c r="AA90" s="88">
        <v>1</v>
      </c>
      <c r="AB90" s="87"/>
      <c r="AC90" s="87"/>
      <c r="AD90" s="87"/>
      <c r="AE90" s="87"/>
      <c r="AF90" s="87"/>
      <c r="AG90" s="87"/>
      <c r="AH90" s="87"/>
      <c r="AI90" s="87"/>
      <c r="AJ90" s="87"/>
      <c r="AK90" s="87"/>
      <c r="AL90" s="87"/>
      <c r="AM90" s="87"/>
      <c r="AN90" s="87"/>
      <c r="AO90" s="87"/>
      <c r="AP90" s="87"/>
      <c r="AQ90" s="87"/>
      <c r="AR90" s="87"/>
      <c r="AS90" s="87"/>
      <c r="AT90" s="87"/>
      <c r="AU90" s="87"/>
      <c r="AV90" s="87">
        <v>1</v>
      </c>
      <c r="AW90" s="87"/>
    </row>
    <row r="91" spans="1:49" x14ac:dyDescent="0.3">
      <c r="A91" s="115">
        <v>112</v>
      </c>
      <c r="B91" s="32" t="s">
        <v>198</v>
      </c>
      <c r="C91" s="26">
        <v>7400558</v>
      </c>
      <c r="D91" s="26" t="s">
        <v>405</v>
      </c>
      <c r="E91" s="26" t="s">
        <v>406</v>
      </c>
      <c r="F91" s="87">
        <v>1</v>
      </c>
      <c r="G91" s="87"/>
      <c r="H91" s="87"/>
      <c r="I91" s="87"/>
      <c r="J91" s="87"/>
      <c r="K91" s="87"/>
      <c r="L91" s="87">
        <v>1</v>
      </c>
      <c r="M91" s="87"/>
      <c r="N91" s="87"/>
      <c r="O91" s="87"/>
      <c r="P91" s="87">
        <v>1</v>
      </c>
      <c r="Q91" s="87"/>
      <c r="R91" s="87"/>
      <c r="S91" s="87">
        <v>1</v>
      </c>
      <c r="T91" s="87">
        <v>1</v>
      </c>
      <c r="U91" s="87"/>
      <c r="V91" s="87"/>
      <c r="W91" s="87"/>
      <c r="X91" s="87"/>
      <c r="Y91" s="87"/>
      <c r="Z91" s="88">
        <v>1</v>
      </c>
      <c r="AA91" s="88">
        <v>1</v>
      </c>
      <c r="AB91" s="87"/>
      <c r="AC91" s="87"/>
      <c r="AD91" s="87"/>
      <c r="AE91" s="87"/>
      <c r="AF91" s="87">
        <v>1</v>
      </c>
      <c r="AG91" s="87"/>
      <c r="AH91" s="87"/>
      <c r="AI91" s="87"/>
      <c r="AJ91" s="87"/>
      <c r="AK91" s="87"/>
      <c r="AL91" s="87"/>
      <c r="AM91" s="87"/>
      <c r="AN91" s="87"/>
      <c r="AO91" s="87"/>
      <c r="AP91" s="87"/>
      <c r="AQ91" s="87"/>
      <c r="AR91" s="87"/>
      <c r="AS91" s="87"/>
      <c r="AT91" s="87">
        <v>1</v>
      </c>
      <c r="AU91" s="87">
        <v>1</v>
      </c>
      <c r="AV91" s="87">
        <v>1</v>
      </c>
      <c r="AW91" s="87"/>
    </row>
    <row r="92" spans="1:49" x14ac:dyDescent="0.3">
      <c r="A92" s="115">
        <v>27</v>
      </c>
      <c r="B92" s="28" t="s">
        <v>43</v>
      </c>
      <c r="C92" s="117">
        <v>7051920</v>
      </c>
      <c r="D92" s="26" t="s">
        <v>105</v>
      </c>
      <c r="E92" s="27" t="s">
        <v>106</v>
      </c>
      <c r="F92" s="87">
        <v>1</v>
      </c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8">
        <v>1</v>
      </c>
      <c r="AA92" s="88">
        <v>1</v>
      </c>
      <c r="AB92" s="87">
        <v>1</v>
      </c>
      <c r="AC92" s="87"/>
      <c r="AD92" s="87">
        <v>1</v>
      </c>
      <c r="AE92" s="87"/>
      <c r="AF92" s="87"/>
      <c r="AG92" s="87">
        <v>1</v>
      </c>
      <c r="AH92" s="87">
        <v>1</v>
      </c>
      <c r="AI92" s="87">
        <v>1</v>
      </c>
      <c r="AJ92" s="87">
        <v>1</v>
      </c>
      <c r="AK92" s="87">
        <v>1</v>
      </c>
      <c r="AL92" s="87"/>
      <c r="AM92" s="87"/>
      <c r="AN92" s="87"/>
      <c r="AO92" s="87"/>
      <c r="AP92" s="87"/>
      <c r="AQ92" s="87"/>
      <c r="AR92" s="87"/>
      <c r="AS92" s="87"/>
      <c r="AT92" s="87"/>
      <c r="AU92" s="87"/>
      <c r="AV92" s="87"/>
      <c r="AW92" s="87"/>
    </row>
    <row r="93" spans="1:49" x14ac:dyDescent="0.3">
      <c r="A93" s="31">
        <v>58</v>
      </c>
      <c r="B93" s="32" t="s">
        <v>43</v>
      </c>
      <c r="C93" s="26">
        <v>7092977</v>
      </c>
      <c r="D93" s="26" t="s">
        <v>178</v>
      </c>
      <c r="E93" s="27" t="s">
        <v>170</v>
      </c>
      <c r="F93" s="87">
        <v>1</v>
      </c>
      <c r="G93" s="87"/>
      <c r="H93" s="87"/>
      <c r="I93" s="87">
        <v>1</v>
      </c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8">
        <v>1</v>
      </c>
      <c r="AA93" s="109">
        <v>1</v>
      </c>
      <c r="AB93" s="98"/>
      <c r="AC93" s="98"/>
      <c r="AD93" s="98"/>
      <c r="AE93" s="98"/>
      <c r="AF93" s="87"/>
      <c r="AG93" s="87"/>
      <c r="AH93" s="87"/>
      <c r="AI93" s="87"/>
      <c r="AJ93" s="87"/>
      <c r="AK93" s="87"/>
      <c r="AL93" s="87"/>
      <c r="AM93" s="87"/>
      <c r="AN93" s="87"/>
      <c r="AO93" s="87"/>
      <c r="AP93" s="87"/>
      <c r="AQ93" s="87"/>
      <c r="AR93" s="87"/>
      <c r="AS93" s="87"/>
      <c r="AT93" s="87"/>
      <c r="AU93" s="87"/>
      <c r="AV93" s="87"/>
      <c r="AW93" s="87"/>
    </row>
    <row r="94" spans="1:49" x14ac:dyDescent="0.3">
      <c r="A94" s="39">
        <v>95</v>
      </c>
      <c r="B94" s="28" t="s">
        <v>49</v>
      </c>
      <c r="C94" s="26">
        <v>7096286</v>
      </c>
      <c r="D94" s="26" t="s">
        <v>366</v>
      </c>
      <c r="E94" s="26" t="s">
        <v>45</v>
      </c>
      <c r="F94" s="87"/>
      <c r="G94" s="87"/>
      <c r="H94" s="87"/>
      <c r="I94" s="87"/>
      <c r="J94" s="87"/>
      <c r="K94" s="87"/>
      <c r="L94" s="87">
        <v>1</v>
      </c>
      <c r="M94" s="87">
        <v>1</v>
      </c>
      <c r="N94" s="87">
        <v>1</v>
      </c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8">
        <v>1</v>
      </c>
      <c r="AA94" s="88">
        <v>1</v>
      </c>
      <c r="AB94" s="98"/>
      <c r="AC94" s="87"/>
      <c r="AD94" s="87"/>
      <c r="AE94" s="87"/>
      <c r="AF94" s="87"/>
      <c r="AG94" s="87"/>
      <c r="AH94" s="87"/>
      <c r="AI94" s="87"/>
      <c r="AJ94" s="87"/>
      <c r="AK94" s="87"/>
      <c r="AL94" s="87"/>
      <c r="AM94" s="87"/>
      <c r="AN94" s="87"/>
      <c r="AO94" s="87"/>
      <c r="AP94" s="87"/>
      <c r="AQ94" s="87"/>
      <c r="AR94" s="87"/>
      <c r="AS94" s="87"/>
      <c r="AT94" s="87"/>
      <c r="AU94" s="87"/>
      <c r="AV94" s="87">
        <v>1</v>
      </c>
      <c r="AW94" s="87"/>
    </row>
    <row r="95" spans="1:49" x14ac:dyDescent="0.3">
      <c r="A95" s="115">
        <v>126</v>
      </c>
      <c r="B95" s="28" t="s">
        <v>198</v>
      </c>
      <c r="C95" s="26">
        <v>7402448</v>
      </c>
      <c r="D95" s="26" t="s">
        <v>422</v>
      </c>
      <c r="E95" s="26" t="s">
        <v>423</v>
      </c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>
        <v>1</v>
      </c>
      <c r="Q95" s="87"/>
      <c r="R95" s="87"/>
      <c r="S95" s="87"/>
      <c r="T95" s="87"/>
      <c r="U95" s="87"/>
      <c r="V95" s="87"/>
      <c r="W95" s="87"/>
      <c r="X95" s="87">
        <v>1</v>
      </c>
      <c r="Y95" s="87"/>
      <c r="Z95" s="88">
        <v>1</v>
      </c>
      <c r="AA95" s="88">
        <v>1</v>
      </c>
      <c r="AB95" s="87"/>
      <c r="AC95" s="87"/>
      <c r="AD95" s="87"/>
      <c r="AE95" s="87"/>
      <c r="AF95" s="87"/>
      <c r="AG95" s="87"/>
      <c r="AH95" s="87"/>
      <c r="AI95" s="87"/>
      <c r="AJ95" s="87"/>
      <c r="AK95" s="87"/>
      <c r="AL95" s="87"/>
      <c r="AM95" s="87"/>
      <c r="AN95" s="87"/>
      <c r="AO95" s="87"/>
      <c r="AP95" s="87"/>
      <c r="AQ95" s="87"/>
      <c r="AR95" s="87"/>
      <c r="AS95" s="87"/>
      <c r="AT95" s="87"/>
      <c r="AU95" s="87"/>
      <c r="AV95" s="87">
        <v>1</v>
      </c>
      <c r="AW95" s="87"/>
    </row>
    <row r="96" spans="1:49" x14ac:dyDescent="0.3">
      <c r="A96" s="116">
        <v>64</v>
      </c>
      <c r="B96" s="87" t="s">
        <v>49</v>
      </c>
      <c r="C96" s="87">
        <v>7093500</v>
      </c>
      <c r="D96" s="87" t="s">
        <v>171</v>
      </c>
      <c r="E96" s="87" t="s">
        <v>172</v>
      </c>
      <c r="F96" s="87"/>
      <c r="G96" s="87"/>
      <c r="H96" s="87"/>
      <c r="I96" s="87">
        <v>1</v>
      </c>
      <c r="J96" s="87">
        <v>1</v>
      </c>
      <c r="K96" s="87">
        <v>1</v>
      </c>
      <c r="L96" s="87">
        <v>1</v>
      </c>
      <c r="M96" s="87"/>
      <c r="N96" s="87"/>
      <c r="O96" s="87"/>
      <c r="P96" s="87"/>
      <c r="Q96" s="87"/>
      <c r="R96" s="87"/>
      <c r="S96" s="87">
        <v>1</v>
      </c>
      <c r="T96" s="87">
        <v>1</v>
      </c>
      <c r="U96" s="87"/>
      <c r="V96" s="87"/>
      <c r="W96" s="87"/>
      <c r="X96" s="87"/>
      <c r="Y96" s="87"/>
      <c r="Z96" s="88">
        <v>1</v>
      </c>
      <c r="AA96" s="88">
        <v>1</v>
      </c>
      <c r="AB96" s="87"/>
      <c r="AC96" s="87"/>
      <c r="AD96" s="87"/>
      <c r="AE96" s="87"/>
      <c r="AF96" s="87"/>
      <c r="AG96" s="87"/>
      <c r="AH96" s="87"/>
      <c r="AI96" s="87"/>
      <c r="AJ96" s="87"/>
      <c r="AK96" s="87"/>
      <c r="AL96" s="87"/>
      <c r="AM96" s="87"/>
      <c r="AN96" s="87"/>
      <c r="AO96" s="87"/>
      <c r="AP96" s="87"/>
      <c r="AQ96" s="87"/>
      <c r="AR96" s="87"/>
      <c r="AS96" s="87"/>
      <c r="AT96" s="87"/>
      <c r="AU96" s="87"/>
      <c r="AV96" s="87">
        <v>1</v>
      </c>
      <c r="AW96" s="87"/>
    </row>
    <row r="97" spans="1:49" x14ac:dyDescent="0.3">
      <c r="A97" s="31"/>
      <c r="B97" s="36"/>
      <c r="C97" s="26">
        <v>7403482</v>
      </c>
      <c r="D97" s="26" t="s">
        <v>452</v>
      </c>
      <c r="E97" s="26" t="s">
        <v>453</v>
      </c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8"/>
      <c r="AA97" s="88">
        <v>1</v>
      </c>
      <c r="AB97" s="87"/>
      <c r="AC97" s="87"/>
      <c r="AD97" s="87"/>
      <c r="AE97" s="87"/>
      <c r="AF97" s="87"/>
      <c r="AG97" s="87"/>
      <c r="AH97" s="87"/>
      <c r="AI97" s="87"/>
      <c r="AJ97" s="87"/>
      <c r="AK97" s="87"/>
      <c r="AL97" s="87">
        <v>1</v>
      </c>
      <c r="AM97" s="87"/>
      <c r="AN97" s="87"/>
      <c r="AO97" s="87"/>
      <c r="AP97" s="87"/>
      <c r="AQ97" s="87"/>
      <c r="AR97" s="87"/>
      <c r="AS97" s="87"/>
      <c r="AT97" s="87"/>
      <c r="AU97" s="87"/>
      <c r="AV97" s="87"/>
      <c r="AW97" s="87"/>
    </row>
    <row r="98" spans="1:49" x14ac:dyDescent="0.3">
      <c r="A98" s="31">
        <v>92</v>
      </c>
      <c r="B98" s="110" t="s">
        <v>42</v>
      </c>
      <c r="C98" s="37">
        <v>7097996</v>
      </c>
      <c r="D98" s="38" t="s">
        <v>358</v>
      </c>
      <c r="E98" s="38" t="s">
        <v>359</v>
      </c>
      <c r="F98" s="87">
        <v>1</v>
      </c>
      <c r="G98" s="87"/>
      <c r="H98" s="87"/>
      <c r="I98" s="87">
        <v>1</v>
      </c>
      <c r="J98" s="87">
        <v>1</v>
      </c>
      <c r="K98" s="87">
        <v>1</v>
      </c>
      <c r="L98" s="87">
        <v>1</v>
      </c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8">
        <v>1</v>
      </c>
      <c r="AA98" s="88">
        <v>1</v>
      </c>
      <c r="AB98" s="87"/>
      <c r="AC98" s="87"/>
      <c r="AD98" s="87"/>
      <c r="AE98" s="87"/>
      <c r="AF98" s="87"/>
      <c r="AG98" s="87"/>
      <c r="AH98" s="87"/>
      <c r="AI98" s="87"/>
      <c r="AJ98" s="87"/>
      <c r="AK98" s="87"/>
      <c r="AL98" s="87"/>
      <c r="AM98" s="87"/>
      <c r="AN98" s="87"/>
      <c r="AO98" s="87"/>
      <c r="AP98" s="87"/>
      <c r="AQ98" s="87"/>
      <c r="AR98" s="87"/>
      <c r="AS98" s="87"/>
      <c r="AT98" s="87"/>
      <c r="AU98" s="87"/>
      <c r="AV98" s="87"/>
      <c r="AW98" s="87"/>
    </row>
    <row r="99" spans="1:49" x14ac:dyDescent="0.3">
      <c r="A99" s="31">
        <v>24</v>
      </c>
      <c r="B99" s="110" t="s">
        <v>43</v>
      </c>
      <c r="C99" s="117">
        <v>7051908</v>
      </c>
      <c r="D99" s="26" t="s">
        <v>107</v>
      </c>
      <c r="E99" s="27" t="s">
        <v>108</v>
      </c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8"/>
      <c r="AA99" s="88"/>
      <c r="AB99" s="87">
        <v>1</v>
      </c>
      <c r="AC99" s="87"/>
      <c r="AD99" s="87"/>
      <c r="AE99" s="87"/>
      <c r="AF99" s="87"/>
      <c r="AG99" s="87">
        <v>1</v>
      </c>
      <c r="AH99" s="87">
        <v>1</v>
      </c>
      <c r="AI99" s="87"/>
      <c r="AJ99" s="87"/>
      <c r="AK99" s="87">
        <v>1</v>
      </c>
      <c r="AL99" s="87"/>
      <c r="AM99" s="87"/>
      <c r="AN99" s="87">
        <v>1</v>
      </c>
      <c r="AO99" s="87">
        <v>1</v>
      </c>
      <c r="AP99" s="87">
        <v>1</v>
      </c>
      <c r="AQ99" s="87">
        <v>1</v>
      </c>
      <c r="AR99" s="87"/>
      <c r="AS99" s="87"/>
      <c r="AT99" s="87"/>
      <c r="AU99" s="87"/>
      <c r="AV99" s="87"/>
      <c r="AW99" s="87"/>
    </row>
    <row r="100" spans="1:49" x14ac:dyDescent="0.3">
      <c r="A100" s="31">
        <v>46</v>
      </c>
      <c r="B100" s="32" t="s">
        <v>42</v>
      </c>
      <c r="C100" s="37">
        <v>7091824</v>
      </c>
      <c r="D100" s="34" t="s">
        <v>109</v>
      </c>
      <c r="E100" s="34" t="s">
        <v>104</v>
      </c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>
        <v>1</v>
      </c>
      <c r="Y100" s="87"/>
      <c r="Z100" s="88">
        <v>1</v>
      </c>
      <c r="AA100" s="88">
        <v>1</v>
      </c>
      <c r="AB100" s="98"/>
      <c r="AC100" s="87"/>
      <c r="AD100" s="98"/>
      <c r="AE100" s="87">
        <v>1</v>
      </c>
      <c r="AF100" s="87"/>
      <c r="AG100" s="87">
        <v>1</v>
      </c>
      <c r="AH100" s="87"/>
      <c r="AI100" s="87">
        <v>1</v>
      </c>
      <c r="AJ100" s="87">
        <v>1</v>
      </c>
      <c r="AK100" s="87"/>
      <c r="AL100" s="87"/>
      <c r="AM100" s="87"/>
      <c r="AN100" s="87"/>
      <c r="AO100" s="87"/>
      <c r="AP100" s="87"/>
      <c r="AQ100" s="87"/>
      <c r="AR100" s="87"/>
      <c r="AS100" s="87"/>
      <c r="AT100" s="87"/>
      <c r="AU100" s="87"/>
      <c r="AV100" s="87"/>
      <c r="AW100" s="87"/>
    </row>
    <row r="101" spans="1:49" x14ac:dyDescent="0.3">
      <c r="A101" s="111">
        <v>118</v>
      </c>
      <c r="B101" s="139"/>
      <c r="C101" s="12">
        <v>7099798</v>
      </c>
      <c r="D101" s="12" t="s">
        <v>484</v>
      </c>
      <c r="E101" s="12" t="s">
        <v>485</v>
      </c>
      <c r="F101" s="87">
        <v>1</v>
      </c>
      <c r="G101" s="87"/>
      <c r="H101" s="87">
        <v>1</v>
      </c>
      <c r="I101" s="87"/>
      <c r="J101" s="87"/>
      <c r="K101" s="87"/>
      <c r="L101" s="87">
        <v>1</v>
      </c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8">
        <v>1</v>
      </c>
      <c r="AA101" s="88">
        <v>1</v>
      </c>
      <c r="AB101" s="98"/>
      <c r="AC101" s="87"/>
      <c r="AD101" s="87"/>
      <c r="AE101" s="87"/>
      <c r="AF101" s="87"/>
      <c r="AG101" s="87"/>
      <c r="AH101" s="87"/>
      <c r="AI101" s="87"/>
      <c r="AJ101" s="87"/>
      <c r="AK101" s="87"/>
      <c r="AL101" s="87"/>
      <c r="AM101" s="87"/>
      <c r="AN101" s="87"/>
      <c r="AO101" s="87"/>
      <c r="AP101" s="87"/>
      <c r="AQ101" s="87"/>
      <c r="AR101" s="87"/>
      <c r="AS101" s="87"/>
      <c r="AT101" s="87"/>
      <c r="AU101" s="87"/>
      <c r="AV101" s="87"/>
      <c r="AW101" s="87"/>
    </row>
    <row r="102" spans="1:49" x14ac:dyDescent="0.3">
      <c r="A102" s="31">
        <v>21</v>
      </c>
      <c r="B102" s="32" t="s">
        <v>43</v>
      </c>
      <c r="C102" s="33">
        <v>7055571</v>
      </c>
      <c r="D102" s="34" t="s">
        <v>110</v>
      </c>
      <c r="E102" s="34" t="s">
        <v>111</v>
      </c>
      <c r="F102" s="87"/>
      <c r="G102" s="87"/>
      <c r="H102" s="87"/>
      <c r="I102" s="87"/>
      <c r="J102" s="87"/>
      <c r="K102" s="87"/>
      <c r="L102" s="87">
        <v>1</v>
      </c>
      <c r="M102" s="87"/>
      <c r="N102" s="87"/>
      <c r="O102" s="87"/>
      <c r="P102" s="87">
        <v>1</v>
      </c>
      <c r="Q102" s="87"/>
      <c r="R102" s="87"/>
      <c r="S102" s="87"/>
      <c r="T102" s="87"/>
      <c r="U102" s="87"/>
      <c r="V102" s="87"/>
      <c r="W102" s="87"/>
      <c r="X102" s="87"/>
      <c r="Y102" s="87"/>
      <c r="Z102" s="88">
        <v>1</v>
      </c>
      <c r="AA102" s="88">
        <v>1</v>
      </c>
      <c r="AB102" s="87"/>
      <c r="AC102" s="87"/>
      <c r="AD102" s="87"/>
      <c r="AE102" s="87"/>
      <c r="AF102" s="87"/>
      <c r="AG102" s="87"/>
      <c r="AH102" s="87"/>
      <c r="AI102" s="87"/>
      <c r="AJ102" s="87"/>
      <c r="AK102" s="87"/>
      <c r="AL102" s="87"/>
      <c r="AM102" s="87"/>
      <c r="AN102" s="87"/>
      <c r="AO102" s="87"/>
      <c r="AP102" s="87"/>
      <c r="AQ102" s="87"/>
      <c r="AR102" s="87"/>
      <c r="AS102" s="87"/>
      <c r="AT102" s="87"/>
      <c r="AU102" s="87"/>
      <c r="AV102" s="87"/>
      <c r="AW102" s="87"/>
    </row>
    <row r="103" spans="1:49" x14ac:dyDescent="0.3">
      <c r="A103" s="115">
        <v>39</v>
      </c>
      <c r="B103" s="29" t="s">
        <v>46</v>
      </c>
      <c r="C103" s="38">
        <v>7092741</v>
      </c>
      <c r="D103" s="26" t="s">
        <v>112</v>
      </c>
      <c r="E103" s="27" t="s">
        <v>113</v>
      </c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8"/>
      <c r="AA103" s="88"/>
      <c r="AB103" s="87">
        <v>1</v>
      </c>
      <c r="AC103" s="87"/>
      <c r="AD103" s="87"/>
      <c r="AE103" s="87"/>
      <c r="AF103" s="87"/>
      <c r="AG103" s="87"/>
      <c r="AH103" s="87"/>
      <c r="AI103" s="87"/>
      <c r="AJ103" s="87"/>
      <c r="AK103" s="87"/>
      <c r="AL103" s="87"/>
      <c r="AM103" s="87"/>
      <c r="AN103" s="87"/>
      <c r="AO103" s="87"/>
      <c r="AP103" s="87"/>
      <c r="AQ103" s="87"/>
      <c r="AR103" s="87"/>
      <c r="AS103" s="87"/>
      <c r="AT103" s="87"/>
      <c r="AU103" s="87"/>
      <c r="AV103" s="87"/>
      <c r="AW103" s="87"/>
    </row>
    <row r="104" spans="1:49" x14ac:dyDescent="0.3">
      <c r="A104" s="39">
        <v>41</v>
      </c>
      <c r="B104" s="28" t="s">
        <v>43</v>
      </c>
      <c r="C104" s="26">
        <v>7092738</v>
      </c>
      <c r="D104" s="26" t="s">
        <v>114</v>
      </c>
      <c r="E104" s="113" t="s">
        <v>115</v>
      </c>
      <c r="F104" s="87">
        <v>1</v>
      </c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>
        <v>1</v>
      </c>
      <c r="V104" s="87"/>
      <c r="W104" s="87">
        <v>1</v>
      </c>
      <c r="X104" s="87"/>
      <c r="Y104" s="87"/>
      <c r="Z104" s="88">
        <v>1</v>
      </c>
      <c r="AA104" s="88">
        <v>1</v>
      </c>
      <c r="AB104" s="98">
        <v>1</v>
      </c>
      <c r="AC104" s="87"/>
      <c r="AD104" s="87">
        <v>1</v>
      </c>
      <c r="AE104" s="87"/>
      <c r="AF104" s="87"/>
      <c r="AG104" s="87"/>
      <c r="AH104" s="87"/>
      <c r="AI104" s="87"/>
      <c r="AJ104" s="87"/>
      <c r="AK104" s="87"/>
      <c r="AL104" s="87"/>
      <c r="AM104" s="87"/>
      <c r="AN104" s="87"/>
      <c r="AO104" s="87"/>
      <c r="AP104" s="87"/>
      <c r="AQ104" s="87"/>
      <c r="AR104" s="87"/>
      <c r="AS104" s="87"/>
      <c r="AT104" s="87"/>
      <c r="AU104" s="87"/>
      <c r="AV104" s="87">
        <v>1</v>
      </c>
      <c r="AW104" s="87"/>
    </row>
    <row r="105" spans="1:49" x14ac:dyDescent="0.3">
      <c r="A105" s="31">
        <v>109</v>
      </c>
      <c r="B105" s="29" t="s">
        <v>198</v>
      </c>
      <c r="C105" s="33">
        <v>7099948</v>
      </c>
      <c r="D105" s="34" t="s">
        <v>407</v>
      </c>
      <c r="E105" s="35" t="s">
        <v>408</v>
      </c>
      <c r="F105" s="87">
        <v>1</v>
      </c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8"/>
      <c r="AA105" s="88">
        <v>1</v>
      </c>
      <c r="AB105" s="87"/>
      <c r="AC105" s="87"/>
      <c r="AD105" s="87"/>
      <c r="AE105" s="87"/>
      <c r="AF105" s="87">
        <v>1</v>
      </c>
      <c r="AG105" s="87"/>
      <c r="AH105" s="87"/>
      <c r="AI105" s="87"/>
      <c r="AJ105" s="87"/>
      <c r="AK105" s="87"/>
      <c r="AL105" s="87"/>
      <c r="AM105" s="87">
        <v>1</v>
      </c>
      <c r="AN105" s="87"/>
      <c r="AO105" s="87"/>
      <c r="AP105" s="87"/>
      <c r="AQ105" s="87"/>
      <c r="AR105" s="87"/>
      <c r="AS105" s="87"/>
      <c r="AT105" s="87"/>
      <c r="AU105" s="87"/>
      <c r="AV105" s="87">
        <v>1</v>
      </c>
      <c r="AW105" s="87"/>
    </row>
    <row r="106" spans="1:49" x14ac:dyDescent="0.3">
      <c r="A106" s="31"/>
      <c r="B106" s="29"/>
      <c r="C106" s="26">
        <v>7403371</v>
      </c>
      <c r="D106" s="26" t="s">
        <v>494</v>
      </c>
      <c r="E106" s="113" t="s">
        <v>495</v>
      </c>
      <c r="F106" s="87">
        <v>1</v>
      </c>
      <c r="G106" s="87"/>
      <c r="H106" s="87"/>
      <c r="I106" s="87"/>
      <c r="J106" s="87"/>
      <c r="K106" s="87"/>
      <c r="L106" s="87">
        <v>1</v>
      </c>
      <c r="M106" s="87">
        <v>1</v>
      </c>
      <c r="N106" s="87"/>
      <c r="O106" s="87"/>
      <c r="P106" s="87"/>
      <c r="Q106" s="87">
        <v>1</v>
      </c>
      <c r="R106" s="87">
        <v>1</v>
      </c>
      <c r="S106" s="87">
        <v>1</v>
      </c>
      <c r="T106" s="87"/>
      <c r="U106" s="87"/>
      <c r="V106" s="87"/>
      <c r="W106" s="87"/>
      <c r="X106" s="87"/>
      <c r="Y106" s="87"/>
      <c r="Z106" s="88"/>
      <c r="AA106" s="88"/>
      <c r="AB106" s="87"/>
      <c r="AC106" s="87"/>
      <c r="AD106" s="87"/>
      <c r="AE106" s="87"/>
      <c r="AF106" s="87"/>
      <c r="AG106" s="87"/>
      <c r="AH106" s="87"/>
      <c r="AI106" s="87"/>
      <c r="AJ106" s="87"/>
      <c r="AK106" s="87"/>
      <c r="AL106" s="87"/>
      <c r="AM106" s="87"/>
      <c r="AN106" s="87"/>
      <c r="AO106" s="87"/>
      <c r="AP106" s="87"/>
      <c r="AQ106" s="87"/>
      <c r="AR106" s="87"/>
      <c r="AS106" s="87"/>
      <c r="AT106" s="87"/>
      <c r="AU106" s="87"/>
      <c r="AV106" s="87"/>
      <c r="AW106" s="87"/>
    </row>
    <row r="107" spans="1:49" x14ac:dyDescent="0.3">
      <c r="A107" s="115">
        <v>65</v>
      </c>
      <c r="B107" s="28" t="s">
        <v>49</v>
      </c>
      <c r="C107" s="87">
        <v>7094186</v>
      </c>
      <c r="D107" s="87" t="s">
        <v>173</v>
      </c>
      <c r="E107" s="87" t="s">
        <v>174</v>
      </c>
      <c r="F107" s="87">
        <v>1</v>
      </c>
      <c r="G107" s="87"/>
      <c r="H107" s="87"/>
      <c r="I107" s="87">
        <v>1</v>
      </c>
      <c r="J107" s="87">
        <v>1</v>
      </c>
      <c r="K107" s="87">
        <v>1</v>
      </c>
      <c r="L107" s="87">
        <v>1</v>
      </c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8">
        <v>1</v>
      </c>
      <c r="AA107" s="88">
        <v>1</v>
      </c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>
        <v>1</v>
      </c>
      <c r="AN107" s="87"/>
      <c r="AO107" s="87"/>
      <c r="AP107" s="87"/>
      <c r="AQ107" s="87"/>
      <c r="AR107" s="87"/>
      <c r="AS107" s="87"/>
      <c r="AT107" s="87"/>
      <c r="AU107" s="87"/>
      <c r="AV107" s="87">
        <v>1</v>
      </c>
      <c r="AW107" s="87"/>
    </row>
    <row r="108" spans="1:49" x14ac:dyDescent="0.3">
      <c r="A108" s="31">
        <v>35</v>
      </c>
      <c r="B108" s="32" t="s">
        <v>42</v>
      </c>
      <c r="C108" s="26">
        <v>7073267</v>
      </c>
      <c r="D108" s="26" t="s">
        <v>116</v>
      </c>
      <c r="E108" s="27" t="s">
        <v>117</v>
      </c>
      <c r="F108" s="87"/>
      <c r="G108" s="87"/>
      <c r="H108" s="87"/>
      <c r="I108" s="87"/>
      <c r="J108" s="87"/>
      <c r="K108" s="87">
        <v>1</v>
      </c>
      <c r="L108" s="87">
        <v>1</v>
      </c>
      <c r="M108" s="87"/>
      <c r="N108" s="87"/>
      <c r="O108" s="87"/>
      <c r="P108" s="87"/>
      <c r="Q108" s="87"/>
      <c r="R108" s="87"/>
      <c r="S108" s="87">
        <v>1</v>
      </c>
      <c r="T108" s="87">
        <v>1</v>
      </c>
      <c r="U108" s="87"/>
      <c r="V108" s="87"/>
      <c r="W108" s="87"/>
      <c r="X108" s="87"/>
      <c r="Y108" s="87"/>
      <c r="Z108" s="88">
        <v>1</v>
      </c>
      <c r="AA108" s="88">
        <v>1</v>
      </c>
      <c r="AB108" s="98"/>
      <c r="AC108" s="87"/>
      <c r="AD108" s="87"/>
      <c r="AE108" s="87"/>
      <c r="AF108" s="87"/>
      <c r="AG108" s="87"/>
      <c r="AH108" s="87"/>
      <c r="AI108" s="87"/>
      <c r="AJ108" s="87"/>
      <c r="AK108" s="87"/>
      <c r="AL108" s="87"/>
      <c r="AM108" s="87"/>
      <c r="AN108" s="87"/>
      <c r="AO108" s="87"/>
      <c r="AP108" s="87"/>
      <c r="AQ108" s="87"/>
      <c r="AR108" s="87"/>
      <c r="AS108" s="87"/>
      <c r="AT108" s="87"/>
      <c r="AU108" s="87"/>
      <c r="AV108" s="87">
        <v>1</v>
      </c>
      <c r="AW108" s="87"/>
    </row>
    <row r="109" spans="1:49" x14ac:dyDescent="0.3">
      <c r="A109" s="31">
        <v>59</v>
      </c>
      <c r="B109" s="28" t="s">
        <v>42</v>
      </c>
      <c r="C109" s="26">
        <v>7094192</v>
      </c>
      <c r="D109" s="26" t="s">
        <v>175</v>
      </c>
      <c r="E109" s="26" t="s">
        <v>176</v>
      </c>
      <c r="F109" s="87">
        <v>1</v>
      </c>
      <c r="G109" s="87"/>
      <c r="H109" s="87"/>
      <c r="I109" s="87"/>
      <c r="J109" s="87"/>
      <c r="K109" s="87"/>
      <c r="L109" s="87">
        <v>1</v>
      </c>
      <c r="M109" s="87">
        <v>1</v>
      </c>
      <c r="N109" s="87">
        <v>1</v>
      </c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8">
        <v>1</v>
      </c>
      <c r="AA109" s="88">
        <v>1</v>
      </c>
      <c r="AB109" s="87"/>
      <c r="AC109" s="87"/>
      <c r="AD109" s="87"/>
      <c r="AE109" s="87"/>
      <c r="AF109" s="87">
        <v>1</v>
      </c>
      <c r="AG109" s="87"/>
      <c r="AH109" s="87"/>
      <c r="AI109" s="87">
        <v>1</v>
      </c>
      <c r="AJ109" s="87">
        <v>1</v>
      </c>
      <c r="AK109" s="87"/>
      <c r="AL109" s="87"/>
      <c r="AM109" s="87"/>
      <c r="AN109" s="87"/>
      <c r="AO109" s="87"/>
      <c r="AP109" s="87"/>
      <c r="AQ109" s="87"/>
      <c r="AR109" s="87"/>
      <c r="AS109" s="87"/>
      <c r="AT109" s="87"/>
      <c r="AU109" s="87"/>
      <c r="AV109" s="87">
        <v>1</v>
      </c>
      <c r="AW109" s="87"/>
    </row>
    <row r="110" spans="1:49" x14ac:dyDescent="0.3">
      <c r="A110" s="31">
        <v>32</v>
      </c>
      <c r="B110" s="32" t="s">
        <v>42</v>
      </c>
      <c r="C110" s="33">
        <v>7090966</v>
      </c>
      <c r="D110" s="34" t="s">
        <v>119</v>
      </c>
      <c r="E110" s="34" t="s">
        <v>78</v>
      </c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8"/>
      <c r="AA110" s="88"/>
      <c r="AB110" s="87">
        <v>1</v>
      </c>
      <c r="AC110" s="87"/>
      <c r="AD110" s="87"/>
      <c r="AE110" s="87"/>
      <c r="AF110" s="87">
        <v>1</v>
      </c>
      <c r="AG110" s="87">
        <v>1</v>
      </c>
      <c r="AH110" s="87"/>
      <c r="AI110" s="87">
        <v>1</v>
      </c>
      <c r="AJ110" s="87">
        <v>1</v>
      </c>
      <c r="AK110" s="87">
        <v>1</v>
      </c>
      <c r="AL110" s="87"/>
      <c r="AM110" s="87"/>
      <c r="AN110" s="87"/>
      <c r="AO110" s="87"/>
      <c r="AP110" s="87"/>
      <c r="AQ110" s="87"/>
      <c r="AR110" s="87"/>
      <c r="AS110" s="87"/>
      <c r="AT110" s="87"/>
      <c r="AU110" s="87"/>
      <c r="AV110" s="87"/>
      <c r="AW110" s="87"/>
    </row>
    <row r="111" spans="1:49" x14ac:dyDescent="0.3">
      <c r="A111" s="31">
        <v>81</v>
      </c>
      <c r="B111" s="32" t="s">
        <v>43</v>
      </c>
      <c r="C111" s="26">
        <v>7094180</v>
      </c>
      <c r="D111" s="26" t="s">
        <v>363</v>
      </c>
      <c r="E111" s="27" t="s">
        <v>352</v>
      </c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8">
        <v>1</v>
      </c>
      <c r="AA111" s="88">
        <v>1</v>
      </c>
      <c r="AB111" s="87"/>
      <c r="AC111" s="87"/>
      <c r="AD111" s="87"/>
      <c r="AE111" s="87"/>
      <c r="AF111" s="87"/>
      <c r="AG111" s="87"/>
      <c r="AH111" s="87"/>
      <c r="AI111" s="87"/>
      <c r="AJ111" s="87"/>
      <c r="AK111" s="87"/>
      <c r="AL111" s="87"/>
      <c r="AM111" s="87"/>
      <c r="AN111" s="87"/>
      <c r="AO111" s="87"/>
      <c r="AP111" s="87"/>
      <c r="AQ111" s="87"/>
      <c r="AR111" s="87"/>
      <c r="AS111" s="87">
        <v>1</v>
      </c>
      <c r="AT111" s="87">
        <v>1</v>
      </c>
      <c r="AU111" s="87">
        <v>1</v>
      </c>
      <c r="AV111" s="87">
        <v>1</v>
      </c>
      <c r="AW111" s="87"/>
    </row>
    <row r="112" spans="1:49" x14ac:dyDescent="0.3">
      <c r="A112" s="31">
        <v>67</v>
      </c>
      <c r="B112" s="102" t="s">
        <v>42</v>
      </c>
      <c r="C112" s="26">
        <v>7093549</v>
      </c>
      <c r="D112" s="26" t="s">
        <v>185</v>
      </c>
      <c r="E112" s="27" t="s">
        <v>186</v>
      </c>
      <c r="F112" s="87">
        <v>1</v>
      </c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8">
        <v>1</v>
      </c>
      <c r="AA112" s="88">
        <v>1</v>
      </c>
      <c r="AB112" s="98"/>
      <c r="AC112" s="87"/>
      <c r="AD112" s="87"/>
      <c r="AE112" s="87"/>
      <c r="AF112" s="87">
        <v>1</v>
      </c>
      <c r="AG112" s="87"/>
      <c r="AH112" s="87">
        <v>1</v>
      </c>
      <c r="AI112" s="87">
        <v>1</v>
      </c>
      <c r="AJ112" s="87">
        <v>1</v>
      </c>
      <c r="AK112" s="87"/>
      <c r="AL112" s="87"/>
      <c r="AM112" s="87">
        <v>1</v>
      </c>
      <c r="AN112" s="87"/>
      <c r="AO112" s="87"/>
      <c r="AP112" s="87"/>
      <c r="AQ112" s="87"/>
      <c r="AR112" s="87"/>
      <c r="AS112" s="87"/>
      <c r="AT112" s="87"/>
      <c r="AU112" s="87"/>
      <c r="AV112" s="87"/>
      <c r="AW112" s="87"/>
    </row>
    <row r="113" spans="1:49" x14ac:dyDescent="0.3">
      <c r="A113" s="31">
        <v>51</v>
      </c>
      <c r="B113" s="32" t="s">
        <v>42</v>
      </c>
      <c r="C113" s="26">
        <v>7094191</v>
      </c>
      <c r="D113" s="26" t="s">
        <v>120</v>
      </c>
      <c r="E113" s="27" t="s">
        <v>121</v>
      </c>
      <c r="F113" s="87"/>
      <c r="G113" s="87"/>
      <c r="H113" s="87"/>
      <c r="I113" s="87">
        <v>1</v>
      </c>
      <c r="J113" s="87">
        <v>1</v>
      </c>
      <c r="K113" s="87">
        <v>1</v>
      </c>
      <c r="L113" s="87">
        <v>1</v>
      </c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8">
        <v>1</v>
      </c>
      <c r="AA113" s="109">
        <v>1</v>
      </c>
      <c r="AB113" s="98"/>
      <c r="AC113" s="98"/>
      <c r="AD113" s="98"/>
      <c r="AE113" s="87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87"/>
      <c r="AW113" s="87"/>
    </row>
    <row r="114" spans="1:49" x14ac:dyDescent="0.3">
      <c r="A114" s="31">
        <v>102</v>
      </c>
      <c r="B114" s="110"/>
      <c r="C114" s="117">
        <v>7401045</v>
      </c>
      <c r="D114" s="26" t="s">
        <v>379</v>
      </c>
      <c r="E114" s="27" t="s">
        <v>380</v>
      </c>
      <c r="F114" s="87">
        <v>1</v>
      </c>
      <c r="G114" s="87"/>
      <c r="H114" s="87"/>
      <c r="I114" s="87"/>
      <c r="J114" s="87"/>
      <c r="K114" s="87"/>
      <c r="L114" s="87">
        <v>1</v>
      </c>
      <c r="M114" s="87">
        <v>1</v>
      </c>
      <c r="N114" s="87">
        <v>1</v>
      </c>
      <c r="O114" s="87">
        <v>1</v>
      </c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8">
        <v>1</v>
      </c>
      <c r="AA114" s="109">
        <v>1</v>
      </c>
      <c r="AB114" s="98"/>
      <c r="AC114" s="98"/>
      <c r="AD114" s="98"/>
      <c r="AE114" s="87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87">
        <v>1</v>
      </c>
      <c r="AW114" s="87"/>
    </row>
    <row r="115" spans="1:49" x14ac:dyDescent="0.3">
      <c r="A115" s="115">
        <v>122</v>
      </c>
      <c r="B115" s="28" t="s">
        <v>198</v>
      </c>
      <c r="C115" s="26">
        <v>7402022</v>
      </c>
      <c r="D115" s="26" t="s">
        <v>419</v>
      </c>
      <c r="E115" s="27" t="s">
        <v>420</v>
      </c>
      <c r="F115" s="87">
        <v>1</v>
      </c>
      <c r="G115" s="87"/>
      <c r="H115" s="87"/>
      <c r="I115" s="87"/>
      <c r="J115" s="87"/>
      <c r="K115" s="87"/>
      <c r="L115" s="87"/>
      <c r="M115" s="87"/>
      <c r="N115" s="87"/>
      <c r="O115" s="87"/>
      <c r="P115" s="87">
        <v>1</v>
      </c>
      <c r="Q115" s="87"/>
      <c r="R115" s="87"/>
      <c r="S115" s="87"/>
      <c r="T115" s="87"/>
      <c r="U115" s="87"/>
      <c r="V115" s="87"/>
      <c r="W115" s="87"/>
      <c r="X115" s="87"/>
      <c r="Y115" s="87"/>
      <c r="Z115" s="88">
        <v>1</v>
      </c>
      <c r="AA115" s="88">
        <v>1</v>
      </c>
      <c r="AB115" s="87"/>
      <c r="AC115" s="87"/>
      <c r="AD115" s="87"/>
      <c r="AE115" s="87"/>
      <c r="AF115" s="87"/>
      <c r="AG115" s="87"/>
      <c r="AH115" s="87"/>
      <c r="AI115" s="87"/>
      <c r="AJ115" s="87"/>
      <c r="AK115" s="87"/>
      <c r="AL115" s="87"/>
      <c r="AM115" s="87"/>
      <c r="AN115" s="87"/>
      <c r="AO115" s="87"/>
      <c r="AP115" s="87"/>
      <c r="AQ115" s="87"/>
      <c r="AR115" s="87"/>
      <c r="AS115" s="87"/>
      <c r="AT115" s="87"/>
      <c r="AU115" s="87"/>
      <c r="AV115" s="87">
        <v>1</v>
      </c>
      <c r="AW115" s="87"/>
    </row>
    <row r="116" spans="1:49" x14ac:dyDescent="0.3">
      <c r="A116" s="31">
        <v>125</v>
      </c>
      <c r="B116" s="29" t="s">
        <v>198</v>
      </c>
      <c r="C116" s="33">
        <v>7402849</v>
      </c>
      <c r="D116" s="34" t="s">
        <v>432</v>
      </c>
      <c r="E116" s="35" t="s">
        <v>433</v>
      </c>
      <c r="F116" s="87">
        <v>1</v>
      </c>
      <c r="G116" s="87"/>
      <c r="H116" s="87">
        <v>1</v>
      </c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8"/>
      <c r="AA116" s="88"/>
      <c r="AB116" s="87"/>
      <c r="AC116" s="87"/>
      <c r="AD116" s="87"/>
      <c r="AE116" s="87"/>
      <c r="AF116" s="87"/>
      <c r="AG116" s="87"/>
      <c r="AH116" s="87"/>
      <c r="AI116" s="87">
        <v>1</v>
      </c>
      <c r="AJ116" s="87">
        <v>1</v>
      </c>
      <c r="AK116" s="87"/>
      <c r="AL116" s="87"/>
      <c r="AM116" s="87"/>
      <c r="AN116" s="87"/>
      <c r="AO116" s="87"/>
      <c r="AP116" s="87"/>
      <c r="AQ116" s="87"/>
      <c r="AR116" s="87"/>
      <c r="AS116" s="87"/>
      <c r="AT116" s="87"/>
      <c r="AU116" s="87"/>
      <c r="AV116" s="87"/>
      <c r="AW116" s="87"/>
    </row>
    <row r="117" spans="1:49" x14ac:dyDescent="0.3">
      <c r="A117" s="31">
        <v>20</v>
      </c>
      <c r="B117" s="102" t="s">
        <v>122</v>
      </c>
      <c r="C117" s="26">
        <v>7055856</v>
      </c>
      <c r="D117" s="26" t="s">
        <v>123</v>
      </c>
      <c r="E117" s="27" t="s">
        <v>124</v>
      </c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8"/>
      <c r="AA117" s="88"/>
      <c r="AB117" s="87"/>
      <c r="AC117" s="87"/>
      <c r="AD117" s="87"/>
      <c r="AE117" s="87"/>
      <c r="AF117" s="87"/>
      <c r="AG117" s="87"/>
      <c r="AH117" s="87"/>
      <c r="AI117" s="87"/>
      <c r="AJ117" s="87"/>
      <c r="AK117" s="87"/>
      <c r="AL117" s="87"/>
      <c r="AM117" s="87"/>
      <c r="AN117" s="87"/>
      <c r="AO117" s="87"/>
      <c r="AP117" s="87"/>
      <c r="AQ117" s="87"/>
      <c r="AR117" s="87"/>
      <c r="AS117" s="87"/>
      <c r="AT117" s="87"/>
      <c r="AU117" s="87"/>
      <c r="AV117" s="87"/>
      <c r="AW117" s="87"/>
    </row>
    <row r="118" spans="1:49" x14ac:dyDescent="0.3">
      <c r="A118" s="31"/>
      <c r="B118" s="29"/>
      <c r="C118" s="26">
        <v>7104205</v>
      </c>
      <c r="D118" s="26" t="s">
        <v>500</v>
      </c>
      <c r="E118" s="113" t="s">
        <v>501</v>
      </c>
      <c r="F118" s="87">
        <v>1</v>
      </c>
      <c r="G118" s="87"/>
      <c r="H118" s="87">
        <v>1</v>
      </c>
      <c r="I118" s="87"/>
      <c r="J118" s="87"/>
      <c r="K118" s="87"/>
      <c r="L118" s="87">
        <v>1</v>
      </c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8"/>
      <c r="AA118" s="88"/>
      <c r="AB118" s="87"/>
      <c r="AC118" s="87"/>
      <c r="AD118" s="87"/>
      <c r="AE118" s="87"/>
      <c r="AF118" s="87"/>
      <c r="AG118" s="87"/>
      <c r="AH118" s="87"/>
      <c r="AI118" s="87">
        <v>1</v>
      </c>
      <c r="AJ118" s="87">
        <v>1</v>
      </c>
      <c r="AK118" s="87"/>
      <c r="AL118" s="87"/>
      <c r="AM118" s="87"/>
      <c r="AN118" s="87"/>
      <c r="AO118" s="87"/>
      <c r="AP118" s="87"/>
      <c r="AQ118" s="87"/>
      <c r="AR118" s="87"/>
      <c r="AS118" s="87"/>
      <c r="AT118" s="87"/>
      <c r="AU118" s="87"/>
      <c r="AV118" s="87"/>
      <c r="AW118" s="87"/>
    </row>
    <row r="119" spans="1:49" x14ac:dyDescent="0.3">
      <c r="A119" s="31">
        <v>93</v>
      </c>
      <c r="B119" s="28" t="s">
        <v>42</v>
      </c>
      <c r="C119" s="37">
        <v>7400367</v>
      </c>
      <c r="D119" s="34" t="s">
        <v>361</v>
      </c>
      <c r="E119" s="34" t="s">
        <v>369</v>
      </c>
      <c r="F119" s="87">
        <v>1</v>
      </c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>
        <v>1</v>
      </c>
      <c r="U119" s="87"/>
      <c r="V119" s="87"/>
      <c r="W119" s="87"/>
      <c r="X119" s="87"/>
      <c r="Y119" s="87"/>
      <c r="Z119" s="88">
        <v>1</v>
      </c>
      <c r="AA119" s="88">
        <v>1</v>
      </c>
      <c r="AB119" s="87"/>
      <c r="AC119" s="87"/>
      <c r="AD119" s="87"/>
      <c r="AE119" s="87"/>
      <c r="AF119" s="87">
        <v>1</v>
      </c>
      <c r="AG119" s="87"/>
      <c r="AH119" s="87">
        <v>1</v>
      </c>
      <c r="AI119" s="87">
        <v>1</v>
      </c>
      <c r="AJ119" s="87">
        <v>1</v>
      </c>
      <c r="AK119" s="87"/>
      <c r="AL119" s="87"/>
      <c r="AM119" s="87"/>
      <c r="AN119" s="87"/>
      <c r="AO119" s="87"/>
      <c r="AP119" s="87"/>
      <c r="AQ119" s="87"/>
      <c r="AR119" s="87"/>
      <c r="AS119" s="87"/>
      <c r="AT119" s="87"/>
      <c r="AU119" s="87"/>
      <c r="AV119" s="87">
        <v>1</v>
      </c>
      <c r="AW119" s="87"/>
    </row>
    <row r="120" spans="1:49" x14ac:dyDescent="0.3">
      <c r="A120" s="31">
        <v>88</v>
      </c>
      <c r="B120" s="29" t="s">
        <v>341</v>
      </c>
      <c r="C120" s="26">
        <v>7098033</v>
      </c>
      <c r="D120" s="26" t="s">
        <v>370</v>
      </c>
      <c r="E120" s="27" t="s">
        <v>371</v>
      </c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8"/>
      <c r="AA120" s="88"/>
      <c r="AB120" s="87"/>
      <c r="AC120" s="87"/>
      <c r="AD120" s="87"/>
      <c r="AE120" s="87"/>
      <c r="AF120" s="87"/>
      <c r="AG120" s="87"/>
      <c r="AH120" s="87"/>
      <c r="AI120" s="87"/>
      <c r="AJ120" s="87"/>
      <c r="AK120" s="87"/>
      <c r="AL120" s="87"/>
      <c r="AM120" s="87"/>
      <c r="AN120" s="87"/>
      <c r="AO120" s="87"/>
      <c r="AP120" s="87"/>
      <c r="AQ120" s="87"/>
      <c r="AR120" s="87"/>
      <c r="AS120" s="87"/>
      <c r="AT120" s="87"/>
      <c r="AU120" s="87"/>
      <c r="AV120" s="87"/>
      <c r="AW120" s="87"/>
    </row>
    <row r="121" spans="1:49" x14ac:dyDescent="0.3">
      <c r="A121" s="31">
        <v>52</v>
      </c>
      <c r="B121" s="28" t="s">
        <v>42</v>
      </c>
      <c r="C121" s="26">
        <v>7077473</v>
      </c>
      <c r="D121" s="26" t="s">
        <v>125</v>
      </c>
      <c r="E121" s="113" t="s">
        <v>55</v>
      </c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8"/>
      <c r="AA121" s="88"/>
      <c r="AB121" s="87"/>
      <c r="AC121" s="87"/>
      <c r="AD121" s="87"/>
      <c r="AE121" s="87"/>
      <c r="AF121" s="87"/>
      <c r="AG121" s="87"/>
      <c r="AH121" s="87"/>
      <c r="AI121" s="87"/>
      <c r="AJ121" s="87"/>
      <c r="AK121" s="87"/>
      <c r="AL121" s="87"/>
      <c r="AM121" s="87"/>
      <c r="AN121" s="87"/>
      <c r="AO121" s="87"/>
      <c r="AP121" s="87"/>
      <c r="AQ121" s="87"/>
      <c r="AR121" s="87"/>
      <c r="AS121" s="87"/>
      <c r="AT121" s="87"/>
      <c r="AU121" s="87"/>
      <c r="AV121" s="87"/>
      <c r="AW121" s="87"/>
    </row>
    <row r="122" spans="1:49" x14ac:dyDescent="0.3">
      <c r="A122" s="31"/>
      <c r="B122" s="29"/>
      <c r="C122" s="26">
        <v>7402698</v>
      </c>
      <c r="D122" s="26" t="s">
        <v>490</v>
      </c>
      <c r="E122" s="113" t="s">
        <v>491</v>
      </c>
      <c r="F122" s="87">
        <v>1</v>
      </c>
      <c r="G122" s="87"/>
      <c r="H122" s="87"/>
      <c r="I122" s="87"/>
      <c r="J122" s="87"/>
      <c r="K122" s="87"/>
      <c r="L122" s="87">
        <v>1</v>
      </c>
      <c r="M122" s="87">
        <v>1</v>
      </c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8"/>
      <c r="AA122" s="88"/>
      <c r="AB122" s="87"/>
      <c r="AC122" s="87"/>
      <c r="AD122" s="87"/>
      <c r="AE122" s="87"/>
      <c r="AF122" s="87"/>
      <c r="AG122" s="87"/>
      <c r="AH122" s="87"/>
      <c r="AI122" s="87"/>
      <c r="AJ122" s="87"/>
      <c r="AK122" s="87"/>
      <c r="AL122" s="87"/>
      <c r="AM122" s="87"/>
      <c r="AN122" s="87"/>
      <c r="AO122" s="87"/>
      <c r="AP122" s="87"/>
      <c r="AQ122" s="87"/>
      <c r="AR122" s="87"/>
      <c r="AS122" s="87"/>
      <c r="AT122" s="87"/>
      <c r="AU122" s="87"/>
      <c r="AV122" s="87">
        <v>1</v>
      </c>
      <c r="AW122" s="87"/>
    </row>
    <row r="123" spans="1:49" x14ac:dyDescent="0.3">
      <c r="A123" s="31">
        <v>18</v>
      </c>
      <c r="B123" s="32" t="s">
        <v>42</v>
      </c>
      <c r="C123" s="26">
        <v>7051890</v>
      </c>
      <c r="D123" s="26" t="s">
        <v>126</v>
      </c>
      <c r="E123" s="27" t="s">
        <v>127</v>
      </c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8">
        <v>1</v>
      </c>
      <c r="AA123" s="88">
        <v>1</v>
      </c>
      <c r="AB123" s="87">
        <v>1</v>
      </c>
      <c r="AC123" s="87"/>
      <c r="AD123" s="87"/>
      <c r="AE123" s="87"/>
      <c r="AF123" s="87">
        <v>1</v>
      </c>
      <c r="AG123" s="87"/>
      <c r="AH123" s="87"/>
      <c r="AI123" s="87">
        <v>1</v>
      </c>
      <c r="AJ123" s="87">
        <v>1</v>
      </c>
      <c r="AK123" s="87">
        <v>1</v>
      </c>
      <c r="AL123" s="87"/>
      <c r="AM123" s="87"/>
      <c r="AN123" s="87"/>
      <c r="AO123" s="87"/>
      <c r="AP123" s="87"/>
      <c r="AQ123" s="87"/>
      <c r="AR123" s="87"/>
      <c r="AS123" s="87"/>
      <c r="AT123" s="87"/>
      <c r="AU123" s="87"/>
      <c r="AV123" s="87"/>
      <c r="AW123" s="87"/>
    </row>
    <row r="124" spans="1:49" x14ac:dyDescent="0.3">
      <c r="A124" s="31">
        <v>135</v>
      </c>
      <c r="B124" s="28" t="s">
        <v>198</v>
      </c>
      <c r="C124" s="40">
        <v>7403357</v>
      </c>
      <c r="D124" s="40" t="s">
        <v>434</v>
      </c>
      <c r="E124" s="40" t="s">
        <v>435</v>
      </c>
      <c r="F124" s="87">
        <v>1</v>
      </c>
      <c r="G124" s="87"/>
      <c r="H124" s="87"/>
      <c r="I124" s="87">
        <v>1</v>
      </c>
      <c r="J124" s="87">
        <v>1</v>
      </c>
      <c r="K124" s="87">
        <v>1</v>
      </c>
      <c r="L124" s="87">
        <v>1</v>
      </c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8"/>
      <c r="AA124" s="88"/>
      <c r="AB124" s="87"/>
      <c r="AC124" s="87"/>
      <c r="AD124" s="87"/>
      <c r="AE124" s="87"/>
      <c r="AF124" s="87"/>
      <c r="AG124" s="87"/>
      <c r="AH124" s="87"/>
      <c r="AI124" s="87"/>
      <c r="AJ124" s="87"/>
      <c r="AK124" s="87"/>
      <c r="AL124" s="87"/>
      <c r="AM124" s="87"/>
      <c r="AN124" s="87"/>
      <c r="AO124" s="87"/>
      <c r="AP124" s="87"/>
      <c r="AQ124" s="87"/>
      <c r="AR124" s="87"/>
      <c r="AS124" s="87"/>
      <c r="AT124" s="87">
        <v>1</v>
      </c>
      <c r="AU124" s="87">
        <v>1</v>
      </c>
      <c r="AV124" s="87"/>
      <c r="AW124" s="87"/>
    </row>
    <row r="125" spans="1:49" x14ac:dyDescent="0.3">
      <c r="A125" s="31">
        <v>72</v>
      </c>
      <c r="B125" s="28" t="s">
        <v>49</v>
      </c>
      <c r="C125" s="26">
        <v>7094183</v>
      </c>
      <c r="D125" s="26" t="s">
        <v>187</v>
      </c>
      <c r="E125" s="27" t="s">
        <v>118</v>
      </c>
      <c r="F125" s="87">
        <v>1</v>
      </c>
      <c r="G125" s="87"/>
      <c r="H125" s="87"/>
      <c r="I125" s="87"/>
      <c r="J125" s="87"/>
      <c r="K125" s="87"/>
      <c r="L125" s="87">
        <v>1</v>
      </c>
      <c r="M125" s="87"/>
      <c r="N125" s="87"/>
      <c r="O125" s="87"/>
      <c r="P125" s="87"/>
      <c r="Q125" s="87"/>
      <c r="R125" s="87"/>
      <c r="S125" s="87"/>
      <c r="T125" s="87">
        <v>1</v>
      </c>
      <c r="U125" s="87"/>
      <c r="V125" s="87"/>
      <c r="W125" s="87"/>
      <c r="X125" s="87"/>
      <c r="Y125" s="87">
        <v>1</v>
      </c>
      <c r="Z125" s="88">
        <v>1</v>
      </c>
      <c r="AA125" s="88">
        <v>1</v>
      </c>
      <c r="AB125" s="87"/>
      <c r="AC125" s="87"/>
      <c r="AD125" s="87"/>
      <c r="AE125" s="87"/>
      <c r="AF125" s="87"/>
      <c r="AG125" s="87">
        <v>1</v>
      </c>
      <c r="AH125" s="87"/>
      <c r="AI125" s="87">
        <v>1</v>
      </c>
      <c r="AJ125" s="87">
        <v>1</v>
      </c>
      <c r="AK125" s="87"/>
      <c r="AL125" s="87"/>
      <c r="AM125" s="87"/>
      <c r="AN125" s="87"/>
      <c r="AO125" s="87"/>
      <c r="AP125" s="87"/>
      <c r="AQ125" s="87"/>
      <c r="AR125" s="87"/>
      <c r="AS125" s="87"/>
      <c r="AT125" s="87"/>
      <c r="AU125" s="87"/>
      <c r="AV125" s="87"/>
      <c r="AW125" s="87"/>
    </row>
    <row r="126" spans="1:49" x14ac:dyDescent="0.3">
      <c r="A126" s="31"/>
      <c r="B126" s="32"/>
      <c r="C126" s="26">
        <v>7095864</v>
      </c>
      <c r="D126" s="26" t="s">
        <v>454</v>
      </c>
      <c r="E126" s="26" t="s">
        <v>455</v>
      </c>
      <c r="F126" s="87">
        <v>1</v>
      </c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>
        <v>1</v>
      </c>
      <c r="X126" s="87"/>
      <c r="Y126" s="87"/>
      <c r="Z126" s="88"/>
      <c r="AA126" s="88">
        <v>1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  <c r="AL126" s="87"/>
      <c r="AM126" s="87"/>
      <c r="AN126" s="87"/>
      <c r="AO126" s="87"/>
      <c r="AP126" s="87"/>
      <c r="AQ126" s="87"/>
      <c r="AR126" s="87"/>
      <c r="AS126" s="87"/>
      <c r="AT126" s="87"/>
      <c r="AU126" s="87"/>
      <c r="AV126" s="87"/>
      <c r="AW126" s="87"/>
    </row>
    <row r="127" spans="1:49" x14ac:dyDescent="0.3">
      <c r="A127" s="116">
        <v>19</v>
      </c>
      <c r="B127" s="87" t="s">
        <v>49</v>
      </c>
      <c r="C127" s="87">
        <v>7045037</v>
      </c>
      <c r="D127" s="87" t="s">
        <v>128</v>
      </c>
      <c r="E127" s="87" t="s">
        <v>129</v>
      </c>
      <c r="F127" s="87">
        <v>1</v>
      </c>
      <c r="G127" s="87"/>
      <c r="H127" s="87"/>
      <c r="I127" s="87"/>
      <c r="J127" s="87"/>
      <c r="K127" s="87"/>
      <c r="L127" s="87">
        <v>1</v>
      </c>
      <c r="M127" s="87"/>
      <c r="N127" s="87"/>
      <c r="O127" s="87"/>
      <c r="P127" s="87"/>
      <c r="Q127" s="87"/>
      <c r="R127" s="87"/>
      <c r="S127" s="87">
        <v>1</v>
      </c>
      <c r="T127" s="87">
        <v>1</v>
      </c>
      <c r="U127" s="87"/>
      <c r="V127" s="87"/>
      <c r="W127" s="87"/>
      <c r="X127" s="87">
        <v>1</v>
      </c>
      <c r="Y127" s="87"/>
      <c r="Z127" s="88">
        <v>1</v>
      </c>
      <c r="AA127" s="88">
        <v>1</v>
      </c>
      <c r="AB127" s="87"/>
      <c r="AC127" s="87"/>
      <c r="AD127" s="87"/>
      <c r="AE127" s="87"/>
      <c r="AF127" s="87"/>
      <c r="AG127" s="87"/>
      <c r="AH127" s="87"/>
      <c r="AI127" s="87"/>
      <c r="AJ127" s="87"/>
      <c r="AK127" s="87"/>
      <c r="AL127" s="87"/>
      <c r="AM127" s="87"/>
      <c r="AN127" s="87"/>
      <c r="AO127" s="87"/>
      <c r="AP127" s="87"/>
      <c r="AQ127" s="87"/>
      <c r="AR127" s="87"/>
      <c r="AS127" s="87"/>
      <c r="AT127" s="87"/>
      <c r="AU127" s="87"/>
      <c r="AV127" s="87">
        <v>1</v>
      </c>
      <c r="AW127" s="87"/>
    </row>
    <row r="128" spans="1:49" x14ac:dyDescent="0.3">
      <c r="A128" s="39">
        <v>69</v>
      </c>
      <c r="B128" s="28" t="s">
        <v>49</v>
      </c>
      <c r="C128" s="26">
        <v>7095136</v>
      </c>
      <c r="D128" s="26" t="s">
        <v>188</v>
      </c>
      <c r="E128" s="113" t="s">
        <v>189</v>
      </c>
      <c r="F128" s="87"/>
      <c r="G128" s="87"/>
      <c r="H128" s="87"/>
      <c r="I128" s="87">
        <v>1</v>
      </c>
      <c r="J128" s="87">
        <v>1</v>
      </c>
      <c r="K128" s="87">
        <v>1</v>
      </c>
      <c r="L128" s="87">
        <v>1</v>
      </c>
      <c r="M128" s="87"/>
      <c r="N128" s="87"/>
      <c r="O128" s="87"/>
      <c r="P128" s="87">
        <v>1</v>
      </c>
      <c r="Q128" s="87"/>
      <c r="R128" s="87"/>
      <c r="S128" s="87"/>
      <c r="T128" s="87"/>
      <c r="U128" s="87"/>
      <c r="V128" s="87"/>
      <c r="W128" s="87"/>
      <c r="X128" s="87"/>
      <c r="Y128" s="87"/>
      <c r="Z128" s="88">
        <v>1</v>
      </c>
      <c r="AA128" s="88">
        <v>1</v>
      </c>
      <c r="AB128" s="98"/>
      <c r="AC128" s="87"/>
      <c r="AD128" s="87"/>
      <c r="AE128" s="87"/>
      <c r="AF128" s="87"/>
      <c r="AG128" s="87"/>
      <c r="AH128" s="87"/>
      <c r="AI128" s="87"/>
      <c r="AJ128" s="87"/>
      <c r="AK128" s="87"/>
      <c r="AL128" s="87"/>
      <c r="AM128" s="87"/>
      <c r="AN128" s="87"/>
      <c r="AO128" s="87"/>
      <c r="AP128" s="87"/>
      <c r="AQ128" s="87"/>
      <c r="AR128" s="87"/>
      <c r="AS128" s="87"/>
      <c r="AT128" s="87"/>
      <c r="AU128" s="87"/>
      <c r="AV128" s="87"/>
      <c r="AW128" s="87"/>
    </row>
    <row r="129" spans="1:49" x14ac:dyDescent="0.3">
      <c r="A129" s="31"/>
      <c r="B129" s="29"/>
      <c r="C129" s="26">
        <v>7403653</v>
      </c>
      <c r="D129" s="26" t="s">
        <v>496</v>
      </c>
      <c r="E129" s="113" t="s">
        <v>497</v>
      </c>
      <c r="F129" s="87">
        <v>1</v>
      </c>
      <c r="G129" s="87"/>
      <c r="H129" s="87">
        <v>1</v>
      </c>
      <c r="I129" s="87"/>
      <c r="J129" s="87"/>
      <c r="K129" s="87">
        <v>1</v>
      </c>
      <c r="L129" s="87"/>
      <c r="M129" s="87"/>
      <c r="N129" s="87"/>
      <c r="O129" s="87"/>
      <c r="P129" s="87"/>
      <c r="Q129" s="87"/>
      <c r="R129" s="87"/>
      <c r="S129" s="87"/>
      <c r="T129" s="87">
        <v>1</v>
      </c>
      <c r="U129" s="87"/>
      <c r="V129" s="87"/>
      <c r="W129" s="87"/>
      <c r="X129" s="87"/>
      <c r="Y129" s="87"/>
      <c r="Z129" s="88"/>
      <c r="AA129" s="88"/>
      <c r="AB129" s="87"/>
      <c r="AC129" s="87"/>
      <c r="AD129" s="87"/>
      <c r="AE129" s="87"/>
      <c r="AF129" s="87"/>
      <c r="AG129" s="87"/>
      <c r="AH129" s="87"/>
      <c r="AI129" s="87"/>
      <c r="AJ129" s="87"/>
      <c r="AK129" s="87"/>
      <c r="AL129" s="87"/>
      <c r="AM129" s="87"/>
      <c r="AN129" s="87"/>
      <c r="AO129" s="87"/>
      <c r="AP129" s="87"/>
      <c r="AQ129" s="87"/>
      <c r="AR129" s="87"/>
      <c r="AS129" s="87"/>
      <c r="AT129" s="87"/>
      <c r="AU129" s="87"/>
      <c r="AV129" s="87"/>
      <c r="AW129" s="87"/>
    </row>
    <row r="130" spans="1:49" x14ac:dyDescent="0.3">
      <c r="A130" s="115">
        <v>120</v>
      </c>
      <c r="B130" s="28" t="s">
        <v>198</v>
      </c>
      <c r="C130" s="26">
        <v>7402480</v>
      </c>
      <c r="D130" s="26" t="s">
        <v>417</v>
      </c>
      <c r="E130" s="113" t="s">
        <v>418</v>
      </c>
      <c r="F130" s="87">
        <v>1</v>
      </c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8">
        <v>1</v>
      </c>
      <c r="AA130" s="88">
        <v>1</v>
      </c>
      <c r="AB130" s="87"/>
      <c r="AC130" s="87"/>
      <c r="AD130" s="87"/>
      <c r="AE130" s="87"/>
      <c r="AF130" s="87"/>
      <c r="AG130" s="87"/>
      <c r="AH130" s="87"/>
      <c r="AI130" s="87"/>
      <c r="AJ130" s="87"/>
      <c r="AK130" s="87"/>
      <c r="AL130" s="87">
        <v>1</v>
      </c>
      <c r="AM130" s="87">
        <v>1</v>
      </c>
      <c r="AN130" s="87"/>
      <c r="AO130" s="87"/>
      <c r="AP130" s="87"/>
      <c r="AQ130" s="87"/>
      <c r="AR130" s="87"/>
      <c r="AS130" s="87"/>
      <c r="AT130" s="87"/>
      <c r="AU130" s="87"/>
      <c r="AV130" s="87">
        <v>1</v>
      </c>
      <c r="AW130" s="87"/>
    </row>
    <row r="131" spans="1:49" x14ac:dyDescent="0.3">
      <c r="A131" s="31">
        <v>45</v>
      </c>
      <c r="B131" s="104" t="s">
        <v>49</v>
      </c>
      <c r="C131" s="26">
        <v>7092904</v>
      </c>
      <c r="D131" s="26" t="s">
        <v>130</v>
      </c>
      <c r="E131" s="27" t="s">
        <v>131</v>
      </c>
      <c r="F131" s="87">
        <v>1</v>
      </c>
      <c r="G131" s="87"/>
      <c r="H131" s="87">
        <v>1</v>
      </c>
      <c r="I131" s="87"/>
      <c r="J131" s="87"/>
      <c r="K131" s="87"/>
      <c r="L131" s="87">
        <v>1</v>
      </c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>
        <v>1</v>
      </c>
      <c r="X131" s="87"/>
      <c r="Y131" s="87"/>
      <c r="Z131" s="88">
        <v>1</v>
      </c>
      <c r="AA131" s="88">
        <v>1</v>
      </c>
      <c r="AB131" s="87"/>
      <c r="AC131" s="87"/>
      <c r="AD131" s="87"/>
      <c r="AE131" s="87"/>
      <c r="AF131" s="87"/>
      <c r="AG131" s="87"/>
      <c r="AH131" s="87"/>
      <c r="AI131" s="87"/>
      <c r="AJ131" s="87"/>
      <c r="AK131" s="87"/>
      <c r="AL131" s="87"/>
      <c r="AM131" s="87"/>
      <c r="AN131" s="87"/>
      <c r="AO131" s="87"/>
      <c r="AP131" s="87"/>
      <c r="AQ131" s="87"/>
      <c r="AR131" s="87"/>
      <c r="AS131" s="87"/>
      <c r="AT131" s="87"/>
      <c r="AU131" s="87"/>
      <c r="AV131" s="87"/>
      <c r="AW131" s="87"/>
    </row>
    <row r="132" spans="1:49" x14ac:dyDescent="0.3">
      <c r="A132" s="31">
        <v>2</v>
      </c>
      <c r="B132" s="34" t="s">
        <v>46</v>
      </c>
      <c r="C132" s="26">
        <v>26804</v>
      </c>
      <c r="D132" s="26" t="s">
        <v>132</v>
      </c>
      <c r="E132" s="27" t="s">
        <v>133</v>
      </c>
      <c r="F132" s="87"/>
      <c r="G132" s="101"/>
      <c r="H132" s="101"/>
      <c r="I132" s="101"/>
      <c r="J132" s="101"/>
      <c r="K132" s="101"/>
      <c r="L132" s="101"/>
      <c r="M132" s="101"/>
      <c r="N132" s="101"/>
      <c r="O132" s="101"/>
      <c r="P132" s="101"/>
      <c r="Q132" s="101"/>
      <c r="R132" s="101"/>
      <c r="S132" s="101"/>
      <c r="T132" s="101"/>
      <c r="U132" s="101"/>
      <c r="V132" s="101"/>
      <c r="W132" s="101"/>
      <c r="X132" s="101"/>
      <c r="Y132" s="101"/>
      <c r="Z132" s="108"/>
      <c r="AA132" s="108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101"/>
      <c r="AQ132" s="101"/>
      <c r="AR132" s="101"/>
      <c r="AS132" s="101"/>
      <c r="AT132" s="101"/>
      <c r="AU132" s="101"/>
      <c r="AV132" s="101"/>
      <c r="AW132" s="101"/>
    </row>
    <row r="133" spans="1:49" x14ac:dyDescent="0.3">
      <c r="A133" s="115">
        <v>108</v>
      </c>
      <c r="B133" s="28" t="s">
        <v>198</v>
      </c>
      <c r="C133" s="26">
        <v>7401055</v>
      </c>
      <c r="D133" s="26" t="s">
        <v>409</v>
      </c>
      <c r="E133" s="34" t="s">
        <v>410</v>
      </c>
      <c r="F133" s="87">
        <v>1</v>
      </c>
      <c r="G133" s="87"/>
      <c r="H133" s="87"/>
      <c r="I133" s="87">
        <v>1</v>
      </c>
      <c r="J133" s="87">
        <v>1</v>
      </c>
      <c r="K133" s="87">
        <v>1</v>
      </c>
      <c r="L133" s="87">
        <v>1</v>
      </c>
      <c r="M133" s="87">
        <v>1</v>
      </c>
      <c r="N133" s="87">
        <v>1</v>
      </c>
      <c r="O133" s="87"/>
      <c r="P133" s="87"/>
      <c r="Q133" s="87"/>
      <c r="R133" s="87">
        <v>1</v>
      </c>
      <c r="S133" s="87"/>
      <c r="T133" s="87"/>
      <c r="U133" s="87"/>
      <c r="V133" s="87"/>
      <c r="W133" s="87"/>
      <c r="X133" s="87"/>
      <c r="Y133" s="87"/>
      <c r="Z133" s="88">
        <v>1</v>
      </c>
      <c r="AA133" s="88">
        <v>1</v>
      </c>
      <c r="AB133" s="87"/>
      <c r="AC133" s="87"/>
      <c r="AD133" s="87"/>
      <c r="AE133" s="87"/>
      <c r="AF133" s="87"/>
      <c r="AG133" s="87"/>
      <c r="AH133" s="87"/>
      <c r="AI133" s="87"/>
      <c r="AJ133" s="87"/>
      <c r="AK133" s="87"/>
      <c r="AL133" s="87"/>
      <c r="AM133" s="87"/>
      <c r="AN133" s="87"/>
      <c r="AO133" s="87"/>
      <c r="AP133" s="87"/>
      <c r="AQ133" s="87"/>
      <c r="AR133" s="87"/>
      <c r="AS133" s="87"/>
      <c r="AT133" s="87"/>
      <c r="AU133" s="87"/>
      <c r="AV133" s="87">
        <v>1</v>
      </c>
      <c r="AW133" s="87"/>
    </row>
    <row r="134" spans="1:49" x14ac:dyDescent="0.3">
      <c r="A134" s="115">
        <v>94</v>
      </c>
      <c r="B134" s="28" t="s">
        <v>49</v>
      </c>
      <c r="C134" s="87">
        <v>7400954</v>
      </c>
      <c r="D134" s="87" t="s">
        <v>367</v>
      </c>
      <c r="E134" s="87" t="s">
        <v>368</v>
      </c>
      <c r="F134" s="87">
        <v>1</v>
      </c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8">
        <v>1</v>
      </c>
      <c r="AA134" s="88">
        <v>1</v>
      </c>
      <c r="AB134" s="87"/>
      <c r="AC134" s="87"/>
      <c r="AD134" s="87"/>
      <c r="AE134" s="87"/>
      <c r="AF134" s="87">
        <v>1</v>
      </c>
      <c r="AG134" s="87"/>
      <c r="AH134" s="87"/>
      <c r="AI134" s="87">
        <v>1</v>
      </c>
      <c r="AJ134" s="87">
        <v>1</v>
      </c>
      <c r="AK134" s="87"/>
      <c r="AL134" s="87"/>
      <c r="AM134" s="87"/>
      <c r="AN134" s="87"/>
      <c r="AO134" s="87"/>
      <c r="AP134" s="87"/>
      <c r="AQ134" s="87"/>
      <c r="AR134" s="87"/>
      <c r="AS134" s="87"/>
      <c r="AT134" s="87"/>
      <c r="AU134" s="87"/>
      <c r="AV134" s="87"/>
      <c r="AW134" s="87"/>
    </row>
    <row r="135" spans="1:49" x14ac:dyDescent="0.3">
      <c r="A135" s="39"/>
      <c r="B135" s="28"/>
      <c r="C135" s="26">
        <v>7403383</v>
      </c>
      <c r="D135" s="26" t="s">
        <v>492</v>
      </c>
      <c r="E135" s="113" t="s">
        <v>493</v>
      </c>
      <c r="F135" s="87">
        <v>1</v>
      </c>
      <c r="G135" s="87"/>
      <c r="H135" s="87">
        <v>1</v>
      </c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>
        <v>1</v>
      </c>
      <c r="V135" s="87"/>
      <c r="W135" s="87"/>
      <c r="X135" s="87"/>
      <c r="Y135" s="87">
        <v>1</v>
      </c>
      <c r="Z135" s="88"/>
      <c r="AA135" s="88"/>
      <c r="AB135" s="98"/>
      <c r="AC135" s="87"/>
      <c r="AD135" s="87"/>
      <c r="AE135" s="87"/>
      <c r="AF135" s="87"/>
      <c r="AG135" s="87"/>
      <c r="AH135" s="87"/>
      <c r="AI135" s="87"/>
      <c r="AJ135" s="87"/>
      <c r="AK135" s="87"/>
      <c r="AL135" s="87"/>
      <c r="AM135" s="87"/>
      <c r="AN135" s="87"/>
      <c r="AO135" s="87"/>
      <c r="AP135" s="87"/>
      <c r="AQ135" s="87"/>
      <c r="AR135" s="87"/>
      <c r="AS135" s="87"/>
      <c r="AT135" s="87"/>
      <c r="AU135" s="87"/>
      <c r="AV135" s="87"/>
      <c r="AW135" s="87"/>
    </row>
    <row r="136" spans="1:49" x14ac:dyDescent="0.3">
      <c r="A136" s="115">
        <v>200</v>
      </c>
      <c r="B136" s="28" t="s">
        <v>43</v>
      </c>
      <c r="C136" s="26">
        <v>7026786</v>
      </c>
      <c r="D136" s="26" t="s">
        <v>135</v>
      </c>
      <c r="E136" s="27" t="s">
        <v>101</v>
      </c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8"/>
      <c r="AA136" s="88"/>
      <c r="AB136" s="87"/>
      <c r="AC136" s="87"/>
      <c r="AD136" s="87"/>
      <c r="AE136" s="87"/>
      <c r="AF136" s="87"/>
      <c r="AG136" s="87"/>
      <c r="AH136" s="87"/>
      <c r="AI136" s="87"/>
      <c r="AJ136" s="87"/>
      <c r="AK136" s="87"/>
      <c r="AL136" s="87"/>
      <c r="AM136" s="87"/>
      <c r="AN136" s="87"/>
      <c r="AO136" s="87"/>
      <c r="AP136" s="87"/>
      <c r="AQ136" s="87"/>
      <c r="AR136" s="87"/>
      <c r="AS136" s="87"/>
      <c r="AT136" s="87"/>
      <c r="AU136" s="87"/>
      <c r="AV136" s="87"/>
      <c r="AW136" s="87"/>
    </row>
    <row r="137" spans="1:49" x14ac:dyDescent="0.3">
      <c r="A137" s="31">
        <v>49</v>
      </c>
      <c r="B137" s="28" t="s">
        <v>49</v>
      </c>
      <c r="C137" s="26">
        <v>7093554</v>
      </c>
      <c r="D137" s="26" t="s">
        <v>136</v>
      </c>
      <c r="E137" s="27" t="s">
        <v>137</v>
      </c>
      <c r="F137" s="87">
        <v>1</v>
      </c>
      <c r="G137" s="87"/>
      <c r="H137" s="87">
        <v>1</v>
      </c>
      <c r="I137" s="87"/>
      <c r="J137" s="87"/>
      <c r="K137" s="87">
        <v>1</v>
      </c>
      <c r="L137" s="87"/>
      <c r="M137" s="87"/>
      <c r="N137" s="87"/>
      <c r="O137" s="87"/>
      <c r="P137" s="87"/>
      <c r="Q137" s="87"/>
      <c r="R137" s="87"/>
      <c r="S137" s="87"/>
      <c r="T137" s="87"/>
      <c r="U137" s="87">
        <v>1</v>
      </c>
      <c r="V137" s="87">
        <v>1</v>
      </c>
      <c r="W137" s="87">
        <v>1</v>
      </c>
      <c r="X137" s="87"/>
      <c r="Y137" s="87"/>
      <c r="Z137" s="88">
        <v>1</v>
      </c>
      <c r="AA137" s="88">
        <v>1</v>
      </c>
      <c r="AB137" s="87">
        <v>1</v>
      </c>
      <c r="AC137" s="87"/>
      <c r="AD137" s="87"/>
      <c r="AE137" s="87">
        <v>1</v>
      </c>
      <c r="AF137" s="87"/>
      <c r="AG137" s="87"/>
      <c r="AH137" s="87"/>
      <c r="AI137" s="87"/>
      <c r="AJ137" s="87"/>
      <c r="AK137" s="87"/>
      <c r="AL137" s="87"/>
      <c r="AM137" s="87"/>
      <c r="AN137" s="87"/>
      <c r="AO137" s="87"/>
      <c r="AP137" s="87"/>
      <c r="AQ137" s="87"/>
      <c r="AR137" s="87"/>
      <c r="AS137" s="87"/>
      <c r="AT137" s="87"/>
      <c r="AU137" s="87"/>
      <c r="AV137" s="87">
        <v>1</v>
      </c>
      <c r="AW137" s="87"/>
    </row>
    <row r="138" spans="1:49" x14ac:dyDescent="0.3">
      <c r="A138" s="31">
        <v>100</v>
      </c>
      <c r="B138" s="28" t="s">
        <v>377</v>
      </c>
      <c r="C138" s="26">
        <v>7096593</v>
      </c>
      <c r="D138" s="26" t="s">
        <v>378</v>
      </c>
      <c r="E138" s="27" t="s">
        <v>194</v>
      </c>
      <c r="F138" s="87">
        <v>1</v>
      </c>
      <c r="G138" s="87"/>
      <c r="H138" s="87"/>
      <c r="I138" s="87"/>
      <c r="J138" s="87"/>
      <c r="K138" s="87"/>
      <c r="L138" s="87">
        <v>1</v>
      </c>
      <c r="M138" s="87"/>
      <c r="N138" s="87"/>
      <c r="O138" s="87"/>
      <c r="P138" s="87">
        <v>1</v>
      </c>
      <c r="Q138" s="87"/>
      <c r="R138" s="87"/>
      <c r="S138" s="87"/>
      <c r="T138" s="87"/>
      <c r="U138" s="87"/>
      <c r="V138" s="87"/>
      <c r="W138" s="87"/>
      <c r="X138" s="87"/>
      <c r="Y138" s="87"/>
      <c r="Z138" s="88">
        <v>1</v>
      </c>
      <c r="AA138" s="88">
        <v>1</v>
      </c>
      <c r="AB138" s="98"/>
      <c r="AC138" s="87"/>
      <c r="AD138" s="87"/>
      <c r="AE138" s="87"/>
      <c r="AF138" s="87"/>
      <c r="AG138" s="87"/>
      <c r="AH138" s="87"/>
      <c r="AI138" s="87"/>
      <c r="AJ138" s="87"/>
      <c r="AK138" s="87"/>
      <c r="AL138" s="87"/>
      <c r="AM138" s="87"/>
      <c r="AN138" s="87"/>
      <c r="AO138" s="87"/>
      <c r="AP138" s="87"/>
      <c r="AQ138" s="87"/>
      <c r="AR138" s="87"/>
      <c r="AS138" s="87"/>
      <c r="AT138" s="87"/>
      <c r="AU138" s="87"/>
      <c r="AV138" s="87">
        <v>1</v>
      </c>
      <c r="AW138" s="87"/>
    </row>
    <row r="139" spans="1:49" x14ac:dyDescent="0.3">
      <c r="A139" s="31"/>
      <c r="B139" s="32"/>
      <c r="C139" s="28">
        <v>7095746</v>
      </c>
      <c r="D139" s="28" t="s">
        <v>456</v>
      </c>
      <c r="E139" s="28" t="s">
        <v>113</v>
      </c>
      <c r="F139" s="87">
        <v>1</v>
      </c>
      <c r="G139" s="87"/>
      <c r="H139" s="87"/>
      <c r="I139" s="87"/>
      <c r="J139" s="87"/>
      <c r="K139" s="87"/>
      <c r="L139" s="87">
        <v>1</v>
      </c>
      <c r="M139" s="87"/>
      <c r="N139" s="87"/>
      <c r="O139" s="87"/>
      <c r="P139" s="87"/>
      <c r="Q139" s="87"/>
      <c r="R139" s="87"/>
      <c r="S139" s="87"/>
      <c r="T139" s="87"/>
      <c r="U139" s="87">
        <v>1</v>
      </c>
      <c r="V139" s="87">
        <v>1</v>
      </c>
      <c r="W139" s="87"/>
      <c r="X139" s="87"/>
      <c r="Y139" s="87"/>
      <c r="Z139" s="88"/>
      <c r="AA139" s="88">
        <v>1</v>
      </c>
      <c r="AB139" s="98"/>
      <c r="AC139" s="87"/>
      <c r="AD139" s="87"/>
      <c r="AE139" s="87"/>
      <c r="AF139" s="87"/>
      <c r="AG139" s="87"/>
      <c r="AH139" s="87"/>
      <c r="AI139" s="87"/>
      <c r="AJ139" s="87"/>
      <c r="AK139" s="87"/>
      <c r="AL139" s="87">
        <v>1</v>
      </c>
      <c r="AM139" s="87"/>
      <c r="AN139" s="87"/>
      <c r="AO139" s="87"/>
      <c r="AP139" s="87"/>
      <c r="AQ139" s="87"/>
      <c r="AR139" s="87"/>
      <c r="AS139" s="87"/>
      <c r="AT139" s="87"/>
      <c r="AU139" s="87"/>
      <c r="AV139" s="87">
        <v>1</v>
      </c>
      <c r="AW139" s="87"/>
    </row>
    <row r="140" spans="1:49" x14ac:dyDescent="0.3">
      <c r="A140" s="31">
        <v>4</v>
      </c>
      <c r="B140" s="132" t="s">
        <v>341</v>
      </c>
      <c r="C140" s="26">
        <v>7027005</v>
      </c>
      <c r="D140" s="26" t="s">
        <v>138</v>
      </c>
      <c r="E140" s="113" t="s">
        <v>134</v>
      </c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8"/>
      <c r="AA140" s="88"/>
      <c r="AB140" s="87"/>
      <c r="AC140" s="87"/>
      <c r="AD140" s="87"/>
      <c r="AE140" s="87"/>
      <c r="AF140" s="87"/>
      <c r="AG140" s="87"/>
      <c r="AH140" s="87"/>
      <c r="AI140" s="87"/>
      <c r="AJ140" s="87"/>
      <c r="AK140" s="87"/>
      <c r="AL140" s="87"/>
      <c r="AM140" s="87"/>
      <c r="AN140" s="87"/>
      <c r="AO140" s="87"/>
      <c r="AP140" s="87"/>
      <c r="AQ140" s="87"/>
      <c r="AR140" s="87"/>
      <c r="AS140" s="87"/>
      <c r="AT140" s="87"/>
      <c r="AU140" s="87"/>
      <c r="AV140" s="87"/>
      <c r="AW140" s="87"/>
    </row>
    <row r="141" spans="1:49" x14ac:dyDescent="0.3">
      <c r="A141" s="115">
        <v>54</v>
      </c>
      <c r="B141" s="28" t="s">
        <v>43</v>
      </c>
      <c r="C141" s="26">
        <v>7093548</v>
      </c>
      <c r="D141" s="26" t="s">
        <v>139</v>
      </c>
      <c r="E141" s="113" t="s">
        <v>140</v>
      </c>
      <c r="F141" s="87">
        <v>1</v>
      </c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8">
        <v>1</v>
      </c>
      <c r="AA141" s="88">
        <v>1</v>
      </c>
      <c r="AB141" s="87">
        <v>1</v>
      </c>
      <c r="AC141" s="87"/>
      <c r="AD141" s="87"/>
      <c r="AE141" s="87"/>
      <c r="AF141" s="87">
        <v>1</v>
      </c>
      <c r="AG141" s="87"/>
      <c r="AH141" s="87">
        <v>1</v>
      </c>
      <c r="AI141" s="87">
        <v>1</v>
      </c>
      <c r="AJ141" s="87">
        <v>1</v>
      </c>
      <c r="AK141" s="87"/>
      <c r="AL141" s="87"/>
      <c r="AM141" s="87"/>
      <c r="AN141" s="87"/>
      <c r="AO141" s="87"/>
      <c r="AP141" s="87"/>
      <c r="AQ141" s="87"/>
      <c r="AR141" s="87"/>
      <c r="AS141" s="87"/>
      <c r="AT141" s="87"/>
      <c r="AU141" s="87"/>
      <c r="AV141" s="87">
        <v>1</v>
      </c>
      <c r="AW141" s="87"/>
    </row>
    <row r="142" spans="1:49" x14ac:dyDescent="0.3">
      <c r="A142" s="31">
        <v>101</v>
      </c>
      <c r="B142" s="29" t="s">
        <v>49</v>
      </c>
      <c r="C142" s="40">
        <v>7095821</v>
      </c>
      <c r="D142" s="40" t="s">
        <v>139</v>
      </c>
      <c r="E142" s="40" t="s">
        <v>134</v>
      </c>
      <c r="F142" s="87">
        <v>1</v>
      </c>
      <c r="G142" s="87"/>
      <c r="H142" s="87"/>
      <c r="I142" s="87">
        <v>1</v>
      </c>
      <c r="J142" s="87">
        <v>1</v>
      </c>
      <c r="K142" s="87">
        <v>1</v>
      </c>
      <c r="L142" s="87">
        <v>1</v>
      </c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8">
        <v>1</v>
      </c>
      <c r="AA142" s="88">
        <v>1</v>
      </c>
      <c r="AB142" s="87"/>
      <c r="AC142" s="87"/>
      <c r="AD142" s="87"/>
      <c r="AE142" s="87"/>
      <c r="AF142" s="87"/>
      <c r="AG142" s="87"/>
      <c r="AH142" s="87"/>
      <c r="AI142" s="87"/>
      <c r="AJ142" s="87"/>
      <c r="AK142" s="87"/>
      <c r="AL142" s="87"/>
      <c r="AM142" s="87"/>
      <c r="AN142" s="87"/>
      <c r="AO142" s="87"/>
      <c r="AP142" s="87"/>
      <c r="AQ142" s="87"/>
      <c r="AR142" s="87"/>
      <c r="AS142" s="87">
        <v>1</v>
      </c>
      <c r="AT142" s="87">
        <v>1</v>
      </c>
      <c r="AU142" s="87">
        <v>1</v>
      </c>
      <c r="AV142" s="87">
        <v>1</v>
      </c>
      <c r="AW142" s="87"/>
    </row>
    <row r="143" spans="1:49" x14ac:dyDescent="0.3">
      <c r="A143" s="31">
        <v>23</v>
      </c>
      <c r="B143" s="29" t="s">
        <v>42</v>
      </c>
      <c r="C143" s="26">
        <v>7051765</v>
      </c>
      <c r="D143" s="26" t="s">
        <v>139</v>
      </c>
      <c r="E143" s="27" t="s">
        <v>55</v>
      </c>
      <c r="F143" s="87">
        <v>1</v>
      </c>
      <c r="G143" s="87"/>
      <c r="H143" s="87">
        <v>1</v>
      </c>
      <c r="I143" s="87">
        <v>1</v>
      </c>
      <c r="J143" s="87">
        <v>1</v>
      </c>
      <c r="K143" s="87">
        <v>1</v>
      </c>
      <c r="L143" s="87">
        <v>1</v>
      </c>
      <c r="M143" s="87"/>
      <c r="N143" s="87">
        <v>1</v>
      </c>
      <c r="O143" s="87"/>
      <c r="P143" s="87"/>
      <c r="Q143" s="87">
        <v>1</v>
      </c>
      <c r="R143" s="87">
        <v>1</v>
      </c>
      <c r="S143" s="87">
        <v>1</v>
      </c>
      <c r="T143" s="87">
        <v>1</v>
      </c>
      <c r="U143" s="87"/>
      <c r="V143" s="87">
        <v>1</v>
      </c>
      <c r="W143" s="87"/>
      <c r="X143" s="87"/>
      <c r="Y143" s="87"/>
      <c r="Z143" s="88">
        <v>1</v>
      </c>
      <c r="AA143" s="88">
        <v>1</v>
      </c>
      <c r="AB143" s="87">
        <v>1</v>
      </c>
      <c r="AC143" s="87"/>
      <c r="AD143" s="87"/>
      <c r="AE143" s="87">
        <v>1</v>
      </c>
      <c r="AF143" s="87"/>
      <c r="AG143" s="87"/>
      <c r="AH143" s="87"/>
      <c r="AI143" s="87"/>
      <c r="AJ143" s="87"/>
      <c r="AK143" s="87"/>
      <c r="AL143" s="87"/>
      <c r="AM143" s="87"/>
      <c r="AN143" s="87"/>
      <c r="AO143" s="87"/>
      <c r="AP143" s="87"/>
      <c r="AQ143" s="87"/>
      <c r="AR143" s="87"/>
      <c r="AS143" s="87"/>
      <c r="AT143" s="87">
        <v>1</v>
      </c>
      <c r="AU143" s="87">
        <v>1</v>
      </c>
      <c r="AV143" s="87">
        <v>1</v>
      </c>
      <c r="AW143" s="87"/>
    </row>
    <row r="144" spans="1:49" x14ac:dyDescent="0.3">
      <c r="A144" s="31"/>
      <c r="B144" s="29"/>
      <c r="C144" s="26">
        <v>7403386</v>
      </c>
      <c r="D144" s="26" t="s">
        <v>457</v>
      </c>
      <c r="E144" s="113" t="s">
        <v>184</v>
      </c>
      <c r="F144" s="87"/>
      <c r="G144" s="87"/>
      <c r="H144" s="87"/>
      <c r="I144" s="87">
        <v>1</v>
      </c>
      <c r="J144" s="87">
        <v>1</v>
      </c>
      <c r="K144" s="87">
        <v>1</v>
      </c>
      <c r="L144" s="87">
        <v>1</v>
      </c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8"/>
      <c r="AA144" s="88">
        <v>1</v>
      </c>
      <c r="AB144" s="98"/>
      <c r="AC144" s="87"/>
      <c r="AD144" s="87"/>
      <c r="AE144" s="87"/>
      <c r="AF144" s="87"/>
      <c r="AG144" s="87"/>
      <c r="AH144" s="87"/>
      <c r="AI144" s="87"/>
      <c r="AJ144" s="87"/>
      <c r="AK144" s="87"/>
      <c r="AL144" s="87"/>
      <c r="AM144" s="87"/>
      <c r="AN144" s="87"/>
      <c r="AO144" s="87"/>
      <c r="AP144" s="87"/>
      <c r="AQ144" s="87"/>
      <c r="AR144" s="87"/>
      <c r="AS144" s="87"/>
      <c r="AT144" s="87"/>
      <c r="AU144" s="87"/>
      <c r="AV144" s="87"/>
      <c r="AW144" s="87"/>
    </row>
    <row r="145" spans="1:49" x14ac:dyDescent="0.3">
      <c r="A145" s="31">
        <v>129</v>
      </c>
      <c r="B145" s="29" t="s">
        <v>198</v>
      </c>
      <c r="C145" s="26">
        <v>7403076</v>
      </c>
      <c r="D145" s="41" t="s">
        <v>428</v>
      </c>
      <c r="E145" s="41" t="s">
        <v>429</v>
      </c>
      <c r="F145" s="87">
        <v>1</v>
      </c>
      <c r="G145" s="87"/>
      <c r="H145" s="87"/>
      <c r="I145" s="87"/>
      <c r="J145" s="87"/>
      <c r="K145" s="87">
        <v>1</v>
      </c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8">
        <v>1</v>
      </c>
      <c r="AA145" s="88">
        <v>1</v>
      </c>
      <c r="AB145" s="87"/>
      <c r="AC145" s="87"/>
      <c r="AD145" s="87"/>
      <c r="AE145" s="87"/>
      <c r="AF145" s="87"/>
      <c r="AG145" s="87"/>
      <c r="AH145" s="87"/>
      <c r="AI145" s="87"/>
      <c r="AJ145" s="87"/>
      <c r="AK145" s="87"/>
      <c r="AL145" s="87"/>
      <c r="AM145" s="87"/>
      <c r="AN145" s="87"/>
      <c r="AO145" s="87"/>
      <c r="AP145" s="87"/>
      <c r="AQ145" s="87"/>
      <c r="AR145" s="87"/>
      <c r="AS145" s="87"/>
      <c r="AT145" s="87"/>
      <c r="AU145" s="87"/>
      <c r="AV145" s="87">
        <v>1</v>
      </c>
      <c r="AW145" s="87"/>
    </row>
    <row r="146" spans="1:49" x14ac:dyDescent="0.3">
      <c r="A146" s="31"/>
      <c r="B146" s="29"/>
      <c r="C146" s="26"/>
      <c r="D146" s="41"/>
      <c r="E146" s="41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8"/>
      <c r="AA146" s="88"/>
      <c r="AB146" s="87"/>
      <c r="AC146" s="87"/>
      <c r="AD146" s="87"/>
      <c r="AE146" s="87"/>
      <c r="AF146" s="87"/>
      <c r="AG146" s="87"/>
      <c r="AH146" s="87"/>
      <c r="AI146" s="87"/>
      <c r="AJ146" s="87"/>
      <c r="AK146" s="87"/>
      <c r="AL146" s="87"/>
      <c r="AM146" s="87"/>
      <c r="AN146" s="87"/>
      <c r="AO146" s="87"/>
      <c r="AP146" s="87"/>
      <c r="AQ146" s="87"/>
      <c r="AR146" s="87"/>
      <c r="AS146" s="87"/>
      <c r="AT146" s="87"/>
      <c r="AU146" s="87"/>
      <c r="AV146" s="87"/>
      <c r="AW146" s="87"/>
    </row>
    <row r="148" spans="1:49" x14ac:dyDescent="0.3">
      <c r="E148" s="90" t="s">
        <v>216</v>
      </c>
      <c r="F148" s="103">
        <v>4</v>
      </c>
      <c r="G148" s="103">
        <v>5</v>
      </c>
      <c r="H148" s="103">
        <v>6</v>
      </c>
      <c r="I148" s="103">
        <v>7</v>
      </c>
      <c r="J148" s="103">
        <v>8</v>
      </c>
      <c r="K148" s="103">
        <v>9</v>
      </c>
      <c r="L148" s="103">
        <v>10</v>
      </c>
      <c r="M148" s="103">
        <v>11</v>
      </c>
      <c r="N148" s="103">
        <v>12</v>
      </c>
      <c r="O148" s="103">
        <v>13</v>
      </c>
      <c r="P148" s="103">
        <v>14</v>
      </c>
      <c r="Q148" s="103">
        <v>15</v>
      </c>
      <c r="R148" s="103">
        <v>16</v>
      </c>
      <c r="S148" s="103">
        <v>17</v>
      </c>
      <c r="T148" s="103">
        <v>18</v>
      </c>
      <c r="U148" s="103">
        <v>19</v>
      </c>
      <c r="V148" s="103">
        <v>20</v>
      </c>
      <c r="W148" s="103">
        <v>21</v>
      </c>
      <c r="X148" s="103">
        <v>22</v>
      </c>
      <c r="Y148" s="103">
        <v>23</v>
      </c>
      <c r="Z148" s="103">
        <v>24</v>
      </c>
      <c r="AA148" s="103">
        <v>25</v>
      </c>
      <c r="AB148" s="103">
        <v>26</v>
      </c>
      <c r="AC148" s="103">
        <v>27</v>
      </c>
      <c r="AD148" s="103">
        <v>28</v>
      </c>
      <c r="AE148" s="103">
        <v>29</v>
      </c>
      <c r="AF148" s="103">
        <v>30</v>
      </c>
      <c r="AG148" s="103">
        <v>31</v>
      </c>
      <c r="AH148" s="103">
        <v>32</v>
      </c>
      <c r="AI148" s="103">
        <v>33</v>
      </c>
      <c r="AJ148" s="103">
        <v>34</v>
      </c>
      <c r="AK148" s="103">
        <v>35</v>
      </c>
      <c r="AL148" s="103">
        <v>36</v>
      </c>
      <c r="AM148" s="103">
        <v>37</v>
      </c>
      <c r="AN148" s="103">
        <v>38</v>
      </c>
      <c r="AO148" s="103">
        <v>39</v>
      </c>
      <c r="AP148" s="103">
        <v>40</v>
      </c>
      <c r="AQ148" s="103">
        <v>41</v>
      </c>
      <c r="AR148" s="103">
        <v>42</v>
      </c>
      <c r="AS148" s="103">
        <v>43</v>
      </c>
      <c r="AT148" s="103">
        <v>44</v>
      </c>
      <c r="AU148" s="103">
        <v>45</v>
      </c>
      <c r="AV148" s="103">
        <v>46</v>
      </c>
      <c r="AW148" s="103">
        <v>47</v>
      </c>
    </row>
  </sheetData>
  <autoFilter ref="A2:AW145" xr:uid="{00000000-0009-0000-0000-000001000000}">
    <sortState xmlns:xlrd2="http://schemas.microsoft.com/office/spreadsheetml/2017/richdata2" ref="A3:AW141">
      <sortCondition ref="D2:D141"/>
    </sortState>
  </autoFilter>
  <sortState xmlns:xlrd2="http://schemas.microsoft.com/office/spreadsheetml/2017/richdata2" ref="A3:AW145">
    <sortCondition ref="D3:D145"/>
    <sortCondition ref="E3:E145"/>
  </sortState>
  <conditionalFormatting sqref="B69">
    <cfRule type="containsText" dxfId="13" priority="10" operator="containsText" text="Blue">
      <formula>NOT(ISERROR(SEARCH("Blue",B69)))</formula>
    </cfRule>
    <cfRule type="containsText" priority="11" operator="containsText" text="Lay off">
      <formula>NOT(ISERROR(SEARCH("Lay off",B69)))</formula>
    </cfRule>
    <cfRule type="containsText" dxfId="12" priority="12" operator="containsText" text="Rock">
      <formula>NOT(ISERROR(SEARCH("Rock",B69)))</formula>
    </cfRule>
    <cfRule type="containsText" dxfId="11" priority="13" operator="containsText" text="d">
      <formula>NOT(ISERROR(SEARCH("d",B69)))</formula>
    </cfRule>
    <cfRule type="containsText" dxfId="10" priority="14" operator="containsText" text="B">
      <formula>NOT(ISERROR(SEARCH("B",B69)))</formula>
    </cfRule>
    <cfRule type="containsText" dxfId="9" priority="15" operator="containsText" text="u">
      <formula>NOT(ISERROR(SEARCH("u",B69)))</formula>
    </cfRule>
    <cfRule type="containsText" dxfId="8" priority="16" operator="containsText" text="u">
      <formula>NOT(ISERROR(SEARCH("u",B69)))</formula>
    </cfRule>
    <cfRule type="containsText" priority="17" operator="containsText" text="Off">
      <formula>NOT(ISERROR(SEARCH("Off",B69)))</formula>
    </cfRule>
    <cfRule type="containsText" dxfId="7" priority="18" operator="containsText" text="Maternity">
      <formula>NOT(ISERROR(SEARCH("Maternity",B69)))</formula>
    </cfRule>
  </conditionalFormatting>
  <conditionalFormatting sqref="B64">
    <cfRule type="containsText" dxfId="6" priority="1" operator="containsText" text="Blue">
      <formula>NOT(ISERROR(SEARCH("Blue",B64)))</formula>
    </cfRule>
    <cfRule type="containsText" priority="2" operator="containsText" text="Lay off">
      <formula>NOT(ISERROR(SEARCH("Lay off",B64)))</formula>
    </cfRule>
    <cfRule type="containsText" dxfId="5" priority="3" operator="containsText" text="Rock">
      <formula>NOT(ISERROR(SEARCH("Rock",B64)))</formula>
    </cfRule>
    <cfRule type="containsText" dxfId="4" priority="4" operator="containsText" text="d">
      <formula>NOT(ISERROR(SEARCH("d",B64)))</formula>
    </cfRule>
    <cfRule type="containsText" dxfId="3" priority="5" operator="containsText" text="B">
      <formula>NOT(ISERROR(SEARCH("B",B64)))</formula>
    </cfRule>
    <cfRule type="containsText" dxfId="2" priority="6" operator="containsText" text="u">
      <formula>NOT(ISERROR(SEARCH("u",B64)))</formula>
    </cfRule>
    <cfRule type="containsText" dxfId="1" priority="7" operator="containsText" text="u">
      <formula>NOT(ISERROR(SEARCH("u",B64)))</formula>
    </cfRule>
    <cfRule type="containsText" priority="8" operator="containsText" text="Off">
      <formula>NOT(ISERROR(SEARCH("Off",B64)))</formula>
    </cfRule>
    <cfRule type="containsText" dxfId="0" priority="9" operator="containsText" text="Maternity">
      <formula>NOT(ISERROR(SEARCH("Maternity",B64)))</formula>
    </cfRule>
  </conditionalFormatting>
  <pageMargins left="0.7" right="0.7" top="0.75" bottom="0.75" header="0.3" footer="0.3"/>
  <pageSetup orientation="portrait" verticalDpi="599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70C0"/>
  </sheetPr>
  <dimension ref="A1:N64"/>
  <sheetViews>
    <sheetView workbookViewId="0">
      <pane ySplit="3" topLeftCell="A4" activePane="bottomLeft" state="frozen"/>
      <selection pane="bottomLeft" activeCell="N44" sqref="N44"/>
    </sheetView>
  </sheetViews>
  <sheetFormatPr defaultRowHeight="14.4" x14ac:dyDescent="0.3"/>
  <cols>
    <col min="1" max="1" width="14.5546875" customWidth="1"/>
    <col min="2" max="2" width="25.6640625" style="76" bestFit="1" customWidth="1"/>
    <col min="3" max="4" width="9.109375" customWidth="1"/>
    <col min="5" max="5" width="10" customWidth="1"/>
    <col min="6" max="6" width="11.5546875" hidden="1" customWidth="1"/>
    <col min="7" max="7" width="11.109375" hidden="1" customWidth="1"/>
    <col min="8" max="8" width="17.88671875" hidden="1" customWidth="1"/>
    <col min="9" max="9" width="46" customWidth="1"/>
    <col min="10" max="10" width="11" customWidth="1"/>
    <col min="11" max="11" width="15.109375" customWidth="1"/>
    <col min="12" max="12" width="14" customWidth="1"/>
    <col min="13" max="13" width="56.33203125" customWidth="1"/>
    <col min="14" max="14" width="40.6640625" customWidth="1"/>
  </cols>
  <sheetData>
    <row r="1" spans="1:14" ht="21" x14ac:dyDescent="0.4">
      <c r="A1" s="217" t="s">
        <v>217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</row>
    <row r="2" spans="1:14" ht="16.5" customHeight="1" x14ac:dyDescent="0.3">
      <c r="A2" s="52" t="s">
        <v>218</v>
      </c>
      <c r="B2" s="53">
        <v>42866</v>
      </c>
      <c r="C2" s="54" t="s">
        <v>219</v>
      </c>
      <c r="D2" s="55"/>
      <c r="E2" s="56"/>
      <c r="F2" s="57" t="s">
        <v>220</v>
      </c>
      <c r="G2" s="58"/>
      <c r="H2" s="59"/>
    </row>
    <row r="3" spans="1:14" ht="28.8" x14ac:dyDescent="0.3">
      <c r="A3" s="60" t="s">
        <v>221</v>
      </c>
      <c r="B3" s="60" t="s">
        <v>222</v>
      </c>
      <c r="C3" s="61" t="s">
        <v>223</v>
      </c>
      <c r="D3" s="60" t="s">
        <v>224</v>
      </c>
      <c r="E3" s="60" t="s">
        <v>225</v>
      </c>
      <c r="F3" s="61" t="s">
        <v>226</v>
      </c>
      <c r="G3" s="60" t="s">
        <v>227</v>
      </c>
      <c r="H3" s="60" t="s">
        <v>228</v>
      </c>
      <c r="I3" s="61" t="s">
        <v>229</v>
      </c>
      <c r="J3" s="60" t="s">
        <v>230</v>
      </c>
      <c r="K3" s="60" t="s">
        <v>231</v>
      </c>
      <c r="L3" s="60" t="s">
        <v>232</v>
      </c>
      <c r="M3" s="60" t="s">
        <v>233</v>
      </c>
      <c r="N3" s="62" t="s">
        <v>234</v>
      </c>
    </row>
    <row r="4" spans="1:14" x14ac:dyDescent="0.3">
      <c r="A4" s="63" t="s">
        <v>235</v>
      </c>
      <c r="B4" s="64"/>
      <c r="C4" s="65"/>
      <c r="D4" s="66"/>
      <c r="E4" s="66"/>
      <c r="F4" s="65"/>
      <c r="G4" s="66"/>
      <c r="H4" s="66"/>
      <c r="I4" s="65"/>
      <c r="J4" s="66"/>
      <c r="K4" s="66"/>
      <c r="L4" s="66"/>
      <c r="M4" s="66"/>
      <c r="N4" s="67"/>
    </row>
    <row r="5" spans="1:14" x14ac:dyDescent="0.3">
      <c r="A5" t="s">
        <v>236</v>
      </c>
      <c r="B5" s="68" t="s">
        <v>151</v>
      </c>
      <c r="C5" s="69">
        <v>4</v>
      </c>
      <c r="D5" s="68">
        <v>4</v>
      </c>
      <c r="E5" s="68">
        <f>C5*D5</f>
        <v>16</v>
      </c>
      <c r="F5" s="69">
        <v>3</v>
      </c>
      <c r="G5" s="68">
        <v>4</v>
      </c>
      <c r="H5" s="68">
        <f>F5*G5</f>
        <v>12</v>
      </c>
      <c r="I5" s="69" t="s">
        <v>237</v>
      </c>
      <c r="J5" s="68" t="s">
        <v>238</v>
      </c>
      <c r="K5" s="68"/>
      <c r="L5" s="68">
        <v>216531</v>
      </c>
      <c r="M5" s="68" t="s">
        <v>239</v>
      </c>
    </row>
    <row r="6" spans="1:14" x14ac:dyDescent="0.3">
      <c r="B6" s="68" t="s">
        <v>240</v>
      </c>
      <c r="C6" s="69">
        <v>1</v>
      </c>
      <c r="D6" s="68">
        <v>8</v>
      </c>
      <c r="E6" s="68">
        <f t="shared" ref="E6:E40" si="0">C6*D6</f>
        <v>8</v>
      </c>
      <c r="F6" s="69">
        <v>1</v>
      </c>
      <c r="G6" s="68">
        <v>6</v>
      </c>
      <c r="H6" s="68">
        <f t="shared" ref="H6:H40" si="1">F6*G6</f>
        <v>6</v>
      </c>
      <c r="I6" s="69" t="s">
        <v>241</v>
      </c>
      <c r="J6" s="68" t="s">
        <v>238</v>
      </c>
      <c r="K6" s="68"/>
      <c r="L6" s="68">
        <v>216565</v>
      </c>
      <c r="M6" s="68" t="s">
        <v>242</v>
      </c>
    </row>
    <row r="7" spans="1:14" x14ac:dyDescent="0.3">
      <c r="B7" s="68" t="s">
        <v>243</v>
      </c>
      <c r="C7" s="69">
        <v>1</v>
      </c>
      <c r="D7" s="68">
        <v>2</v>
      </c>
      <c r="E7" s="68">
        <v>2</v>
      </c>
      <c r="F7" s="69">
        <v>1</v>
      </c>
      <c r="G7" s="68">
        <v>2</v>
      </c>
      <c r="H7" s="68">
        <f t="shared" si="1"/>
        <v>2</v>
      </c>
      <c r="I7" s="69" t="s">
        <v>244</v>
      </c>
      <c r="J7" s="68" t="s">
        <v>238</v>
      </c>
      <c r="K7" s="68"/>
      <c r="L7" s="68">
        <v>216521</v>
      </c>
      <c r="M7" s="68" t="s">
        <v>242</v>
      </c>
    </row>
    <row r="8" spans="1:14" x14ac:dyDescent="0.3">
      <c r="B8" s="68" t="s">
        <v>245</v>
      </c>
      <c r="C8" s="69">
        <v>1</v>
      </c>
      <c r="D8" s="68">
        <v>2</v>
      </c>
      <c r="E8" s="68">
        <v>2</v>
      </c>
      <c r="F8" s="69"/>
      <c r="G8" s="68"/>
      <c r="H8" s="68"/>
      <c r="I8" s="69"/>
      <c r="J8" s="68"/>
      <c r="K8" s="68"/>
      <c r="L8" s="68"/>
      <c r="M8" s="68" t="s">
        <v>242</v>
      </c>
    </row>
    <row r="9" spans="1:14" x14ac:dyDescent="0.3">
      <c r="B9" s="68" t="s">
        <v>246</v>
      </c>
      <c r="C9" s="69">
        <v>1</v>
      </c>
      <c r="D9" s="68">
        <v>2</v>
      </c>
      <c r="E9" s="68">
        <f t="shared" si="0"/>
        <v>2</v>
      </c>
      <c r="F9" s="69">
        <v>1</v>
      </c>
      <c r="G9" s="68">
        <v>2</v>
      </c>
      <c r="H9" s="68">
        <f t="shared" si="1"/>
        <v>2</v>
      </c>
      <c r="I9" s="69" t="s">
        <v>247</v>
      </c>
      <c r="J9" s="70" t="s">
        <v>248</v>
      </c>
      <c r="K9" s="68" t="s">
        <v>249</v>
      </c>
      <c r="L9" s="68">
        <v>215770</v>
      </c>
      <c r="M9" s="68" t="s">
        <v>152</v>
      </c>
    </row>
    <row r="10" spans="1:14" x14ac:dyDescent="0.3">
      <c r="B10" s="68" t="s">
        <v>250</v>
      </c>
      <c r="C10" s="69">
        <v>1</v>
      </c>
      <c r="D10" s="68">
        <v>4</v>
      </c>
      <c r="E10" s="68">
        <f t="shared" si="0"/>
        <v>4</v>
      </c>
      <c r="F10" s="69">
        <v>1</v>
      </c>
      <c r="G10" s="68">
        <v>2</v>
      </c>
      <c r="H10" s="68">
        <f t="shared" si="1"/>
        <v>2</v>
      </c>
      <c r="I10" s="69" t="s">
        <v>251</v>
      </c>
      <c r="J10" s="68" t="s">
        <v>238</v>
      </c>
      <c r="K10" s="68"/>
      <c r="L10" s="68">
        <v>214660</v>
      </c>
      <c r="M10" s="68" t="s">
        <v>252</v>
      </c>
    </row>
    <row r="11" spans="1:14" x14ac:dyDescent="0.3">
      <c r="B11" s="68" t="s">
        <v>143</v>
      </c>
      <c r="C11" s="69">
        <v>2</v>
      </c>
      <c r="D11" s="68">
        <v>4</v>
      </c>
      <c r="E11" s="68">
        <f t="shared" si="0"/>
        <v>8</v>
      </c>
      <c r="F11" s="69">
        <v>2</v>
      </c>
      <c r="G11" s="68">
        <v>3</v>
      </c>
      <c r="H11" s="68">
        <f t="shared" si="1"/>
        <v>6</v>
      </c>
      <c r="I11" s="69" t="s">
        <v>253</v>
      </c>
      <c r="J11" s="68" t="s">
        <v>238</v>
      </c>
      <c r="K11" s="68"/>
      <c r="L11" s="68" t="s">
        <v>254</v>
      </c>
      <c r="M11" s="68" t="s">
        <v>255</v>
      </c>
    </row>
    <row r="12" spans="1:14" x14ac:dyDescent="0.3">
      <c r="B12" s="68" t="s">
        <v>256</v>
      </c>
      <c r="C12" s="69">
        <v>2</v>
      </c>
      <c r="D12" s="68">
        <v>4</v>
      </c>
      <c r="E12" s="68">
        <f t="shared" si="0"/>
        <v>8</v>
      </c>
      <c r="F12" s="69">
        <v>2</v>
      </c>
      <c r="G12" s="68">
        <v>3</v>
      </c>
      <c r="H12" s="68">
        <f t="shared" si="1"/>
        <v>6</v>
      </c>
      <c r="I12" s="69" t="s">
        <v>257</v>
      </c>
      <c r="J12" s="68" t="s">
        <v>238</v>
      </c>
      <c r="K12" s="68"/>
      <c r="L12" s="68">
        <v>214525</v>
      </c>
      <c r="M12" s="68" t="s">
        <v>258</v>
      </c>
    </row>
    <row r="13" spans="1:14" x14ac:dyDescent="0.3">
      <c r="B13" s="68" t="s">
        <v>259</v>
      </c>
      <c r="C13" s="69">
        <v>2</v>
      </c>
      <c r="D13" s="68">
        <v>4</v>
      </c>
      <c r="E13" s="68">
        <f t="shared" si="0"/>
        <v>8</v>
      </c>
      <c r="F13" s="69">
        <v>2</v>
      </c>
      <c r="G13" s="68">
        <v>3</v>
      </c>
      <c r="H13" s="68">
        <f t="shared" si="1"/>
        <v>6</v>
      </c>
      <c r="I13" s="69" t="s">
        <v>260</v>
      </c>
      <c r="J13" s="68" t="s">
        <v>238</v>
      </c>
      <c r="K13" s="68"/>
      <c r="L13" s="68">
        <v>214618</v>
      </c>
      <c r="M13" s="68" t="s">
        <v>261</v>
      </c>
    </row>
    <row r="14" spans="1:14" x14ac:dyDescent="0.3">
      <c r="B14" s="68"/>
      <c r="C14" s="69"/>
      <c r="D14" s="68"/>
      <c r="E14" s="68"/>
      <c r="F14" s="69"/>
      <c r="G14" s="68"/>
      <c r="H14" s="68"/>
      <c r="I14" s="69"/>
      <c r="J14" s="68"/>
      <c r="K14" s="68"/>
      <c r="L14" s="68"/>
      <c r="M14" s="68"/>
    </row>
    <row r="15" spans="1:14" x14ac:dyDescent="0.3">
      <c r="A15" t="s">
        <v>262</v>
      </c>
      <c r="B15" s="68" t="s">
        <v>151</v>
      </c>
      <c r="C15" s="69">
        <v>4</v>
      </c>
      <c r="D15" s="68">
        <v>4</v>
      </c>
      <c r="E15" s="68">
        <f t="shared" si="0"/>
        <v>16</v>
      </c>
      <c r="F15" s="69">
        <v>3</v>
      </c>
      <c r="G15" s="68">
        <v>4</v>
      </c>
      <c r="H15" s="68">
        <f t="shared" si="1"/>
        <v>12</v>
      </c>
      <c r="I15" s="69" t="s">
        <v>237</v>
      </c>
      <c r="J15" s="68" t="s">
        <v>238</v>
      </c>
      <c r="K15" s="68"/>
      <c r="L15" s="68">
        <v>216554</v>
      </c>
      <c r="M15" s="68" t="s">
        <v>263</v>
      </c>
    </row>
    <row r="16" spans="1:14" x14ac:dyDescent="0.3">
      <c r="B16" s="68" t="s">
        <v>264</v>
      </c>
      <c r="C16" s="69">
        <v>1</v>
      </c>
      <c r="D16" s="68">
        <v>8</v>
      </c>
      <c r="E16" s="68">
        <f t="shared" si="0"/>
        <v>8</v>
      </c>
      <c r="F16" s="69">
        <v>1</v>
      </c>
      <c r="G16" s="68">
        <v>6</v>
      </c>
      <c r="H16" s="68">
        <f t="shared" si="1"/>
        <v>6</v>
      </c>
      <c r="I16" s="69" t="s">
        <v>241</v>
      </c>
      <c r="J16" s="68" t="s">
        <v>238</v>
      </c>
      <c r="K16" s="68"/>
      <c r="L16" s="68">
        <v>216565</v>
      </c>
      <c r="M16" s="68" t="s">
        <v>242</v>
      </c>
    </row>
    <row r="17" spans="1:14" x14ac:dyDescent="0.3">
      <c r="B17" s="68" t="s">
        <v>265</v>
      </c>
      <c r="C17" s="69">
        <v>1</v>
      </c>
      <c r="D17" s="68">
        <v>8</v>
      </c>
      <c r="E17" s="68">
        <f t="shared" si="0"/>
        <v>8</v>
      </c>
      <c r="F17" s="69">
        <v>1</v>
      </c>
      <c r="G17" s="68">
        <v>6</v>
      </c>
      <c r="H17" s="68">
        <f t="shared" si="1"/>
        <v>6</v>
      </c>
      <c r="I17" s="69" t="s">
        <v>266</v>
      </c>
      <c r="J17" s="68" t="s">
        <v>238</v>
      </c>
      <c r="K17" s="68"/>
      <c r="L17" s="68" t="s">
        <v>267</v>
      </c>
      <c r="M17" s="68" t="s">
        <v>242</v>
      </c>
    </row>
    <row r="18" spans="1:14" x14ac:dyDescent="0.3">
      <c r="B18" s="68" t="s">
        <v>246</v>
      </c>
      <c r="C18" s="69">
        <v>1</v>
      </c>
      <c r="D18" s="68">
        <v>2</v>
      </c>
      <c r="E18" s="68">
        <f t="shared" si="0"/>
        <v>2</v>
      </c>
      <c r="F18" s="69">
        <v>1</v>
      </c>
      <c r="G18" s="68">
        <v>2</v>
      </c>
      <c r="H18" s="68">
        <f t="shared" si="1"/>
        <v>2</v>
      </c>
      <c r="I18" s="69" t="s">
        <v>247</v>
      </c>
      <c r="J18" s="68" t="s">
        <v>238</v>
      </c>
      <c r="K18" s="68"/>
      <c r="L18" s="68" t="s">
        <v>268</v>
      </c>
      <c r="M18" s="68" t="s">
        <v>152</v>
      </c>
    </row>
    <row r="19" spans="1:14" x14ac:dyDescent="0.3">
      <c r="B19" s="68" t="s">
        <v>250</v>
      </c>
      <c r="C19" s="69">
        <v>1</v>
      </c>
      <c r="D19" s="68">
        <v>4</v>
      </c>
      <c r="E19" s="68">
        <f t="shared" si="0"/>
        <v>4</v>
      </c>
      <c r="F19" s="69">
        <v>1</v>
      </c>
      <c r="G19" s="68">
        <v>3</v>
      </c>
      <c r="H19" s="68">
        <f t="shared" si="1"/>
        <v>3</v>
      </c>
      <c r="I19" s="69" t="s">
        <v>269</v>
      </c>
      <c r="J19" s="68" t="s">
        <v>238</v>
      </c>
      <c r="K19" s="68"/>
      <c r="L19" s="68" t="s">
        <v>270</v>
      </c>
      <c r="M19" s="68" t="s">
        <v>252</v>
      </c>
    </row>
    <row r="20" spans="1:14" x14ac:dyDescent="0.3">
      <c r="B20" s="68" t="s">
        <v>143</v>
      </c>
      <c r="C20" s="69">
        <v>2</v>
      </c>
      <c r="D20" s="68">
        <v>4</v>
      </c>
      <c r="E20" s="68">
        <f t="shared" si="0"/>
        <v>8</v>
      </c>
      <c r="F20" s="69">
        <v>2</v>
      </c>
      <c r="G20" s="68">
        <v>3</v>
      </c>
      <c r="H20" s="68">
        <f t="shared" si="1"/>
        <v>6</v>
      </c>
      <c r="I20" s="69" t="s">
        <v>253</v>
      </c>
      <c r="J20" s="68" t="s">
        <v>238</v>
      </c>
      <c r="K20" s="68"/>
      <c r="L20" s="68" t="s">
        <v>254</v>
      </c>
      <c r="M20" s="68" t="s">
        <v>271</v>
      </c>
    </row>
    <row r="21" spans="1:14" x14ac:dyDescent="0.3">
      <c r="B21" s="68" t="s">
        <v>272</v>
      </c>
      <c r="C21" s="69">
        <v>4</v>
      </c>
      <c r="D21" s="68">
        <v>4</v>
      </c>
      <c r="E21" s="68">
        <f t="shared" si="0"/>
        <v>16</v>
      </c>
      <c r="F21" s="69">
        <v>3</v>
      </c>
      <c r="G21" s="68">
        <v>4</v>
      </c>
      <c r="H21" s="68">
        <f t="shared" si="1"/>
        <v>12</v>
      </c>
      <c r="I21" s="69" t="s">
        <v>273</v>
      </c>
      <c r="J21" s="68" t="s">
        <v>238</v>
      </c>
      <c r="K21" s="68"/>
      <c r="L21" s="68">
        <v>214551</v>
      </c>
      <c r="M21" s="68" t="s">
        <v>274</v>
      </c>
      <c r="N21" s="85" t="s">
        <v>338</v>
      </c>
    </row>
    <row r="22" spans="1:14" x14ac:dyDescent="0.3">
      <c r="B22" s="68" t="s">
        <v>275</v>
      </c>
      <c r="C22" s="69">
        <v>1</v>
      </c>
      <c r="D22" s="68">
        <v>2</v>
      </c>
      <c r="E22" s="68">
        <f t="shared" si="0"/>
        <v>2</v>
      </c>
      <c r="F22" s="69">
        <v>1</v>
      </c>
      <c r="G22" s="68">
        <v>2</v>
      </c>
      <c r="H22" s="68">
        <f t="shared" si="1"/>
        <v>2</v>
      </c>
      <c r="I22" s="69" t="s">
        <v>276</v>
      </c>
      <c r="J22" s="68" t="s">
        <v>238</v>
      </c>
      <c r="K22" s="68"/>
      <c r="L22" s="68">
        <v>214475</v>
      </c>
      <c r="M22" s="68" t="s">
        <v>277</v>
      </c>
    </row>
    <row r="23" spans="1:14" x14ac:dyDescent="0.3">
      <c r="B23" s="68" t="s">
        <v>278</v>
      </c>
      <c r="C23" s="69">
        <v>1</v>
      </c>
      <c r="D23" s="68">
        <v>2</v>
      </c>
      <c r="E23" s="68">
        <f t="shared" si="0"/>
        <v>2</v>
      </c>
      <c r="F23" s="69">
        <v>1</v>
      </c>
      <c r="G23" s="68">
        <v>2</v>
      </c>
      <c r="H23" s="68">
        <f t="shared" si="1"/>
        <v>2</v>
      </c>
      <c r="I23" s="69" t="s">
        <v>276</v>
      </c>
      <c r="J23" s="68" t="s">
        <v>238</v>
      </c>
      <c r="K23" s="68"/>
      <c r="L23" s="68">
        <v>214464</v>
      </c>
      <c r="M23" s="68" t="s">
        <v>277</v>
      </c>
    </row>
    <row r="24" spans="1:14" x14ac:dyDescent="0.3">
      <c r="B24" s="68" t="s">
        <v>279</v>
      </c>
      <c r="C24" s="69">
        <v>1</v>
      </c>
      <c r="D24" s="68">
        <v>2</v>
      </c>
      <c r="E24" s="68">
        <f t="shared" si="0"/>
        <v>2</v>
      </c>
      <c r="F24" s="69">
        <v>1</v>
      </c>
      <c r="G24" s="68">
        <v>2</v>
      </c>
      <c r="H24" s="68">
        <f t="shared" si="1"/>
        <v>2</v>
      </c>
      <c r="I24" s="69" t="s">
        <v>280</v>
      </c>
      <c r="J24" s="70" t="s">
        <v>248</v>
      </c>
      <c r="K24" s="68"/>
      <c r="L24" s="68"/>
      <c r="M24" s="68" t="s">
        <v>277</v>
      </c>
    </row>
    <row r="25" spans="1:14" x14ac:dyDescent="0.3">
      <c r="B25" s="68" t="s">
        <v>281</v>
      </c>
      <c r="C25" s="69">
        <v>1</v>
      </c>
      <c r="D25" s="68">
        <v>2</v>
      </c>
      <c r="E25" s="68">
        <f t="shared" si="0"/>
        <v>2</v>
      </c>
      <c r="F25" s="69">
        <v>1</v>
      </c>
      <c r="G25" s="68">
        <v>2</v>
      </c>
      <c r="H25" s="68">
        <f t="shared" si="1"/>
        <v>2</v>
      </c>
      <c r="I25" s="69" t="s">
        <v>280</v>
      </c>
      <c r="J25" s="70" t="s">
        <v>248</v>
      </c>
      <c r="K25" s="68"/>
      <c r="L25" s="68"/>
      <c r="M25" s="68" t="s">
        <v>277</v>
      </c>
    </row>
    <row r="26" spans="1:14" x14ac:dyDescent="0.3">
      <c r="B26" s="68" t="s">
        <v>282</v>
      </c>
      <c r="C26" s="69">
        <v>1</v>
      </c>
      <c r="D26" s="68">
        <v>2</v>
      </c>
      <c r="E26" s="68">
        <f t="shared" si="0"/>
        <v>2</v>
      </c>
      <c r="F26" s="69">
        <v>1</v>
      </c>
      <c r="G26" s="68">
        <v>2</v>
      </c>
      <c r="H26" s="68">
        <f t="shared" si="1"/>
        <v>2</v>
      </c>
      <c r="I26" s="69" t="s">
        <v>280</v>
      </c>
      <c r="J26" s="68" t="s">
        <v>238</v>
      </c>
      <c r="K26" s="68"/>
      <c r="L26" s="68">
        <v>214419</v>
      </c>
      <c r="M26" s="68" t="s">
        <v>283</v>
      </c>
    </row>
    <row r="27" spans="1:14" x14ac:dyDescent="0.3">
      <c r="B27" s="68" t="s">
        <v>210</v>
      </c>
      <c r="C27" s="69">
        <v>1</v>
      </c>
      <c r="D27" s="68">
        <v>2</v>
      </c>
      <c r="E27" s="68">
        <f t="shared" si="0"/>
        <v>2</v>
      </c>
      <c r="F27" s="69">
        <v>1</v>
      </c>
      <c r="G27" s="68">
        <v>2</v>
      </c>
      <c r="H27" s="68">
        <f t="shared" si="1"/>
        <v>2</v>
      </c>
      <c r="I27" s="69" t="s">
        <v>280</v>
      </c>
      <c r="J27" s="70" t="s">
        <v>248</v>
      </c>
      <c r="K27" s="68"/>
      <c r="L27" s="68"/>
      <c r="M27" s="68" t="s">
        <v>283</v>
      </c>
    </row>
    <row r="28" spans="1:14" hidden="1" x14ac:dyDescent="0.3">
      <c r="B28" s="68"/>
      <c r="C28" s="69"/>
      <c r="D28" s="68"/>
      <c r="E28" s="68"/>
      <c r="F28" s="69"/>
      <c r="G28" s="68"/>
      <c r="H28" s="68"/>
      <c r="I28" s="69"/>
      <c r="J28" s="68"/>
      <c r="K28" s="68"/>
      <c r="L28" s="68"/>
      <c r="M28" s="68"/>
    </row>
    <row r="29" spans="1:14" hidden="1" x14ac:dyDescent="0.3">
      <c r="A29" t="s">
        <v>284</v>
      </c>
      <c r="B29" s="68" t="s">
        <v>151</v>
      </c>
      <c r="C29" s="69">
        <v>4</v>
      </c>
      <c r="D29" s="68">
        <v>4</v>
      </c>
      <c r="E29" s="68">
        <f t="shared" si="0"/>
        <v>16</v>
      </c>
      <c r="F29" s="69">
        <v>3</v>
      </c>
      <c r="G29" s="68">
        <v>4</v>
      </c>
      <c r="H29" s="68">
        <f t="shared" si="1"/>
        <v>12</v>
      </c>
      <c r="I29" s="69" t="s">
        <v>237</v>
      </c>
      <c r="J29" s="68" t="s">
        <v>238</v>
      </c>
      <c r="K29" s="68"/>
      <c r="L29" s="68">
        <v>216562</v>
      </c>
      <c r="M29" s="68" t="s">
        <v>285</v>
      </c>
    </row>
    <row r="30" spans="1:14" hidden="1" x14ac:dyDescent="0.3">
      <c r="B30" s="68" t="s">
        <v>286</v>
      </c>
      <c r="C30" s="69">
        <v>1</v>
      </c>
      <c r="D30" s="68">
        <v>8</v>
      </c>
      <c r="E30" s="68">
        <f t="shared" si="0"/>
        <v>8</v>
      </c>
      <c r="F30" s="69">
        <v>1</v>
      </c>
      <c r="G30" s="68">
        <v>6</v>
      </c>
      <c r="H30" s="68">
        <f t="shared" si="1"/>
        <v>6</v>
      </c>
      <c r="I30" s="69" t="s">
        <v>241</v>
      </c>
      <c r="J30" s="68" t="s">
        <v>238</v>
      </c>
      <c r="K30" s="68"/>
      <c r="L30" s="68">
        <v>216565</v>
      </c>
      <c r="M30" s="68" t="s">
        <v>242</v>
      </c>
    </row>
    <row r="31" spans="1:14" hidden="1" x14ac:dyDescent="0.3">
      <c r="B31" s="68" t="s">
        <v>246</v>
      </c>
      <c r="C31" s="69">
        <v>1</v>
      </c>
      <c r="D31" s="68">
        <v>2</v>
      </c>
      <c r="E31" s="68">
        <f t="shared" si="0"/>
        <v>2</v>
      </c>
      <c r="F31" s="69">
        <v>1</v>
      </c>
      <c r="G31" s="68">
        <v>2</v>
      </c>
      <c r="H31" s="68">
        <f t="shared" si="1"/>
        <v>2</v>
      </c>
      <c r="I31" s="69" t="s">
        <v>247</v>
      </c>
      <c r="J31" s="70" t="s">
        <v>248</v>
      </c>
      <c r="K31" s="68" t="s">
        <v>249</v>
      </c>
      <c r="L31" s="68">
        <v>215770</v>
      </c>
      <c r="M31" s="68" t="s">
        <v>152</v>
      </c>
    </row>
    <row r="32" spans="1:14" hidden="1" x14ac:dyDescent="0.3">
      <c r="B32" s="68" t="s">
        <v>250</v>
      </c>
      <c r="C32" s="69">
        <v>1</v>
      </c>
      <c r="D32" s="68">
        <v>4</v>
      </c>
      <c r="E32" s="68">
        <f t="shared" si="0"/>
        <v>4</v>
      </c>
      <c r="F32" s="69">
        <v>1</v>
      </c>
      <c r="G32" s="68">
        <v>2</v>
      </c>
      <c r="H32" s="68">
        <f t="shared" si="1"/>
        <v>2</v>
      </c>
      <c r="I32" s="69" t="s">
        <v>269</v>
      </c>
      <c r="J32" s="70" t="s">
        <v>248</v>
      </c>
      <c r="K32" s="68"/>
      <c r="L32" s="68"/>
      <c r="M32" s="68" t="s">
        <v>252</v>
      </c>
    </row>
    <row r="33" spans="1:14" hidden="1" x14ac:dyDescent="0.3">
      <c r="B33" s="68" t="s">
        <v>143</v>
      </c>
      <c r="C33" s="69">
        <v>2</v>
      </c>
      <c r="D33" s="68">
        <v>4</v>
      </c>
      <c r="E33" s="68">
        <f t="shared" si="0"/>
        <v>8</v>
      </c>
      <c r="F33" s="69">
        <v>2</v>
      </c>
      <c r="G33" s="68">
        <v>3</v>
      </c>
      <c r="H33" s="68">
        <f t="shared" si="1"/>
        <v>6</v>
      </c>
      <c r="I33" s="69" t="s">
        <v>253</v>
      </c>
      <c r="J33" s="68" t="s">
        <v>238</v>
      </c>
      <c r="K33" s="68"/>
      <c r="L33" s="68" t="s">
        <v>254</v>
      </c>
      <c r="M33" s="68" t="s">
        <v>271</v>
      </c>
    </row>
    <row r="34" spans="1:14" hidden="1" x14ac:dyDescent="0.3">
      <c r="B34" s="68" t="s">
        <v>256</v>
      </c>
      <c r="C34" s="69">
        <v>2</v>
      </c>
      <c r="D34" s="68">
        <v>4</v>
      </c>
      <c r="E34" s="68">
        <f t="shared" si="0"/>
        <v>8</v>
      </c>
      <c r="F34" s="69">
        <v>2</v>
      </c>
      <c r="G34" s="68">
        <v>3</v>
      </c>
      <c r="H34" s="68">
        <f t="shared" si="1"/>
        <v>6</v>
      </c>
      <c r="I34" s="69" t="s">
        <v>257</v>
      </c>
      <c r="J34" s="68" t="s">
        <v>238</v>
      </c>
      <c r="K34" s="68"/>
      <c r="L34" s="68">
        <v>214588</v>
      </c>
      <c r="M34" s="68" t="s">
        <v>258</v>
      </c>
    </row>
    <row r="35" spans="1:14" x14ac:dyDescent="0.3">
      <c r="B35" s="68"/>
      <c r="C35" s="69"/>
      <c r="D35" s="68"/>
      <c r="E35" s="68"/>
      <c r="F35" s="69"/>
      <c r="G35" s="68"/>
      <c r="H35" s="68"/>
      <c r="I35" s="69"/>
      <c r="J35" s="68"/>
      <c r="K35" s="68"/>
      <c r="L35" s="68"/>
      <c r="M35" s="68"/>
    </row>
    <row r="36" spans="1:14" x14ac:dyDescent="0.3">
      <c r="A36" t="s">
        <v>287</v>
      </c>
      <c r="B36" s="68" t="s">
        <v>208</v>
      </c>
      <c r="C36" s="69">
        <v>2</v>
      </c>
      <c r="D36" s="68">
        <v>4</v>
      </c>
      <c r="E36" s="68">
        <f t="shared" si="0"/>
        <v>8</v>
      </c>
      <c r="F36" s="69">
        <v>1</v>
      </c>
      <c r="G36" s="68">
        <v>4</v>
      </c>
      <c r="H36" s="68">
        <f t="shared" si="1"/>
        <v>4</v>
      </c>
      <c r="I36" s="69" t="s">
        <v>288</v>
      </c>
      <c r="J36" s="68" t="s">
        <v>238</v>
      </c>
      <c r="K36" s="71" t="s">
        <v>289</v>
      </c>
      <c r="L36" s="68">
        <v>214341</v>
      </c>
      <c r="M36" s="68" t="s">
        <v>290</v>
      </c>
    </row>
    <row r="37" spans="1:14" x14ac:dyDescent="0.3">
      <c r="B37" s="68" t="s">
        <v>209</v>
      </c>
      <c r="C37" s="69">
        <v>3</v>
      </c>
      <c r="D37" s="68">
        <v>4</v>
      </c>
      <c r="E37" s="68">
        <f t="shared" si="0"/>
        <v>12</v>
      </c>
      <c r="F37" s="69">
        <v>2</v>
      </c>
      <c r="G37" s="68">
        <v>4</v>
      </c>
      <c r="H37" s="68">
        <f t="shared" si="1"/>
        <v>8</v>
      </c>
      <c r="I37" s="69" t="s">
        <v>291</v>
      </c>
      <c r="J37" s="68" t="s">
        <v>238</v>
      </c>
      <c r="K37" s="68"/>
      <c r="L37" s="68">
        <v>215595</v>
      </c>
      <c r="M37" s="68" t="s">
        <v>290</v>
      </c>
    </row>
    <row r="38" spans="1:14" x14ac:dyDescent="0.3">
      <c r="B38" s="68" t="s">
        <v>150</v>
      </c>
      <c r="C38" s="69">
        <v>1</v>
      </c>
      <c r="D38" s="68">
        <v>4</v>
      </c>
      <c r="E38" s="68">
        <f t="shared" si="0"/>
        <v>4</v>
      </c>
      <c r="F38" s="69">
        <v>1</v>
      </c>
      <c r="G38" s="68">
        <v>2</v>
      </c>
      <c r="H38" s="68">
        <f t="shared" si="1"/>
        <v>2</v>
      </c>
      <c r="I38" s="69" t="s">
        <v>292</v>
      </c>
      <c r="J38" s="68" t="s">
        <v>238</v>
      </c>
      <c r="K38" s="68"/>
      <c r="L38" s="68">
        <v>214347</v>
      </c>
      <c r="M38" s="68" t="s">
        <v>293</v>
      </c>
    </row>
    <row r="39" spans="1:14" x14ac:dyDescent="0.3">
      <c r="B39" s="68" t="s">
        <v>294</v>
      </c>
      <c r="C39" s="69">
        <v>2</v>
      </c>
      <c r="D39" s="68">
        <v>4</v>
      </c>
      <c r="E39" s="68">
        <f t="shared" si="0"/>
        <v>8</v>
      </c>
      <c r="F39" s="69">
        <v>1</v>
      </c>
      <c r="G39" s="68">
        <v>3</v>
      </c>
      <c r="H39" s="68">
        <f t="shared" si="1"/>
        <v>3</v>
      </c>
      <c r="I39" s="69" t="s">
        <v>295</v>
      </c>
      <c r="J39" s="68" t="s">
        <v>238</v>
      </c>
      <c r="K39" s="68" t="s">
        <v>289</v>
      </c>
      <c r="L39" s="68">
        <v>214329</v>
      </c>
      <c r="M39" s="68" t="s">
        <v>296</v>
      </c>
    </row>
    <row r="40" spans="1:14" x14ac:dyDescent="0.3">
      <c r="B40" s="68" t="s">
        <v>148</v>
      </c>
      <c r="C40" s="69">
        <v>1</v>
      </c>
      <c r="D40" s="68">
        <v>3</v>
      </c>
      <c r="E40" s="68">
        <f t="shared" si="0"/>
        <v>3</v>
      </c>
      <c r="F40" s="69">
        <v>1</v>
      </c>
      <c r="G40" s="68">
        <v>3</v>
      </c>
      <c r="H40" s="68">
        <f t="shared" si="1"/>
        <v>3</v>
      </c>
      <c r="I40" s="69" t="s">
        <v>297</v>
      </c>
      <c r="J40" s="70" t="s">
        <v>248</v>
      </c>
      <c r="K40" s="68" t="s">
        <v>298</v>
      </c>
      <c r="L40" s="68">
        <v>214687</v>
      </c>
      <c r="M40" s="68" t="s">
        <v>299</v>
      </c>
    </row>
    <row r="41" spans="1:14" x14ac:dyDescent="0.3">
      <c r="A41" s="72" t="s">
        <v>300</v>
      </c>
      <c r="B41" s="68"/>
      <c r="C41" s="73"/>
      <c r="D41" s="68"/>
      <c r="E41" s="68"/>
      <c r="F41" s="73"/>
      <c r="G41" s="68"/>
      <c r="H41" s="68"/>
      <c r="I41" s="73"/>
      <c r="J41" s="71"/>
      <c r="K41" s="68"/>
      <c r="L41" s="68"/>
      <c r="M41" s="68"/>
    </row>
    <row r="42" spans="1:14" x14ac:dyDescent="0.3">
      <c r="A42" s="74" t="s">
        <v>301</v>
      </c>
      <c r="B42" s="75"/>
      <c r="C42" s="68"/>
      <c r="D42" s="68"/>
      <c r="E42" s="68"/>
      <c r="F42" s="68"/>
      <c r="G42" s="68"/>
      <c r="H42" s="68"/>
      <c r="N42" s="86" t="s">
        <v>339</v>
      </c>
    </row>
    <row r="43" spans="1:14" x14ac:dyDescent="0.3">
      <c r="A43" t="s">
        <v>302</v>
      </c>
      <c r="B43" s="76" t="s">
        <v>303</v>
      </c>
      <c r="C43" s="77">
        <v>4</v>
      </c>
      <c r="D43" s="68">
        <v>8</v>
      </c>
      <c r="E43" s="78">
        <f t="shared" ref="E43:E63" si="2">C43*D43</f>
        <v>32</v>
      </c>
      <c r="F43" s="77">
        <v>4</v>
      </c>
      <c r="G43" s="68">
        <v>8</v>
      </c>
      <c r="H43" s="78">
        <f t="shared" ref="H43:H47" si="3">F43*G43</f>
        <v>32</v>
      </c>
      <c r="I43" s="48" t="s">
        <v>304</v>
      </c>
      <c r="J43" s="71" t="s">
        <v>238</v>
      </c>
      <c r="L43" s="68">
        <v>214840</v>
      </c>
      <c r="M43" s="68" t="s">
        <v>305</v>
      </c>
    </row>
    <row r="44" spans="1:14" x14ac:dyDescent="0.3">
      <c r="B44" s="76" t="s">
        <v>306</v>
      </c>
      <c r="C44" s="77">
        <v>4</v>
      </c>
      <c r="D44" s="68">
        <v>8</v>
      </c>
      <c r="E44" s="78">
        <f t="shared" si="2"/>
        <v>32</v>
      </c>
      <c r="F44" s="77">
        <v>4</v>
      </c>
      <c r="G44" s="68">
        <v>8</v>
      </c>
      <c r="H44" s="78">
        <f t="shared" si="3"/>
        <v>32</v>
      </c>
      <c r="I44" s="48" t="s">
        <v>307</v>
      </c>
      <c r="J44" s="71" t="s">
        <v>238</v>
      </c>
      <c r="L44" t="s">
        <v>308</v>
      </c>
      <c r="M44" s="68" t="s">
        <v>309</v>
      </c>
      <c r="N44" t="s">
        <v>310</v>
      </c>
    </row>
    <row r="45" spans="1:14" x14ac:dyDescent="0.3">
      <c r="B45" s="76" t="s">
        <v>211</v>
      </c>
      <c r="C45" s="77">
        <v>1</v>
      </c>
      <c r="D45" s="68">
        <v>8</v>
      </c>
      <c r="E45" s="78">
        <f t="shared" si="2"/>
        <v>8</v>
      </c>
      <c r="F45" s="77">
        <v>1</v>
      </c>
      <c r="G45" s="68">
        <v>8</v>
      </c>
      <c r="H45" s="78">
        <f t="shared" si="3"/>
        <v>8</v>
      </c>
      <c r="I45" s="48" t="s">
        <v>311</v>
      </c>
      <c r="J45" s="71" t="s">
        <v>238</v>
      </c>
      <c r="L45" s="68">
        <v>214835</v>
      </c>
      <c r="M45" s="68" t="s">
        <v>312</v>
      </c>
    </row>
    <row r="46" spans="1:14" x14ac:dyDescent="0.3">
      <c r="B46" s="76" t="s">
        <v>212</v>
      </c>
      <c r="C46" s="77">
        <v>2</v>
      </c>
      <c r="D46" s="68">
        <v>8</v>
      </c>
      <c r="E46" s="78">
        <f t="shared" si="2"/>
        <v>16</v>
      </c>
      <c r="F46" s="77">
        <v>2</v>
      </c>
      <c r="G46" s="68">
        <v>8</v>
      </c>
      <c r="H46" s="78">
        <f t="shared" si="3"/>
        <v>16</v>
      </c>
      <c r="I46" s="48" t="s">
        <v>313</v>
      </c>
      <c r="J46" s="68" t="s">
        <v>238</v>
      </c>
      <c r="L46" t="s">
        <v>314</v>
      </c>
      <c r="M46" s="68" t="s">
        <v>312</v>
      </c>
    </row>
    <row r="47" spans="1:14" x14ac:dyDescent="0.3">
      <c r="B47" s="76" t="s">
        <v>213</v>
      </c>
      <c r="C47" s="77">
        <v>2</v>
      </c>
      <c r="D47" s="68">
        <v>16</v>
      </c>
      <c r="E47" s="78">
        <f t="shared" si="2"/>
        <v>32</v>
      </c>
      <c r="F47" s="77">
        <v>2</v>
      </c>
      <c r="G47" s="68">
        <v>16</v>
      </c>
      <c r="H47" s="78">
        <f t="shared" si="3"/>
        <v>32</v>
      </c>
      <c r="J47" s="84" t="s">
        <v>315</v>
      </c>
      <c r="M47" s="68" t="s">
        <v>312</v>
      </c>
    </row>
    <row r="48" spans="1:14" x14ac:dyDescent="0.3">
      <c r="A48" s="79" t="s">
        <v>316</v>
      </c>
      <c r="B48" s="80"/>
      <c r="L48" s="68"/>
    </row>
    <row r="49" spans="1:13" x14ac:dyDescent="0.3">
      <c r="A49" t="s">
        <v>236</v>
      </c>
      <c r="B49" s="76" t="s">
        <v>151</v>
      </c>
      <c r="C49" s="77">
        <v>2</v>
      </c>
      <c r="D49" s="73">
        <v>1</v>
      </c>
      <c r="E49" s="78">
        <f t="shared" si="2"/>
        <v>2</v>
      </c>
      <c r="F49" s="77">
        <v>2</v>
      </c>
      <c r="G49" s="73">
        <v>1</v>
      </c>
      <c r="H49" s="78">
        <f t="shared" ref="H49:H63" si="4">F49*G49</f>
        <v>2</v>
      </c>
      <c r="J49" s="68" t="s">
        <v>238</v>
      </c>
      <c r="L49" s="68">
        <v>216515</v>
      </c>
      <c r="M49" s="68" t="s">
        <v>317</v>
      </c>
    </row>
    <row r="50" spans="1:13" x14ac:dyDescent="0.3">
      <c r="B50" s="76" t="s">
        <v>318</v>
      </c>
      <c r="C50" s="77">
        <v>2</v>
      </c>
      <c r="D50" s="73">
        <v>1</v>
      </c>
      <c r="E50" s="78">
        <f t="shared" si="2"/>
        <v>2</v>
      </c>
      <c r="F50" s="77">
        <v>2</v>
      </c>
      <c r="G50" s="73">
        <v>1</v>
      </c>
      <c r="H50" s="78">
        <f t="shared" si="4"/>
        <v>2</v>
      </c>
      <c r="J50" s="68" t="s">
        <v>238</v>
      </c>
      <c r="L50" s="68">
        <v>216545</v>
      </c>
      <c r="M50" s="68" t="s">
        <v>319</v>
      </c>
    </row>
    <row r="51" spans="1:13" x14ac:dyDescent="0.3">
      <c r="B51" s="76" t="s">
        <v>23</v>
      </c>
      <c r="C51" s="77">
        <v>1</v>
      </c>
      <c r="D51" s="73">
        <v>3</v>
      </c>
      <c r="E51" s="78">
        <f t="shared" si="2"/>
        <v>3</v>
      </c>
      <c r="F51" s="77">
        <v>1</v>
      </c>
      <c r="G51" s="73">
        <v>3</v>
      </c>
      <c r="H51" s="78">
        <f t="shared" si="4"/>
        <v>3</v>
      </c>
      <c r="J51" s="68" t="s">
        <v>238</v>
      </c>
      <c r="L51" s="68">
        <v>215823</v>
      </c>
      <c r="M51" s="68" t="s">
        <v>320</v>
      </c>
    </row>
    <row r="52" spans="1:13" x14ac:dyDescent="0.3">
      <c r="B52" s="76" t="s">
        <v>321</v>
      </c>
      <c r="C52" s="81">
        <v>1</v>
      </c>
      <c r="D52" s="82">
        <v>1</v>
      </c>
      <c r="E52" s="83">
        <f t="shared" si="2"/>
        <v>1</v>
      </c>
      <c r="F52" s="77">
        <v>1</v>
      </c>
      <c r="G52" s="73">
        <v>1</v>
      </c>
      <c r="H52" s="78">
        <f t="shared" si="4"/>
        <v>1</v>
      </c>
      <c r="J52" s="68" t="s">
        <v>238</v>
      </c>
      <c r="L52" s="68">
        <v>215942</v>
      </c>
      <c r="M52" s="68" t="s">
        <v>322</v>
      </c>
    </row>
    <row r="53" spans="1:13" x14ac:dyDescent="0.3">
      <c r="B53" s="76" t="s">
        <v>323</v>
      </c>
      <c r="C53" s="81">
        <v>1</v>
      </c>
      <c r="D53" s="82">
        <v>1</v>
      </c>
      <c r="E53" s="83">
        <v>1</v>
      </c>
      <c r="F53" s="77"/>
      <c r="G53" s="73"/>
      <c r="H53" s="78"/>
      <c r="J53" s="68" t="s">
        <v>238</v>
      </c>
      <c r="L53" s="68">
        <v>214823</v>
      </c>
      <c r="M53" s="68" t="s">
        <v>322</v>
      </c>
    </row>
    <row r="54" spans="1:13" x14ac:dyDescent="0.3">
      <c r="A54" t="s">
        <v>262</v>
      </c>
      <c r="B54" s="76" t="s">
        <v>151</v>
      </c>
      <c r="C54" s="77">
        <v>2</v>
      </c>
      <c r="D54" s="73">
        <v>1</v>
      </c>
      <c r="E54" s="78">
        <f t="shared" si="2"/>
        <v>2</v>
      </c>
      <c r="F54" s="77">
        <v>2</v>
      </c>
      <c r="G54" s="73">
        <v>1</v>
      </c>
      <c r="H54" s="78">
        <f t="shared" si="4"/>
        <v>2</v>
      </c>
      <c r="J54" s="68" t="s">
        <v>238</v>
      </c>
      <c r="L54" s="68">
        <v>216552</v>
      </c>
      <c r="M54" s="68" t="s">
        <v>317</v>
      </c>
    </row>
    <row r="55" spans="1:13" x14ac:dyDescent="0.3">
      <c r="B55" s="76" t="s">
        <v>143</v>
      </c>
      <c r="C55" s="77">
        <v>1</v>
      </c>
      <c r="D55" s="73">
        <v>3</v>
      </c>
      <c r="E55" s="78">
        <f t="shared" si="2"/>
        <v>3</v>
      </c>
      <c r="F55" s="77">
        <v>1</v>
      </c>
      <c r="G55" s="73">
        <v>3</v>
      </c>
      <c r="H55" s="78">
        <f t="shared" si="4"/>
        <v>3</v>
      </c>
      <c r="J55" s="68" t="s">
        <v>238</v>
      </c>
      <c r="L55" s="68">
        <v>215961</v>
      </c>
      <c r="M55" s="68" t="s">
        <v>324</v>
      </c>
    </row>
    <row r="56" spans="1:13" x14ac:dyDescent="0.3">
      <c r="B56" s="76" t="s">
        <v>321</v>
      </c>
      <c r="C56" s="81">
        <v>1</v>
      </c>
      <c r="D56" s="82">
        <v>1</v>
      </c>
      <c r="E56" s="83">
        <f t="shared" si="2"/>
        <v>1</v>
      </c>
      <c r="F56" s="77">
        <v>1</v>
      </c>
      <c r="G56" s="73">
        <v>1</v>
      </c>
      <c r="H56" s="78">
        <f t="shared" si="4"/>
        <v>1</v>
      </c>
      <c r="J56" s="68" t="s">
        <v>238</v>
      </c>
      <c r="L56" s="68">
        <v>215942</v>
      </c>
      <c r="M56" s="68" t="s">
        <v>325</v>
      </c>
    </row>
    <row r="57" spans="1:13" x14ac:dyDescent="0.3">
      <c r="B57" s="76" t="s">
        <v>326</v>
      </c>
      <c r="C57" s="77">
        <v>1</v>
      </c>
      <c r="D57" s="73">
        <v>1</v>
      </c>
      <c r="E57" s="78">
        <f t="shared" si="2"/>
        <v>1</v>
      </c>
      <c r="F57" s="77">
        <v>1</v>
      </c>
      <c r="G57" s="73">
        <v>1</v>
      </c>
      <c r="H57" s="78">
        <f t="shared" si="4"/>
        <v>1</v>
      </c>
      <c r="J57" s="68" t="s">
        <v>238</v>
      </c>
      <c r="L57" s="68">
        <v>214828</v>
      </c>
      <c r="M57" s="68" t="s">
        <v>327</v>
      </c>
    </row>
    <row r="58" spans="1:13" x14ac:dyDescent="0.3">
      <c r="B58" s="76" t="s">
        <v>256</v>
      </c>
      <c r="C58" s="77">
        <v>1</v>
      </c>
      <c r="D58" s="73">
        <v>2</v>
      </c>
      <c r="E58" s="78">
        <f t="shared" si="2"/>
        <v>2</v>
      </c>
      <c r="F58" s="77">
        <v>1</v>
      </c>
      <c r="G58" s="73">
        <v>2</v>
      </c>
      <c r="H58" s="78">
        <f t="shared" si="4"/>
        <v>2</v>
      </c>
      <c r="J58" s="68" t="s">
        <v>238</v>
      </c>
      <c r="L58" s="68" t="s">
        <v>328</v>
      </c>
      <c r="M58" s="68" t="s">
        <v>329</v>
      </c>
    </row>
    <row r="59" spans="1:13" x14ac:dyDescent="0.3">
      <c r="A59" t="s">
        <v>287</v>
      </c>
      <c r="B59" s="76" t="s">
        <v>330</v>
      </c>
      <c r="C59" s="77">
        <v>2</v>
      </c>
      <c r="D59" s="73">
        <v>1</v>
      </c>
      <c r="E59" s="78">
        <f t="shared" si="2"/>
        <v>2</v>
      </c>
      <c r="F59" s="77">
        <v>2</v>
      </c>
      <c r="G59" s="73">
        <v>1</v>
      </c>
      <c r="H59" s="78">
        <f t="shared" si="4"/>
        <v>2</v>
      </c>
      <c r="J59" s="68" t="s">
        <v>238</v>
      </c>
      <c r="L59" s="68">
        <v>214338</v>
      </c>
      <c r="M59" s="68" t="s">
        <v>290</v>
      </c>
    </row>
    <row r="60" spans="1:13" x14ac:dyDescent="0.3">
      <c r="A60" t="s">
        <v>331</v>
      </c>
      <c r="B60" s="76" t="s">
        <v>206</v>
      </c>
      <c r="C60" s="77">
        <v>1</v>
      </c>
      <c r="D60" s="73">
        <v>2</v>
      </c>
      <c r="E60" s="78">
        <f t="shared" si="2"/>
        <v>2</v>
      </c>
      <c r="F60" s="77">
        <v>1</v>
      </c>
      <c r="G60" s="73">
        <v>1.5</v>
      </c>
      <c r="H60" s="78">
        <f t="shared" si="4"/>
        <v>1.5</v>
      </c>
      <c r="J60" s="68" t="s">
        <v>238</v>
      </c>
      <c r="L60" s="68">
        <v>214337</v>
      </c>
      <c r="M60" s="68" t="s">
        <v>332</v>
      </c>
    </row>
    <row r="61" spans="1:13" x14ac:dyDescent="0.3">
      <c r="A61" t="s">
        <v>333</v>
      </c>
      <c r="B61" s="76" t="s">
        <v>209</v>
      </c>
      <c r="C61" s="77">
        <v>4</v>
      </c>
      <c r="D61" s="73">
        <v>1</v>
      </c>
      <c r="E61" s="78">
        <f t="shared" si="2"/>
        <v>4</v>
      </c>
      <c r="F61" s="77">
        <v>4</v>
      </c>
      <c r="G61" s="73">
        <v>1</v>
      </c>
      <c r="H61" s="78">
        <f t="shared" si="4"/>
        <v>4</v>
      </c>
      <c r="J61" s="68" t="s">
        <v>238</v>
      </c>
      <c r="L61" s="68">
        <v>215600</v>
      </c>
      <c r="M61" s="68" t="s">
        <v>290</v>
      </c>
    </row>
    <row r="62" spans="1:13" x14ac:dyDescent="0.3">
      <c r="B62" s="76" t="s">
        <v>207</v>
      </c>
      <c r="C62" s="77">
        <v>1</v>
      </c>
      <c r="D62" s="73">
        <v>1.5</v>
      </c>
      <c r="E62" s="78">
        <f t="shared" si="2"/>
        <v>1.5</v>
      </c>
      <c r="F62" s="77">
        <v>1</v>
      </c>
      <c r="G62" s="73">
        <v>1.5</v>
      </c>
      <c r="H62" s="78">
        <f t="shared" si="4"/>
        <v>1.5</v>
      </c>
      <c r="J62" s="68" t="s">
        <v>238</v>
      </c>
      <c r="L62" s="68">
        <v>216567</v>
      </c>
      <c r="M62" s="68" t="s">
        <v>332</v>
      </c>
    </row>
    <row r="63" spans="1:13" x14ac:dyDescent="0.3">
      <c r="B63" s="76" t="s">
        <v>32</v>
      </c>
      <c r="C63" s="77">
        <v>1</v>
      </c>
      <c r="D63" s="73">
        <v>1</v>
      </c>
      <c r="E63" s="78">
        <f t="shared" si="2"/>
        <v>1</v>
      </c>
      <c r="F63" s="77">
        <v>1</v>
      </c>
      <c r="G63" s="73">
        <v>1</v>
      </c>
      <c r="H63" s="78">
        <f t="shared" si="4"/>
        <v>1</v>
      </c>
      <c r="J63" s="68" t="s">
        <v>238</v>
      </c>
      <c r="L63" s="68" t="s">
        <v>334</v>
      </c>
      <c r="M63" s="68" t="s">
        <v>335</v>
      </c>
    </row>
    <row r="64" spans="1:13" x14ac:dyDescent="0.3">
      <c r="A64" s="72" t="s">
        <v>336</v>
      </c>
    </row>
  </sheetData>
  <mergeCells count="1">
    <mergeCell ref="A1:M1"/>
  </mergeCells>
  <hyperlinks>
    <hyperlink ref="A64" r:id="rId1" display="Example of start up list: \\na.interbrew.net\dfscanada\LDN02\SharedData\LBO_Applications\London_Packaging_Hourly\Crew Startup Cleanup and OT lists\Rolling Rock Crew\Startup\Two Lines\2017 Start Ups\Two lines\5 - May 2017\Line 1 &amp;4 Startup May 1st.docx" xr:uid="{00000000-0004-0000-0200-000000000000}"/>
    <hyperlink ref="A41" r:id="rId2" display="Example of EOW clean up list: \\na.interbrew.net\dfscanada\LDN02\SharedData\LBO_Applications\London_Packaging_Hourly\Crew Startup Cleanup and OT lists\Bud\Cleanups\2017\Bud Cleanup Lines 1&amp;4  Feb 17 2017 .docx" xr:uid="{00000000-0004-0000-0200-000001000000}"/>
  </hyperlinks>
  <pageMargins left="0.7" right="0.7" top="0.75" bottom="0.75" header="0.3" footer="0.3"/>
  <pageSetup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 OT</vt:lpstr>
      <vt:lpstr>Look Up</vt:lpstr>
      <vt:lpstr>Cleaning_Startup_Ref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dcterms:created xsi:type="dcterms:W3CDTF">2014-12-10T14:12:37Z</dcterms:created>
  <dcterms:modified xsi:type="dcterms:W3CDTF">2022-09-12T22:59:29Z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ca423d60-4a81-48a9-b3d4-f91f2a8b968e</vt:lpwstr>
  </property>
  <property fmtid="{D5CDD505-2E9C-101B-9397-08002B2CF9AE}" pid="3" name="ABClassification">
    <vt:lpwstr>Confidential</vt:lpwstr>
  </property>
</Properties>
</file>