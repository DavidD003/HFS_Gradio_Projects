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 userName="David D." algorithmName="SHA-512" hashValue="SnIz5rJIrH65Fv6kiDKtpTC+WNI0NyFozRqQ7n4z0fTPhh8TRbBVjXgwABDu0FYYpBz/JPzRVRQpoxpnqsrcBg==" saltValue="mV7U1QaATfouLBtsUmlch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0001_{7004948C-2861-4BA6-8AA2-40B8BFD9C38D}" xr6:coauthVersionLast="47" xr6:coauthVersionMax="47" xr10:uidLastSave="{00000000-0000-0000-0000-000000000000}"/>
  <bookViews>
    <workbookView xWindow="29145" yWindow="1395" windowWidth="23790" windowHeight="14085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OT'!$A$2:$DV$5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<sst xmlns="http://schemas.openxmlformats.org/spreadsheetml/2006/main" count="849" uniqueCount="507">
  <si>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</si>
  <si>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</si>
  <si>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</si>
  <si>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</si>
  <si>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</si>
  <si>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</si>
  <si>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</si>
  <si>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</si>
  <si>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</si>
  <si>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</si>
  <si>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</si>
  <si>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</si>
  <si>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</si>
  <si>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</si>
  <si>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</si>
  <si>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</si>
  <si>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</si>
  <si>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</si>
  <si>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</si>
  <si>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</si>
  <si>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</si>
  <si>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</si>
  <si>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</si>
  <si>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</si>
  <si>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</si>
  <si>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</si>
  <si>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</si>
  <si>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</si>
  <si>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</si>
  <si>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</si>
  <si>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</si>
  <si>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</si>
  <si>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</si>
  <si>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</si>
  <si>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</si>
  <si>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</si>
  <si>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</si>
  <si>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</si>
  <si>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</si>
  <si>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</si>
  <si>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</si>
  <si>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</si>
  <si>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</si>
  <si>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</si>
  <si>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</si>
  <si>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</si>
  <si>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</si>
  <si>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</si>
  <si>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</si>
  <si>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</si>
  <si>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</si>
  <si>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</si>
  <si>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</si>
  <si>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</si>
  <si>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</si>
  <si>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</si>
  <si>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</si>
  <si>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</si>
  <si>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</si>
  <si>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</si>
  <si>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</si>
  <si>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</si>
  <si>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</si>
  <si>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</si>
  <si>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</si>
  <si>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</si>
  <si>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</si>
  <si>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</si>
  <si>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</si>
  <si>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</si>
  <si>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</si>
  <si>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</si>
  <si>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</si>
  <si>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</si>
  <si>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</si>
  <si>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</si>
  <si>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</si>
  <si>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</si>
  <si>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</si>
  <si>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</si>
  <si>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</si>
  <si>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</si>
  <si>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</si>
  <si>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</si>
  <si>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</si>
  <si>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</si>
  <si>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</si>
  <si>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</si>
  <si>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</si>
  <si>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</si>
  <si>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</si>
  <si>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</si>
  <si>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</si>
  <si>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</si>
  <si>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</si>
  <si>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</si>
  <si>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</si>
  <si>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</si>
  <si>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</si>
  <si>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</si>
  <si>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</si>
  <si>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</si>
  <si>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</si>
  <si>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</si>
  <si>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</si>
  <si>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</si>
  <si>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</si>
  <si>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</si>
  <si>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</si>
  <si>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</si>
  <si>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</si>
  <si>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</si>
  <si>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</si>
  <si>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</si>
  <si>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</si>
  <si>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</si>
  <si>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</si>
  <si>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</si>
  <si>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</si>
  <si>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</si>
  <si>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</si>
  <si>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</si>
  <si>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</si>
  <si>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</si>
  <si>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</si>
  <si>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</si>
  <si>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</si>
  <si>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</si>
  <si>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</si>
  <si>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</si>
  <si>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</si>
  <si>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</si>
  <si>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</si>
  <si>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</si>
  <si>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</si>
  <si>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</si>
  <si>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</si>
  <si>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</si>
  <si>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</si>
  <si>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</si>
  <si>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</si>
  <si>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</si>
  <si>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</si>
  <si>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</si>
  <si>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</si>
  <si>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</si>
  <si>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</si>
  <si>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</si>
  <si>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</si>
  <si>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</si>
  <si>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</si>
  <si>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</si>
  <si>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</si>
  <si>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</si>
  <si>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</si>
  <si>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</si>
  <si>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</si>
  <si>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</si>
  <si>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</si>
  <si>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</si>
  <si>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</si>
  <si>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</si>
  <si>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</si>
  <si>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</si>
  <si>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</si>
  <si>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</si>
  <si>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</si>
  <si>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</si>
  <si>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</si>
  <si>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</si>
  <si>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</si>
  <si>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</si>
  <si>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</si>
  <si>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</si>
  <si>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</si>
  <si>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</si>
  <si>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</si>
  <si>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</si>
  <si>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</si>
  <si>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</si>
  <si>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</si>
  <si>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</si>
  <si>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</si>
  <si>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</si>
  <si>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</si>
  <si>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</si>
  <si>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</si>
  <si>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</si>
  <si>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</si>
  <si>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</si>
  <si>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</si>
  <si>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</si>
  <si>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</si>
  <si>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</si>
  <si>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</si>
  <si>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</si>
  <si>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</si>
  <si>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</si>
  <si>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</si>
  <si>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</si>
  <si>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</si>
  <si>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</si>
  <si>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</si>
  <si>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</si>
  <si>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</si>
  <si>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</si>
  <si>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</si>
  <si>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</si>
  <si>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</si>
  <si>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</si>
  <si>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</si>
  <si>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</si>
  <si>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</si>
  <si>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</si>
  <si>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</si>
  <si>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</si>
  <si>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</si>
  <si>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</si>
  <si>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</si>
  <si>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</si>
  <si>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</si>
  <si>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</si>
  <si>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</si>
  <si>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</si>
  <si>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</si>
  <si>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</si>
  <si>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</si>
  <si>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</si>
  <si>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</si>
  <si>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</si>
  <si>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</si>
  <si>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</si>
  <si>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</si>
  <si>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</si>
  <si>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</si>
  <si>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</si>
  <si>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</si>
  <si>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</si>
  <si>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</si>
  <si>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</si>
  <si>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</si>
  <si>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</si>
  <si>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</si>
  <si>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</si>
  <si>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</si>
  <si>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</si>
  <si>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</si>
  <si>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</si>
  <si>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</si>
  <si>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</si>
  <si>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</si>
  <si>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</si>
  <si>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</si>
  <si>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</si>
  <si>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</si>
  <si>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</si>
  <si>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</si>
  <si>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</si>
  <si>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</si>
  <si>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</si>
  <si>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</si>
  <si>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</si>
  <si>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</si>
  <si>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</si>
  <si>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</si>
  <si>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</si>
  <si>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</si>
  <si>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</si>
  <si>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</si>
  <si>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</si>
  <si>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</si>
  <si>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</si>
  <si>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</si>
  <si>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</si>
  <si>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</si>
  <si>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</si>
  <si>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</si>
  <si>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</si>
  <si>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</si>
  <si>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</si>
  <si>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</si>
  <si>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</si>
  <si>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</si>
  <si>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</si>
  <si>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</si>
  <si>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</si>
  <si>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</si>
  <si>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</si>
  <si>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</si>
  <si>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</si>
  <si>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</si>
  <si>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</si>
  <si>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</si>
  <si>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</si>
  <si>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</si>
  <si>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</si>
  <si>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</si>
  <si>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</si>
  <si>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</si>
  <si>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</si>
  <si>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</si>
  <si>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</si>
  <si>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</si>
  <si>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</si>
  <si>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</si>
  <si>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</si>
  <si>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</si>
  <si>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</si>
  <si>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</si>
  <si>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</si>
  <si>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</si>
  <si>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</si>
  <si>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</si>
  <si>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</si>
  <si>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</si>
  <si>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</si>
  <si>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</si>
  <si>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</si>
  <si>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</si>
  <si>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</si>
  <si>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</si>
  <si>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</si>
  <si>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</si>
  <si>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</si>
  <si>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</si>
  <si>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</si>
  <si>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</si>
  <si>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</si>
  <si>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</si>
  <si>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</si>
  <si>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</si>
  <si>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</si>
  <si>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</si>
  <si>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</si>
  <si>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</si>
  <si>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</si>
  <si>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</si>
  <si>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</si>
  <si>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</si>
  <si>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</si>
  <si>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</si>
  <si>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</si>
  <si>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</si>
  <si>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</si>
  <si>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</si>
  <si>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</si>
  <si>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</si>
  <si>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</si>
  <si>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</si>
  <si>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</si>
  <si>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</si>
  <si>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</si>
  <si>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Jason</t>
  </si>
  <si>
    <t>GARDINER</t>
  </si>
  <si>
    <t>Keenan</t>
  </si>
  <si>
    <t>HILL</t>
  </si>
  <si>
    <t>ISMAIL</t>
  </si>
  <si>
    <t>Ashley</t>
  </si>
  <si>
    <t>MCINTYRE</t>
  </si>
  <si>
    <t>Connor</t>
  </si>
  <si>
    <t>Bill</t>
  </si>
  <si>
    <t>Sackrider</t>
  </si>
  <si>
    <t>Christodoulou</t>
  </si>
  <si>
    <t>Rawlings</t>
  </si>
  <si>
    <t>Variopac</t>
  </si>
  <si>
    <t>GEHAN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</si>
  <si>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</si>
  <si>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</si>
  <si>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</si>
  <si>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</si>
  <si>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</si>
  <si>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</si>
  <si>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</si>
  <si>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</si>
  <si>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</si>
  <si>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</si>
  <si>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</si>
  <si>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</si>
  <si>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</si>
  <si>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</si>
  <si>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</si>
  <si>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</si>
  <si>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</si>
  <si>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</si>
  <si>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</si>
  <si>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</si>
  <si>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</si>
  <si>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</si>
  <si>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</si>
  <si>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</si>
  <si>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</si>
  <si>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</si>
  <si>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</si>
  <si>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</si>
  <si>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</si>
  <si>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</si>
  <si>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</si>
  <si>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</si>
  <si>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</si>
  <si>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</si>
  <si>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</si>
  <si>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</si>
  <si>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</si>
  <si>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</si>
  <si>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</si>
  <si>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</si>
  <si>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</si>
  <si>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</si>
  <si>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</si>
  <si>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</si>
  <si>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</si>
  <si>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MATTHEWS</t>
  </si>
  <si>
    <t>Flute</t>
  </si>
  <si>
    <t>Langer</t>
  </si>
  <si>
    <t>Cory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</si>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</sst>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5" borderId="20" xfId="0" applyNumberFormat="1" applyFill="1" applyBorder="1" applyAlignment="1">
      <alignment horizontal="center"/>
    </xf>
    <xf numFmtId="2" fontId="0" fillId="5" borderId="21" xfId="0" applyNumberFormat="1" applyFill="1" applyBorder="1" applyAlignment="1">
      <alignment horizontal="center"/>
    </xf>
    <xf numFmtId="0" fontId="0" fillId="5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7" fillId="7" borderId="21" xfId="0" applyFont="1" applyFill="1" applyBorder="1"/>
    <xf numFmtId="1" fontId="7" fillId="7" borderId="21" xfId="0" applyNumberFormat="1" applyFont="1" applyFill="1" applyBorder="1" applyAlignment="1"/>
    <xf numFmtId="0" fontId="8" fillId="7" borderId="21" xfId="0" applyFont="1" applyFill="1" applyBorder="1" applyAlignment="1">
      <alignment horizontal="left"/>
    </xf>
    <xf numFmtId="0" fontId="12" fillId="7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1" fontId="7" fillId="7" borderId="21" xfId="0" applyNumberFormat="1" applyFont="1" applyFill="1" applyBorder="1" applyAlignment="1">
      <alignment horizontal="center"/>
    </xf>
    <xf numFmtId="0" fontId="11" fillId="7" borderId="21" xfId="0" applyFont="1" applyFill="1" applyBorder="1" applyAlignment="1">
      <alignment horizontal="left"/>
    </xf>
    <xf numFmtId="0" fontId="7" fillId="7" borderId="21" xfId="0" applyFont="1" applyFill="1" applyBorder="1" applyAlignment="1">
      <alignment horizontal="right"/>
    </xf>
    <xf numFmtId="0" fontId="7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left"/>
    </xf>
    <xf numFmtId="0" fontId="19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right"/>
    </xf>
    <xf numFmtId="0" fontId="7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center" vertical="center"/>
    </xf>
    <xf numFmtId="0" fontId="17" fillId="7" borderId="21" xfId="0" applyFont="1" applyFill="1" applyBorder="1"/>
    <xf numFmtId="0" fontId="5" fillId="7" borderId="21" xfId="0" applyFont="1" applyFill="1" applyBorder="1" applyAlignment="1"/>
    <xf numFmtId="0" fontId="7" fillId="7" borderId="21" xfId="1" applyFont="1" applyFill="1" applyBorder="1" applyAlignment="1">
      <alignment horizontal="right"/>
    </xf>
    <xf numFmtId="0" fontId="7" fillId="7" borderId="21" xfId="1" applyFont="1" applyFill="1" applyBorder="1"/>
    <xf numFmtId="1" fontId="7" fillId="8" borderId="21" xfId="0" applyNumberFormat="1" applyFont="1" applyFill="1" applyBorder="1" applyAlignment="1">
      <alignment horizontal="center"/>
    </xf>
    <xf numFmtId="164" fontId="4" fillId="8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1" borderId="0" xfId="0" applyFont="1" applyFill="1"/>
    <xf numFmtId="0" fontId="0" fillId="11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7" borderId="0" xfId="0" applyFont="1" applyFill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9" borderId="0" xfId="0" applyFont="1" applyFill="1"/>
    <xf numFmtId="0" fontId="20" fillId="9" borderId="0" xfId="0" applyFont="1" applyFill="1" applyAlignment="1">
      <alignment horizontal="right"/>
    </xf>
    <xf numFmtId="0" fontId="0" fillId="12" borderId="18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9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0" fillId="7" borderId="21" xfId="0" applyFill="1" applyBorder="1"/>
    <xf numFmtId="0" fontId="0" fillId="7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7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wrapText="1"/>
    </xf>
    <xf numFmtId="0" fontId="5" fillId="7" borderId="21" xfId="0" applyFont="1" applyFill="1" applyBorder="1"/>
    <xf numFmtId="0" fontId="0" fillId="7" borderId="21" xfId="0" applyFont="1" applyFill="1" applyBorder="1"/>
    <xf numFmtId="1" fontId="7" fillId="7" borderId="21" xfId="1" applyNumberFormat="1" applyFont="1" applyFill="1" applyBorder="1" applyAlignment="1"/>
    <xf numFmtId="0" fontId="0" fillId="8" borderId="21" xfId="0" applyFill="1" applyBorder="1"/>
    <xf numFmtId="0" fontId="10" fillId="7" borderId="21" xfId="0" applyFont="1" applyFill="1" applyBorder="1" applyAlignment="1">
      <alignment horizontal="left"/>
    </xf>
    <xf numFmtId="0" fontId="0" fillId="9" borderId="21" xfId="0" applyFill="1" applyBorder="1"/>
    <xf numFmtId="0" fontId="4" fillId="7" borderId="21" xfId="0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5" fillId="7" borderId="21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1" fontId="18" fillId="0" borderId="21" xfId="0" applyNumberFormat="1" applyFont="1" applyFill="1" applyBorder="1" applyAlignment="1">
      <alignment horizontal="center"/>
    </xf>
    <xf numFmtId="1" fontId="7" fillId="7" borderId="21" xfId="0" applyNumberFormat="1" applyFont="1" applyFill="1" applyBorder="1"/>
    <xf numFmtId="1" fontId="18" fillId="7" borderId="21" xfId="0" applyNumberFormat="1" applyFont="1" applyFill="1" applyBorder="1" applyAlignment="1">
      <alignment horizontal="center"/>
    </xf>
    <xf numFmtId="1" fontId="0" fillId="7" borderId="21" xfId="0" applyNumberFormat="1" applyFill="1" applyBorder="1" applyAlignment="1">
      <alignment horizontal="center"/>
    </xf>
    <xf numFmtId="1" fontId="0" fillId="7" borderId="21" xfId="0" applyNumberFormat="1" applyFill="1" applyBorder="1"/>
    <xf numFmtId="0" fontId="18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left" vertical="top"/>
    </xf>
    <xf numFmtId="0" fontId="7" fillId="7" borderId="26" xfId="0" applyFont="1" applyFill="1" applyBorder="1" applyAlignment="1">
      <alignment horizontal="right"/>
    </xf>
    <xf numFmtId="0" fontId="7" fillId="7" borderId="26" xfId="0" applyFont="1" applyFill="1" applyBorder="1" applyAlignment="1">
      <alignment horizontal="left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4" borderId="0" xfId="0" applyNumberFormat="1" applyFill="1"/>
    <xf numFmtId="0" fontId="2" fillId="14" borderId="10" xfId="0" applyNumberFormat="1" applyFont="1" applyFill="1" applyBorder="1" applyAlignment="1">
      <alignment horizontal="center" vertical="center" textRotation="255" wrapText="1"/>
    </xf>
    <xf numFmtId="0" fontId="2" fillId="14" borderId="18" xfId="0" applyNumberFormat="1" applyFont="1" applyFill="1" applyBorder="1" applyAlignment="1">
      <alignment horizontal="center" vertical="center" textRotation="255" wrapText="1"/>
    </xf>
    <xf numFmtId="0" fontId="2" fillId="14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7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13" borderId="23" xfId="0" applyNumberFormat="1" applyFill="1" applyBorder="1" applyAlignment="1">
      <alignment horizontal="center"/>
    </xf>
    <xf numFmtId="0" fontId="0" fillId="7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0" fillId="0" borderId="15" xfId="0" applyNumberFormat="1" applyBorder="1" applyAlignment="1">
      <alignment horizontal="center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5" borderId="9" xfId="0" applyNumberFormat="1" applyFont="1" applyFill="1" applyBorder="1" applyAlignment="1">
      <alignment horizontal="center" vertical="center" textRotation="255" wrapText="1"/>
    </xf>
    <xf numFmtId="0" fontId="3" fillId="5" borderId="17" xfId="0" applyNumberFormat="1" applyFont="1" applyFill="1" applyBorder="1" applyAlignment="1">
      <alignment horizontal="center" vertical="center" textRotation="255" wrapText="1"/>
    </xf>
    <xf numFmtId="0" fontId="3" fillId="5" borderId="32" xfId="0" applyNumberFormat="1" applyFont="1" applyFill="1" applyBorder="1" applyAlignment="1">
      <alignment horizontal="center" vertical="center" textRotation="255" wrapText="1"/>
    </xf>
    <xf numFmtId="0" fontId="2" fillId="5" borderId="9" xfId="0" applyNumberFormat="1" applyFont="1" applyFill="1" applyBorder="1" applyAlignment="1">
      <alignment horizontal="center" vertical="center" textRotation="255"/>
    </xf>
    <xf numFmtId="0" fontId="2" fillId="5" borderId="17" xfId="0" applyNumberFormat="1" applyFont="1" applyFill="1" applyBorder="1" applyAlignment="1">
      <alignment horizontal="center" vertical="center" textRotation="255"/>
    </xf>
    <xf numFmtId="0" fontId="2" fillId="5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5" borderId="8" xfId="0" applyNumberFormat="1" applyFont="1" applyFill="1" applyBorder="1" applyAlignment="1">
      <alignment horizontal="center" vertical="center" textRotation="255" wrapText="1"/>
    </xf>
    <xf numFmtId="49" fontId="2" fillId="5" borderId="16" xfId="0" applyNumberFormat="1" applyFont="1" applyFill="1" applyBorder="1" applyAlignment="1">
      <alignment horizontal="center" vertical="center" textRotation="255" wrapText="1"/>
    </xf>
    <xf numFmtId="49" fontId="2" fillId="5" borderId="31" xfId="0" applyNumberFormat="1" applyFont="1" applyFill="1" applyBorder="1" applyAlignment="1">
      <alignment horizontal="center" vertical="center" textRotation="255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5" borderId="10" xfId="0" applyNumberFormat="1" applyFont="1" applyFill="1" applyBorder="1" applyAlignment="1">
      <alignment horizontal="center" vertical="center" textRotation="255" wrapText="1"/>
    </xf>
    <xf numFmtId="0" fontId="2" fillId="5" borderId="18" xfId="0" applyNumberFormat="1" applyFont="1" applyFill="1" applyBorder="1" applyAlignment="1">
      <alignment horizontal="center" vertical="center" textRotation="255" wrapText="1"/>
    </xf>
    <xf numFmtId="0" fontId="2" fillId="5" borderId="33" xfId="0" applyNumberFormat="1" applyFont="1" applyFill="1" applyBorder="1" applyAlignment="1">
      <alignment horizontal="center" vertical="center" textRotation="255" wrapText="1"/>
    </xf>
    <xf numFmtId="0" fontId="2" fillId="13" borderId="11" xfId="0" applyNumberFormat="1" applyFont="1" applyFill="1" applyBorder="1" applyAlignment="1">
      <alignment horizontal="center" vertical="center" textRotation="255" wrapText="1"/>
    </xf>
    <xf numFmtId="0" fontId="2" fillId="13" borderId="19" xfId="0" applyNumberFormat="1" applyFont="1" applyFill="1" applyBorder="1" applyAlignment="1">
      <alignment horizontal="center" vertical="center" textRotation="255" wrapText="1"/>
    </xf>
    <xf numFmtId="0" fontId="2" fillId="13" borderId="28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13" borderId="9" xfId="0" applyNumberFormat="1" applyFont="1" applyFill="1" applyBorder="1" applyAlignment="1">
      <alignment horizontal="center" vertical="center" textRotation="255" wrapText="1"/>
    </xf>
    <xf numFmtId="0" fontId="2" fillId="13" borderId="17" xfId="0" applyNumberFormat="1" applyFont="1" applyFill="1" applyBorder="1" applyAlignment="1">
      <alignment horizontal="center" vertical="center" textRotation="255" wrapText="1"/>
    </xf>
    <xf numFmtId="0" fontId="2" fillId="13" borderId="32" xfId="0" applyNumberFormat="1" applyFont="1" applyFill="1" applyBorder="1" applyAlignment="1">
      <alignment horizontal="center" vertical="center" textRotation="255" wrapText="1"/>
    </xf>
    <xf numFmtId="0" fontId="21" fillId="1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41"/>
  <sheetViews>
    <sheetView tabSelected="1" zoomScale="70" zoomScaleNormal="70" workbookViewId="0">
      <pane ySplit="4" topLeftCell="A5" activePane="bottomLeft" state="frozen"/>
      <selection pane="bottomLeft" activeCell="B5" sqref="B5"/>
    </sheetView>
  </sheetViews>
  <sheetFormatPr defaultColWidth="9.109375" defaultRowHeight="14.4" outlineLevelCol="1" x14ac:dyDescent="0.3"/>
  <cols>
    <col min="1" max="1" width="11.88671875" style="13" customWidth="1"/>
    <col min="2" max="2" width="12" style="13" customWidth="1"/>
    <col min="3" max="3" width="10.33203125" style="15" customWidth="1"/>
    <col min="4" max="5" width="19.109375" style="16" customWidth="1"/>
    <col min="6" max="6" width="16.109375" style="16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27" hidden="1" customWidth="1" outlineLevel="1"/>
    <col min="50" max="53" width="5.109375" style="2" hidden="1" customWidth="1" outlineLevel="1"/>
    <col min="54" max="54" width="9.109375" style="23" customWidth="1" collapsed="1"/>
    <col min="55" max="57" width="9.109375" style="23" hidden="1" customWidth="1" outlineLevel="1"/>
    <col min="58" max="58" width="9.109375" style="23" collapsed="1"/>
    <col min="59" max="59" width="9.109375" style="23"/>
    <col min="60" max="62" width="9.109375" style="23" hidden="1" customWidth="1" outlineLevel="1"/>
    <col min="63" max="63" width="9.109375" style="23" collapsed="1"/>
    <col min="64" max="64" width="9.109375" style="23"/>
    <col min="65" max="67" width="9.109375" style="23" hidden="1" customWidth="1" outlineLevel="1"/>
    <col min="68" max="68" width="9.109375" style="23" collapsed="1"/>
    <col min="69" max="69" width="9.109375" style="23"/>
    <col min="70" max="72" width="9.109375" style="23" hidden="1" customWidth="1" outlineLevel="1"/>
    <col min="73" max="73" width="9.109375" style="23" collapsed="1"/>
    <col min="74" max="74" width="9.109375" style="23"/>
    <col min="75" max="77" width="9.109375" style="23" hidden="1" customWidth="1" outlineLevel="1"/>
    <col min="78" max="78" width="9.109375" style="23" collapsed="1"/>
    <col min="79" max="79" width="9.109375" style="23"/>
    <col min="80" max="82" width="9.109375" style="23" hidden="1" customWidth="1" outlineLevel="1"/>
    <col min="83" max="83" width="9.109375" style="23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40" t="s">
        <v>387</v>
      </c>
      <c r="B1" s="140"/>
      <c r="C1" s="140"/>
      <c r="D1" s="140"/>
      <c r="E1" s="140"/>
      <c r="F1" s="140"/>
      <c r="G1" s="140"/>
      <c r="H1" s="140"/>
      <c r="I1" s="140"/>
      <c r="J1" s="140"/>
      <c r="AQ1" s="131"/>
      <c r="AR1" s="131"/>
      <c r="AS1" s="131"/>
      <c r="AT1" s="131"/>
      <c r="AU1" s="131"/>
      <c r="AV1" s="131"/>
      <c r="AW1" s="131"/>
      <c r="BB1" s="172" t="s">
        <v>0</v>
      </c>
      <c r="BC1" s="173"/>
      <c r="BD1" s="173"/>
      <c r="BE1" s="174"/>
      <c r="BF1" s="175" t="s">
        <v>1</v>
      </c>
      <c r="BG1" s="176"/>
      <c r="BH1" s="176"/>
      <c r="BI1" s="176"/>
      <c r="BJ1" s="177"/>
      <c r="BK1" s="175" t="s">
        <v>2</v>
      </c>
      <c r="BL1" s="176"/>
      <c r="BM1" s="176"/>
      <c r="BN1" s="176"/>
      <c r="BO1" s="177"/>
      <c r="BP1" s="175" t="s">
        <v>3</v>
      </c>
      <c r="BQ1" s="176"/>
      <c r="BR1" s="176"/>
      <c r="BS1" s="176"/>
      <c r="BT1" s="177"/>
      <c r="BU1" s="172" t="s">
        <v>4</v>
      </c>
      <c r="BV1" s="173"/>
      <c r="BW1" s="173"/>
      <c r="BX1" s="173"/>
      <c r="BY1" s="174"/>
      <c r="BZ1" s="175" t="s">
        <v>5</v>
      </c>
      <c r="CA1" s="176"/>
      <c r="CB1" s="176"/>
      <c r="CC1" s="176"/>
      <c r="CD1" s="177"/>
      <c r="CE1" s="175" t="s">
        <v>6</v>
      </c>
      <c r="CF1" s="176"/>
      <c r="CG1" s="176"/>
      <c r="CH1" s="176"/>
      <c r="CI1" s="175" t="s">
        <v>7</v>
      </c>
      <c r="CJ1" s="176"/>
      <c r="CK1" s="176"/>
      <c r="CL1" s="176"/>
      <c r="CM1" s="175" t="s">
        <v>8</v>
      </c>
      <c r="CN1" s="176"/>
      <c r="CO1" s="176"/>
      <c r="CP1" s="176"/>
      <c r="CQ1" s="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</row>
    <row r="2" spans="1:126" ht="131.25" customHeight="1" thickBot="1" x14ac:dyDescent="0.35">
      <c r="A2" s="178" t="s">
        <v>9</v>
      </c>
      <c r="B2" s="181" t="s">
        <v>10</v>
      </c>
      <c r="C2" s="184" t="s">
        <v>11</v>
      </c>
      <c r="D2" s="187" t="s">
        <v>12</v>
      </c>
      <c r="E2" s="187" t="s">
        <v>13</v>
      </c>
      <c r="F2" s="151" t="s">
        <v>14</v>
      </c>
      <c r="G2" s="193" t="s">
        <v>15</v>
      </c>
      <c r="H2" s="196" t="s">
        <v>16</v>
      </c>
      <c r="I2" s="199" t="s">
        <v>17</v>
      </c>
      <c r="J2" s="202" t="s">
        <v>18</v>
      </c>
      <c r="K2" s="190" t="s">
        <v>19</v>
      </c>
      <c r="L2" s="160" t="s">
        <v>20</v>
      </c>
      <c r="M2" s="160" t="s">
        <v>439</v>
      </c>
      <c r="N2" s="163" t="s">
        <v>21</v>
      </c>
      <c r="O2" s="154" t="s">
        <v>22</v>
      </c>
      <c r="P2" s="166" t="s">
        <v>24</v>
      </c>
      <c r="Q2" s="169" t="s">
        <v>25</v>
      </c>
      <c r="R2" s="166" t="s">
        <v>483</v>
      </c>
      <c r="S2" s="166" t="s">
        <v>26</v>
      </c>
      <c r="T2" s="124" t="s">
        <v>458</v>
      </c>
      <c r="U2" s="166" t="s">
        <v>27</v>
      </c>
      <c r="V2" s="154" t="s">
        <v>28</v>
      </c>
      <c r="W2" s="154" t="s">
        <v>29</v>
      </c>
      <c r="X2" s="157" t="s">
        <v>393</v>
      </c>
      <c r="Y2" s="157" t="s">
        <v>392</v>
      </c>
      <c r="Z2" s="154" t="s">
        <v>30</v>
      </c>
      <c r="AA2" s="121" t="s">
        <v>459</v>
      </c>
      <c r="AB2" s="154" t="s">
        <v>31</v>
      </c>
      <c r="AC2" s="154" t="s">
        <v>32</v>
      </c>
      <c r="AD2" s="154" t="s">
        <v>33</v>
      </c>
      <c r="AE2" s="157" t="s">
        <v>506</v>
      </c>
      <c r="AF2" s="157" t="s">
        <v>34</v>
      </c>
      <c r="AG2" s="211" t="s">
        <v>163</v>
      </c>
      <c r="AH2" s="211" t="s">
        <v>164</v>
      </c>
      <c r="AI2" s="211" t="s">
        <v>165</v>
      </c>
      <c r="AJ2" s="211" t="s">
        <v>166</v>
      </c>
      <c r="AK2" s="154" t="s">
        <v>460</v>
      </c>
      <c r="AL2" s="154" t="s">
        <v>461</v>
      </c>
      <c r="AM2" s="154" t="s">
        <v>344</v>
      </c>
      <c r="AN2" s="154" t="s">
        <v>462</v>
      </c>
      <c r="AO2" s="205" t="s">
        <v>463</v>
      </c>
      <c r="AP2" s="211" t="s">
        <v>167</v>
      </c>
      <c r="AQ2" s="128" t="s">
        <v>464</v>
      </c>
      <c r="AR2" s="128" t="s">
        <v>465</v>
      </c>
      <c r="AS2" s="128" t="s">
        <v>466</v>
      </c>
      <c r="AT2" s="128" t="s">
        <v>467</v>
      </c>
      <c r="AU2" s="128" t="s">
        <v>469</v>
      </c>
      <c r="AV2" s="128" t="s">
        <v>470</v>
      </c>
      <c r="AW2" s="128" t="s">
        <v>468</v>
      </c>
      <c r="AX2" s="208" t="s">
        <v>35</v>
      </c>
      <c r="AY2" s="208" t="s">
        <v>505</v>
      </c>
      <c r="AZ2" s="214" t="s">
        <v>478</v>
      </c>
      <c r="BA2" s="208" t="s">
        <v>504</v>
      </c>
      <c r="BB2" s="142" t="s">
        <v>36</v>
      </c>
      <c r="BC2" s="145" t="s">
        <v>37</v>
      </c>
      <c r="BD2" s="145" t="s">
        <v>38</v>
      </c>
      <c r="BE2" s="148" t="s">
        <v>39</v>
      </c>
      <c r="BF2" s="142" t="s">
        <v>40</v>
      </c>
      <c r="BG2" s="145" t="s">
        <v>41</v>
      </c>
      <c r="BH2" s="145" t="s">
        <v>37</v>
      </c>
      <c r="BI2" s="145" t="s">
        <v>38</v>
      </c>
      <c r="BJ2" s="148" t="s">
        <v>39</v>
      </c>
      <c r="BK2" s="142" t="s">
        <v>40</v>
      </c>
      <c r="BL2" s="145" t="s">
        <v>41</v>
      </c>
      <c r="BM2" s="145" t="s">
        <v>37</v>
      </c>
      <c r="BN2" s="145" t="s">
        <v>38</v>
      </c>
      <c r="BO2" s="148" t="s">
        <v>39</v>
      </c>
      <c r="BP2" s="142" t="s">
        <v>40</v>
      </c>
      <c r="BQ2" s="145" t="s">
        <v>41</v>
      </c>
      <c r="BR2" s="145" t="s">
        <v>37</v>
      </c>
      <c r="BS2" s="145" t="s">
        <v>38</v>
      </c>
      <c r="BT2" s="148" t="s">
        <v>39</v>
      </c>
      <c r="BU2" s="142" t="s">
        <v>40</v>
      </c>
      <c r="BV2" s="145" t="s">
        <v>41</v>
      </c>
      <c r="BW2" s="145" t="s">
        <v>37</v>
      </c>
      <c r="BX2" s="145" t="s">
        <v>38</v>
      </c>
      <c r="BY2" s="148" t="s">
        <v>39</v>
      </c>
      <c r="BZ2" s="142" t="s">
        <v>40</v>
      </c>
      <c r="CA2" s="145" t="s">
        <v>41</v>
      </c>
      <c r="CB2" s="145" t="s">
        <v>37</v>
      </c>
      <c r="CC2" s="145" t="s">
        <v>38</v>
      </c>
      <c r="CD2" s="148" t="s">
        <v>39</v>
      </c>
      <c r="CE2" s="142" t="s">
        <v>36</v>
      </c>
      <c r="CF2" s="145" t="s">
        <v>37</v>
      </c>
      <c r="CG2" s="145" t="s">
        <v>38</v>
      </c>
      <c r="CH2" s="145" t="s">
        <v>39</v>
      </c>
      <c r="CI2" s="142" t="s">
        <v>36</v>
      </c>
      <c r="CJ2" s="145" t="s">
        <v>37</v>
      </c>
      <c r="CK2" s="145" t="s">
        <v>38</v>
      </c>
      <c r="CL2" s="145" t="s">
        <v>39</v>
      </c>
      <c r="CM2" s="142" t="s">
        <v>36</v>
      </c>
      <c r="CN2" s="145" t="s">
        <v>37</v>
      </c>
      <c r="CO2" s="145" t="s">
        <v>38</v>
      </c>
      <c r="CP2" s="145" t="s">
        <v>39</v>
      </c>
      <c r="CQ2" s="4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3"/>
      <c r="DP2" s="23"/>
      <c r="DQ2" s="23"/>
      <c r="DR2" s="23"/>
      <c r="DS2" s="23"/>
      <c r="DT2" s="23"/>
      <c r="DU2" s="23"/>
      <c r="DV2" s="23"/>
    </row>
    <row r="3" spans="1:126" ht="24.75" customHeight="1" x14ac:dyDescent="0.3">
      <c r="A3" s="179"/>
      <c r="B3" s="182"/>
      <c r="C3" s="185"/>
      <c r="D3" s="188"/>
      <c r="E3" s="188"/>
      <c r="F3" s="152"/>
      <c r="G3" s="194"/>
      <c r="H3" s="197"/>
      <c r="I3" s="200"/>
      <c r="J3" s="203"/>
      <c r="K3" s="191"/>
      <c r="L3" s="161"/>
      <c r="M3" s="161"/>
      <c r="N3" s="164"/>
      <c r="O3" s="155"/>
      <c r="P3" s="167"/>
      <c r="Q3" s="170"/>
      <c r="R3" s="167"/>
      <c r="S3" s="167"/>
      <c r="T3" s="125"/>
      <c r="U3" s="167"/>
      <c r="V3" s="155"/>
      <c r="W3" s="155"/>
      <c r="X3" s="158"/>
      <c r="Y3" s="158"/>
      <c r="Z3" s="155"/>
      <c r="AA3" s="122"/>
      <c r="AB3" s="155"/>
      <c r="AC3" s="155"/>
      <c r="AD3" s="155"/>
      <c r="AE3" s="158"/>
      <c r="AF3" s="158"/>
      <c r="AG3" s="212"/>
      <c r="AH3" s="212"/>
      <c r="AI3" s="212"/>
      <c r="AJ3" s="212"/>
      <c r="AK3" s="155"/>
      <c r="AL3" s="155"/>
      <c r="AM3" s="155"/>
      <c r="AN3" s="155"/>
      <c r="AO3" s="206"/>
      <c r="AP3" s="212"/>
      <c r="AQ3" s="129"/>
      <c r="AR3" s="129"/>
      <c r="AS3" s="129"/>
      <c r="AT3" s="129"/>
      <c r="AU3" s="129"/>
      <c r="AV3" s="129"/>
      <c r="AW3" s="129"/>
      <c r="AX3" s="209"/>
      <c r="AY3" s="209"/>
      <c r="AZ3" s="215"/>
      <c r="BA3" s="209"/>
      <c r="BB3" s="143"/>
      <c r="BC3" s="146"/>
      <c r="BD3" s="146"/>
      <c r="BE3" s="149"/>
      <c r="BF3" s="143"/>
      <c r="BG3" s="146"/>
      <c r="BH3" s="146"/>
      <c r="BI3" s="146"/>
      <c r="BJ3" s="149"/>
      <c r="BK3" s="143"/>
      <c r="BL3" s="146"/>
      <c r="BM3" s="146"/>
      <c r="BN3" s="146"/>
      <c r="BO3" s="149"/>
      <c r="BP3" s="143"/>
      <c r="BQ3" s="146"/>
      <c r="BR3" s="146"/>
      <c r="BS3" s="146"/>
      <c r="BT3" s="149"/>
      <c r="BU3" s="143"/>
      <c r="BV3" s="146"/>
      <c r="BW3" s="146"/>
      <c r="BX3" s="146"/>
      <c r="BY3" s="149"/>
      <c r="BZ3" s="143"/>
      <c r="CA3" s="146"/>
      <c r="CB3" s="146"/>
      <c r="CC3" s="146"/>
      <c r="CD3" s="149"/>
      <c r="CE3" s="143"/>
      <c r="CF3" s="146"/>
      <c r="CG3" s="146"/>
      <c r="CH3" s="146"/>
      <c r="CI3" s="143"/>
      <c r="CJ3" s="146"/>
      <c r="CK3" s="146"/>
      <c r="CL3" s="146"/>
      <c r="CM3" s="143"/>
      <c r="CN3" s="146"/>
      <c r="CO3" s="146"/>
      <c r="CP3" s="146"/>
      <c r="CQ3" s="49"/>
    </row>
    <row r="4" spans="1:126" ht="13.5" customHeight="1" thickBot="1" x14ac:dyDescent="0.35">
      <c r="A4" s="180"/>
      <c r="B4" s="183"/>
      <c r="C4" s="186"/>
      <c r="D4" s="189"/>
      <c r="E4" s="189"/>
      <c r="F4" s="153"/>
      <c r="G4" s="195"/>
      <c r="H4" s="198"/>
      <c r="I4" s="201"/>
      <c r="J4" s="204"/>
      <c r="K4" s="192"/>
      <c r="L4" s="162"/>
      <c r="M4" s="162"/>
      <c r="N4" s="165"/>
      <c r="O4" s="156"/>
      <c r="P4" s="168"/>
      <c r="Q4" s="171"/>
      <c r="R4" s="168"/>
      <c r="S4" s="168"/>
      <c r="T4" s="126"/>
      <c r="U4" s="168"/>
      <c r="V4" s="156"/>
      <c r="W4" s="156"/>
      <c r="X4" s="159"/>
      <c r="Y4" s="159"/>
      <c r="Z4" s="156"/>
      <c r="AA4" s="123"/>
      <c r="AB4" s="156"/>
      <c r="AC4" s="156"/>
      <c r="AD4" s="156"/>
      <c r="AE4" s="159"/>
      <c r="AF4" s="159"/>
      <c r="AG4" s="213"/>
      <c r="AH4" s="213"/>
      <c r="AI4" s="213"/>
      <c r="AJ4" s="213"/>
      <c r="AK4" s="156"/>
      <c r="AL4" s="156"/>
      <c r="AM4" s="156"/>
      <c r="AN4" s="156"/>
      <c r="AO4" s="207"/>
      <c r="AP4" s="213"/>
      <c r="AQ4" s="130"/>
      <c r="AR4" s="130"/>
      <c r="AS4" s="130"/>
      <c r="AT4" s="130"/>
      <c r="AU4" s="130"/>
      <c r="AV4" s="130"/>
      <c r="AW4" s="130"/>
      <c r="AX4" s="210"/>
      <c r="AY4" s="210"/>
      <c r="AZ4" s="216"/>
      <c r="BA4" s="210"/>
      <c r="BB4" s="144"/>
      <c r="BC4" s="147"/>
      <c r="BD4" s="147"/>
      <c r="BE4" s="150"/>
      <c r="BF4" s="144"/>
      <c r="BG4" s="147"/>
      <c r="BH4" s="147"/>
      <c r="BI4" s="147"/>
      <c r="BJ4" s="150"/>
      <c r="BK4" s="144"/>
      <c r="BL4" s="147"/>
      <c r="BM4" s="147"/>
      <c r="BN4" s="147"/>
      <c r="BO4" s="150"/>
      <c r="BP4" s="144"/>
      <c r="BQ4" s="147"/>
      <c r="BR4" s="147"/>
      <c r="BS4" s="147"/>
      <c r="BT4" s="150"/>
      <c r="BU4" s="144"/>
      <c r="BV4" s="147"/>
      <c r="BW4" s="147"/>
      <c r="BX4" s="147"/>
      <c r="BY4" s="150"/>
      <c r="BZ4" s="144"/>
      <c r="CA4" s="147"/>
      <c r="CB4" s="147"/>
      <c r="CC4" s="147"/>
      <c r="CD4" s="150"/>
      <c r="CE4" s="144"/>
      <c r="CF4" s="147"/>
      <c r="CG4" s="147"/>
      <c r="CH4" s="147"/>
      <c r="CI4" s="144"/>
      <c r="CJ4" s="147"/>
      <c r="CK4" s="147"/>
      <c r="CL4" s="147"/>
      <c r="CM4" s="144"/>
      <c r="CN4" s="147"/>
      <c r="CO4" s="147"/>
      <c r="CP4" s="147"/>
      <c r="CQ4" s="49"/>
    </row>
    <row r="5" spans="1:126" s="7" customFormat="1" ht="15" customHeight="1" x14ac:dyDescent="0.3">
      <c r="A5" s="111">
        <v>80</v>
      </c>
      <c r="B5" s="105" t="s">
        <v>42</v>
      </c>
      <c r="C5" s="10">
        <v>7096688</v>
      </c>
      <c r="D5" s="10" t="s">
        <v>203</v>
      </c>
      <c r="E5" s="11" t="s">
        <v>204</v>
      </c>
      <c r="F5" s="141">
        <v>1</v>
      </c>
      <c r="G5" s="19">
        <v>0</v>
      </c>
      <c r="H5" s="8">
        <v>0</v>
      </c>
      <c r="I5" s="20">
        <v>0</v>
      </c>
      <c r="J5" s="22">
        <v>0</v>
      </c>
      <c r="K5" s="21">
        <v>0</v>
      </c>
      <c r="L5" s="21">
        <v>0</v>
      </c>
      <c r="M5" s="21">
        <v>0</v>
      </c>
      <c r="N5" s="21">
        <v>1</v>
      </c>
      <c r="O5" s="21">
        <v>1</v>
      </c>
      <c r="P5" s="133">
        <v>1</v>
      </c>
      <c r="Q5" s="133">
        <v>1</v>
      </c>
      <c r="R5" s="133">
        <v>0</v>
      </c>
      <c r="S5" s="133">
        <v>0</v>
      </c>
      <c r="T5" s="133">
        <v>0</v>
      </c>
      <c r="U5" s="133">
        <v>0</v>
      </c>
      <c r="V5" s="21">
        <v>0</v>
      </c>
      <c r="W5" s="21">
        <v>0</v>
      </c>
      <c r="X5" s="134">
        <v>0</v>
      </c>
      <c r="Y5" s="134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134">
        <v>1</v>
      </c>
      <c r="AF5" s="134">
        <v>1</v>
      </c>
      <c r="AG5" s="135">
        <v>0</v>
      </c>
      <c r="AH5" s="135">
        <v>0</v>
      </c>
      <c r="AI5" s="135">
        <v>0</v>
      </c>
      <c r="AJ5" s="135">
        <v>0</v>
      </c>
      <c r="AK5" s="21">
        <v>0</v>
      </c>
      <c r="AL5" s="21">
        <v>0</v>
      </c>
      <c r="AM5" s="21">
        <v>0</v>
      </c>
      <c r="AN5" s="21">
        <v>0</v>
      </c>
      <c r="AO5" s="21">
        <v>0</v>
      </c>
      <c r="AP5" s="135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7">
        <v>0</v>
      </c>
      <c r="AY5" s="137">
        <v>0</v>
      </c>
      <c r="AZ5" s="137">
        <v>0</v>
      </c>
      <c r="BA5" s="137">
        <v>0</v>
      </c>
      <c r="BB5" s="24"/>
      <c r="BC5" s="50"/>
      <c r="BD5" s="50">
        <f t="shared" ref="BD5" si="0">BC5*2.5</f>
        <v>0</v>
      </c>
      <c r="BE5" s="50"/>
      <c r="BF5" s="24"/>
      <c r="BG5" s="24"/>
      <c r="BH5" s="50"/>
      <c r="BI5" s="51">
        <f t="shared" ref="BI5" si="1">IF(BH5&lt;4,BH5*1.5,BH5*1.625)</f>
        <v>0</v>
      </c>
      <c r="BJ5" s="50"/>
      <c r="BK5" s="24"/>
      <c r="BL5" s="24"/>
      <c r="BM5" s="25"/>
      <c r="BN5" s="25">
        <f t="shared" ref="BN5" si="2">IF(BM5&lt;4,BM5*1.5,BM5*1.625)</f>
        <v>0</v>
      </c>
      <c r="BO5" s="25"/>
      <c r="BP5" s="24"/>
      <c r="BQ5" s="24"/>
      <c r="BR5" s="25"/>
      <c r="BS5" s="25">
        <f t="shared" ref="BS5" si="3">IF(BR5&lt;4,BR5*1.5,BR5*1.625)</f>
        <v>0</v>
      </c>
      <c r="BT5" s="25"/>
      <c r="BU5" s="24"/>
      <c r="BV5" s="24"/>
      <c r="BW5" s="50"/>
      <c r="BX5" s="50">
        <f t="shared" ref="BX5" si="4">IF(BW5&lt;4,BW5*1.5,BW5*1.625)</f>
        <v>0</v>
      </c>
      <c r="BY5" s="50"/>
      <c r="BZ5" s="24"/>
      <c r="CA5" s="24"/>
      <c r="CB5" s="25"/>
      <c r="CC5" s="25">
        <f t="shared" ref="CC5" si="5">IF(CB5&lt;4,CB5*1.5,CB5*1.625)</f>
        <v>0</v>
      </c>
      <c r="CD5" s="25"/>
      <c r="CE5" s="24"/>
      <c r="CF5" s="25"/>
      <c r="CG5" s="25">
        <f t="shared" ref="CG5" si="6">IF(CF5&lt;4,CF5*1.5,CF5*1.625)</f>
        <v>0</v>
      </c>
      <c r="CH5" s="25"/>
      <c r="CI5" s="24"/>
      <c r="CJ5" s="25"/>
      <c r="CK5" s="25">
        <f t="shared" ref="CK5" si="7">IF(CJ5&gt;4,CJ5*1.5,CJ5*1.625)</f>
        <v>0</v>
      </c>
      <c r="CL5" s="25"/>
      <c r="CM5" s="24"/>
      <c r="CN5" s="17"/>
      <c r="CO5" s="5">
        <f t="shared" ref="CO5" si="8">CN5*2.5</f>
        <v>0</v>
      </c>
      <c r="CP5" s="9"/>
      <c r="CQ5" s="6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</row>
    <row r="6" spans="1:126" ht="15.6" x14ac:dyDescent="0.3">
      <c r="B6" s="14"/>
    </row>
    <row r="7" spans="1:126" ht="15.6" x14ac:dyDescent="0.3">
      <c r="B7" s="14"/>
    </row>
    <row r="8" spans="1:126" ht="15.6" x14ac:dyDescent="0.3">
      <c r="B8" s="14"/>
    </row>
    <row r="9" spans="1:126" ht="15.6" x14ac:dyDescent="0.3">
      <c r="B9" s="14"/>
    </row>
    <row r="10" spans="1:126" ht="15.6" x14ac:dyDescent="0.3">
      <c r="B10" s="14"/>
    </row>
    <row r="11" spans="1:126" ht="15.6" x14ac:dyDescent="0.3">
      <c r="B11" s="14"/>
    </row>
    <row r="12" spans="1:126" ht="15.6" x14ac:dyDescent="0.3">
      <c r="B12" s="14"/>
    </row>
    <row r="13" spans="1:126" ht="15.6" x14ac:dyDescent="0.3">
      <c r="B13" s="14"/>
    </row>
    <row r="14" spans="1:126" ht="15.6" x14ac:dyDescent="0.3">
      <c r="B14" s="14"/>
    </row>
    <row r="15" spans="1:126" ht="15.6" x14ac:dyDescent="0.3">
      <c r="B15" s="14"/>
    </row>
    <row r="16" spans="1:126" ht="15.6" x14ac:dyDescent="0.3">
      <c r="B16" s="14"/>
    </row>
    <row r="17" spans="2:2" ht="15.6" x14ac:dyDescent="0.3">
      <c r="B17" s="14"/>
    </row>
    <row r="18" spans="2:2" ht="15.6" x14ac:dyDescent="0.3">
      <c r="B18" s="14"/>
    </row>
    <row r="19" spans="2:2" ht="15.6" x14ac:dyDescent="0.3">
      <c r="B19" s="14"/>
    </row>
    <row r="20" spans="2:2" ht="15.6" x14ac:dyDescent="0.3">
      <c r="B20" s="14"/>
    </row>
    <row r="21" spans="2:2" ht="15.6" x14ac:dyDescent="0.3">
      <c r="B21" s="14"/>
    </row>
    <row r="22" spans="2:2" ht="15.6" x14ac:dyDescent="0.3">
      <c r="B22" s="14"/>
    </row>
    <row r="23" spans="2:2" ht="15.6" x14ac:dyDescent="0.3">
      <c r="B23" s="14"/>
    </row>
    <row r="24" spans="2:2" ht="15.6" x14ac:dyDescent="0.3">
      <c r="B24" s="14"/>
    </row>
    <row r="25" spans="2:2" ht="15.6" x14ac:dyDescent="0.3">
      <c r="B25" s="14"/>
    </row>
    <row r="26" spans="2:2" ht="15.6" x14ac:dyDescent="0.3">
      <c r="B26" s="14"/>
    </row>
    <row r="27" spans="2:2" ht="15.6" x14ac:dyDescent="0.3">
      <c r="B27" s="14"/>
    </row>
    <row r="28" spans="2:2" ht="15.6" x14ac:dyDescent="0.3">
      <c r="B28" s="14"/>
    </row>
    <row r="29" spans="2:2" ht="15.6" x14ac:dyDescent="0.3">
      <c r="B29" s="14"/>
    </row>
    <row r="30" spans="2:2" ht="15.6" x14ac:dyDescent="0.3">
      <c r="B30" s="14"/>
    </row>
    <row r="31" spans="2:2" ht="15.6" x14ac:dyDescent="0.3">
      <c r="B31" s="14"/>
    </row>
    <row r="32" spans="2:2" ht="15.6" x14ac:dyDescent="0.3">
      <c r="B32" s="14"/>
    </row>
    <row r="33" spans="2:2" ht="15.6" x14ac:dyDescent="0.3">
      <c r="B33" s="14"/>
    </row>
    <row r="34" spans="2:2" ht="15.6" x14ac:dyDescent="0.3">
      <c r="B34" s="14"/>
    </row>
    <row r="35" spans="2:2" ht="15.6" x14ac:dyDescent="0.3">
      <c r="B35" s="14"/>
    </row>
    <row r="36" spans="2:2" ht="15.6" x14ac:dyDescent="0.3">
      <c r="B36" s="14"/>
    </row>
    <row r="37" spans="2:2" ht="15.6" x14ac:dyDescent="0.3">
      <c r="B37" s="14"/>
    </row>
    <row r="38" spans="2:2" ht="15.6" x14ac:dyDescent="0.3">
      <c r="B38" s="14"/>
    </row>
    <row r="39" spans="2:2" ht="15.6" x14ac:dyDescent="0.3">
      <c r="B39" s="14"/>
    </row>
    <row r="40" spans="2:2" ht="15.6" x14ac:dyDescent="0.3">
      <c r="B40" s="14"/>
    </row>
    <row r="41" spans="2:2" ht="15.6" x14ac:dyDescent="0.3">
      <c r="B41" s="14"/>
    </row>
  </sheetData>
  <autoFilter ref="A2:DV5" xr:uid="{00000000-0009-0000-0000-000000000000}"/>
  <sortState xmlns:xlrd2="http://schemas.microsoft.com/office/spreadsheetml/2017/richdata2" ref="A5:E5">
    <sortCondition ref="D5"/>
    <sortCondition ref="E5"/>
  </sortState>
  <mergeCells count="94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">
    <cfRule type="cellIs" dxfId="21" priority="269" operator="greaterThan">
      <formula>20</formula>
    </cfRule>
  </conditionalFormatting>
  <conditionalFormatting sqref="BE5">
    <cfRule type="expression" dxfId="20" priority="57">
      <formula>SUM($BC5+$BE5)&gt;4</formula>
    </cfRule>
  </conditionalFormatting>
  <conditionalFormatting sqref="BJ5">
    <cfRule type="expression" dxfId="19" priority="56">
      <formula>SUM($BH5+$BJ5)&gt;4</formula>
    </cfRule>
  </conditionalFormatting>
  <conditionalFormatting sqref="BO5">
    <cfRule type="expression" dxfId="18" priority="55">
      <formula>SUM($BM5+$BO5)&gt;4</formula>
    </cfRule>
  </conditionalFormatting>
  <conditionalFormatting sqref="BT5">
    <cfRule type="expression" dxfId="17" priority="54">
      <formula>SUM($BR5+$BT5)&gt;4</formula>
    </cfRule>
  </conditionalFormatting>
  <conditionalFormatting sqref="BY5">
    <cfRule type="expression" dxfId="16" priority="53">
      <formula>SUM($BW5+$BY5)&gt;4</formula>
    </cfRule>
  </conditionalFormatting>
  <conditionalFormatting sqref="CD5">
    <cfRule type="expression" dxfId="15" priority="52">
      <formula>($CB5+$CD5)&gt;4</formula>
    </cfRule>
  </conditionalFormatting>
  <conditionalFormatting sqref="CF5:CH5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89" bestFit="1" customWidth="1"/>
    <col min="2" max="2" width="9.109375" style="90"/>
    <col min="3" max="3" width="14.88671875" style="90" customWidth="1"/>
    <col min="4" max="4" width="18.33203125" style="90" bestFit="1" customWidth="1"/>
    <col min="5" max="5" width="17.88671875" style="90" customWidth="1"/>
    <col min="6" max="6" width="9.33203125" style="92" customWidth="1"/>
    <col min="7" max="8" width="8.88671875" style="92" customWidth="1"/>
    <col min="9" max="25" width="9.109375" style="92" customWidth="1"/>
    <col min="26" max="27" width="9.109375" style="107" customWidth="1"/>
    <col min="28" max="29" width="9.109375" style="92" customWidth="1"/>
    <col min="30" max="49" width="9.109375" style="92"/>
    <col min="50" max="16384" width="9.109375" style="90"/>
  </cols>
  <sheetData>
    <row r="1" spans="1:49" ht="36.75" customHeight="1" x14ac:dyDescent="0.3">
      <c r="A1" s="89" t="s">
        <v>214</v>
      </c>
      <c r="D1" s="90" t="s">
        <v>337</v>
      </c>
      <c r="F1" s="91" t="s">
        <v>215</v>
      </c>
      <c r="G1" s="91" t="s">
        <v>215</v>
      </c>
      <c r="H1" s="91" t="s">
        <v>215</v>
      </c>
      <c r="I1" s="91" t="s">
        <v>215</v>
      </c>
      <c r="J1" s="91" t="s">
        <v>215</v>
      </c>
      <c r="K1" s="91" t="s">
        <v>215</v>
      </c>
      <c r="L1" s="91" t="s">
        <v>215</v>
      </c>
      <c r="M1" s="91" t="s">
        <v>215</v>
      </c>
      <c r="N1" s="91" t="s">
        <v>215</v>
      </c>
      <c r="O1" s="91" t="s">
        <v>215</v>
      </c>
      <c r="P1" s="91" t="s">
        <v>215</v>
      </c>
      <c r="Q1" s="91" t="s">
        <v>215</v>
      </c>
      <c r="R1" s="91" t="s">
        <v>215</v>
      </c>
      <c r="S1" s="91" t="s">
        <v>215</v>
      </c>
      <c r="T1" s="91" t="s">
        <v>215</v>
      </c>
      <c r="U1" s="91" t="s">
        <v>215</v>
      </c>
      <c r="V1" s="91" t="s">
        <v>215</v>
      </c>
      <c r="W1" s="91" t="s">
        <v>215</v>
      </c>
      <c r="X1" s="91" t="s">
        <v>215</v>
      </c>
      <c r="Y1" s="91" t="s">
        <v>215</v>
      </c>
      <c r="Z1" s="106" t="s">
        <v>215</v>
      </c>
      <c r="AA1" s="106" t="s">
        <v>215</v>
      </c>
      <c r="AB1" s="91" t="s">
        <v>215</v>
      </c>
      <c r="AC1" s="91" t="s">
        <v>215</v>
      </c>
      <c r="AD1" s="91" t="s">
        <v>215</v>
      </c>
      <c r="AE1" s="91" t="s">
        <v>215</v>
      </c>
      <c r="AF1" s="91" t="s">
        <v>215</v>
      </c>
      <c r="AG1" s="91" t="s">
        <v>215</v>
      </c>
      <c r="AH1" s="91" t="s">
        <v>215</v>
      </c>
      <c r="AI1" s="91" t="s">
        <v>215</v>
      </c>
      <c r="AJ1" s="91" t="s">
        <v>215</v>
      </c>
      <c r="AK1" s="91" t="s">
        <v>215</v>
      </c>
      <c r="AL1" s="91" t="s">
        <v>215</v>
      </c>
      <c r="AM1" s="91" t="s">
        <v>215</v>
      </c>
      <c r="AN1" s="91" t="s">
        <v>215</v>
      </c>
      <c r="AO1" s="91" t="s">
        <v>215</v>
      </c>
      <c r="AP1" s="91" t="s">
        <v>215</v>
      </c>
      <c r="AQ1" s="91" t="s">
        <v>215</v>
      </c>
      <c r="AR1" s="91" t="s">
        <v>215</v>
      </c>
      <c r="AS1" s="91" t="s">
        <v>215</v>
      </c>
      <c r="AT1" s="91" t="s">
        <v>215</v>
      </c>
      <c r="AU1" s="91" t="s">
        <v>215</v>
      </c>
      <c r="AV1" s="91" t="s">
        <v>215</v>
      </c>
      <c r="AW1" s="91" t="s">
        <v>215</v>
      </c>
    </row>
    <row r="2" spans="1:49" ht="50.25" customHeight="1" x14ac:dyDescent="0.3">
      <c r="A2" s="93" t="s">
        <v>9</v>
      </c>
      <c r="B2" s="30" t="s">
        <v>10</v>
      </c>
      <c r="C2" s="94" t="s">
        <v>11</v>
      </c>
      <c r="D2" s="95" t="s">
        <v>12</v>
      </c>
      <c r="E2" s="95" t="s">
        <v>13</v>
      </c>
      <c r="F2" s="47" t="s">
        <v>141</v>
      </c>
      <c r="G2" s="47" t="s">
        <v>142</v>
      </c>
      <c r="H2" s="47" t="s">
        <v>440</v>
      </c>
      <c r="I2" s="46" t="s">
        <v>143</v>
      </c>
      <c r="J2" s="46" t="s">
        <v>144</v>
      </c>
      <c r="K2" s="46" t="s">
        <v>145</v>
      </c>
      <c r="L2" s="46" t="s">
        <v>146</v>
      </c>
      <c r="M2" s="46" t="s">
        <v>340</v>
      </c>
      <c r="N2" s="46" t="s">
        <v>147</v>
      </c>
      <c r="O2" s="46" t="s">
        <v>458</v>
      </c>
      <c r="P2" s="46" t="s">
        <v>148</v>
      </c>
      <c r="Q2" s="46" t="s">
        <v>149</v>
      </c>
      <c r="R2" s="46" t="s">
        <v>29</v>
      </c>
      <c r="S2" s="46" t="s">
        <v>388</v>
      </c>
      <c r="T2" s="46" t="s">
        <v>389</v>
      </c>
      <c r="U2" s="46" t="s">
        <v>150</v>
      </c>
      <c r="V2" s="46" t="s">
        <v>459</v>
      </c>
      <c r="W2" s="46" t="s">
        <v>151</v>
      </c>
      <c r="X2" s="46" t="s">
        <v>32</v>
      </c>
      <c r="Y2" s="46" t="s">
        <v>152</v>
      </c>
      <c r="Z2" s="46" t="s">
        <v>153</v>
      </c>
      <c r="AA2" s="46" t="s">
        <v>154</v>
      </c>
      <c r="AB2" s="46" t="s">
        <v>158</v>
      </c>
      <c r="AC2" s="46" t="s">
        <v>159</v>
      </c>
      <c r="AD2" s="46" t="s">
        <v>160</v>
      </c>
      <c r="AE2" s="46" t="s">
        <v>162</v>
      </c>
      <c r="AF2" s="46" t="s">
        <v>155</v>
      </c>
      <c r="AG2" s="46" t="s">
        <v>156</v>
      </c>
      <c r="AH2" s="46" t="s">
        <v>364</v>
      </c>
      <c r="AI2" s="46" t="s">
        <v>390</v>
      </c>
      <c r="AJ2" s="18" t="s">
        <v>391</v>
      </c>
      <c r="AK2" s="18" t="s">
        <v>161</v>
      </c>
      <c r="AL2" s="18" t="s">
        <v>471</v>
      </c>
      <c r="AM2" s="18" t="s">
        <v>472</v>
      </c>
      <c r="AN2" s="18" t="s">
        <v>473</v>
      </c>
      <c r="AO2" s="18" t="s">
        <v>474</v>
      </c>
      <c r="AP2" s="18" t="s">
        <v>475</v>
      </c>
      <c r="AQ2" s="18" t="s">
        <v>476</v>
      </c>
      <c r="AR2" s="18" t="s">
        <v>477</v>
      </c>
      <c r="AS2" s="18" t="s">
        <v>157</v>
      </c>
      <c r="AT2" s="18" t="s">
        <v>395</v>
      </c>
      <c r="AU2" s="18" t="s">
        <v>479</v>
      </c>
      <c r="AV2" s="18" t="s">
        <v>394</v>
      </c>
      <c r="AW2" s="18" t="s">
        <v>480</v>
      </c>
    </row>
    <row r="3" spans="1:49" ht="15" customHeight="1" x14ac:dyDescent="0.3">
      <c r="A3" s="114">
        <v>80</v>
      </c>
      <c r="B3" s="36" t="s">
        <v>43</v>
      </c>
      <c r="C3" s="26">
        <v>7096688</v>
      </c>
      <c r="D3" s="26" t="s">
        <v>203</v>
      </c>
      <c r="E3" s="27" t="s">
        <v>204</v>
      </c>
      <c r="F3" s="96"/>
      <c r="G3" s="96"/>
      <c r="H3" s="87"/>
      <c r="I3" s="96">
        <v>1</v>
      </c>
      <c r="J3" s="96">
        <v>1</v>
      </c>
      <c r="K3" s="96">
        <v>1</v>
      </c>
      <c r="L3" s="96">
        <v>1</v>
      </c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>
        <v>1</v>
      </c>
      <c r="AA3" s="96">
        <v>1</v>
      </c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87"/>
      <c r="AW3" s="87"/>
    </row>
    <row r="4" spans="1:49" x14ac:dyDescent="0.3">
      <c r="A4" s="114">
        <v>79</v>
      </c>
      <c r="B4" s="36" t="s">
        <v>42</v>
      </c>
      <c r="C4" s="26">
        <v>7096314</v>
      </c>
      <c r="D4" s="26" t="s">
        <v>205</v>
      </c>
      <c r="E4" s="27" t="s">
        <v>133</v>
      </c>
      <c r="F4" s="96"/>
      <c r="G4" s="96"/>
      <c r="H4" s="87"/>
      <c r="I4" s="96"/>
      <c r="J4" s="96"/>
      <c r="K4" s="96"/>
      <c r="L4" s="87">
        <v>1</v>
      </c>
      <c r="M4" s="87">
        <v>1</v>
      </c>
      <c r="N4" s="87">
        <v>1</v>
      </c>
      <c r="O4" s="87"/>
      <c r="P4" s="96"/>
      <c r="Q4" s="96">
        <v>1</v>
      </c>
      <c r="R4" s="96">
        <v>1</v>
      </c>
      <c r="S4" s="96">
        <v>1</v>
      </c>
      <c r="T4" s="96">
        <v>1</v>
      </c>
      <c r="U4" s="96"/>
      <c r="V4" s="96"/>
      <c r="W4" s="96"/>
      <c r="X4" s="96"/>
      <c r="Y4" s="96"/>
      <c r="Z4" s="96">
        <v>1</v>
      </c>
      <c r="AA4" s="96">
        <v>1</v>
      </c>
      <c r="AB4" s="96"/>
      <c r="AC4" s="96"/>
      <c r="AD4" s="96"/>
      <c r="AE4" s="96"/>
      <c r="AF4" s="96"/>
      <c r="AG4" s="96"/>
      <c r="AH4" s="96"/>
      <c r="AI4" s="96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87">
        <v>1</v>
      </c>
      <c r="AW4" s="87"/>
    </row>
    <row r="5" spans="1:49" x14ac:dyDescent="0.3">
      <c r="A5" s="31"/>
      <c r="B5" s="29"/>
      <c r="C5" s="26">
        <v>7104132</v>
      </c>
      <c r="D5" s="26" t="s">
        <v>486</v>
      </c>
      <c r="E5" s="113" t="s">
        <v>487</v>
      </c>
      <c r="F5" s="87">
        <v>1</v>
      </c>
      <c r="G5" s="87"/>
      <c r="H5" s="87"/>
      <c r="I5" s="87"/>
      <c r="J5" s="87"/>
      <c r="K5" s="87"/>
      <c r="L5" s="87">
        <v>1</v>
      </c>
      <c r="M5" s="87">
        <v>1</v>
      </c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8"/>
      <c r="AA5" s="88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</row>
    <row r="6" spans="1:49" x14ac:dyDescent="0.3">
      <c r="A6" s="115">
        <v>127</v>
      </c>
      <c r="B6" s="28" t="s">
        <v>198</v>
      </c>
      <c r="C6" s="26">
        <v>7402422</v>
      </c>
      <c r="D6" s="26" t="s">
        <v>424</v>
      </c>
      <c r="E6" s="27" t="s">
        <v>425</v>
      </c>
      <c r="F6" s="87">
        <v>1</v>
      </c>
      <c r="G6" s="87"/>
      <c r="H6" s="87">
        <v>1</v>
      </c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>
        <v>1</v>
      </c>
      <c r="X6" s="87"/>
      <c r="Y6" s="87"/>
      <c r="Z6" s="88">
        <v>1</v>
      </c>
      <c r="AA6" s="88">
        <v>1</v>
      </c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>
        <v>1</v>
      </c>
      <c r="AW6" s="87"/>
    </row>
    <row r="7" spans="1:49" x14ac:dyDescent="0.3">
      <c r="A7" s="31"/>
      <c r="B7" s="29"/>
      <c r="C7" s="26">
        <v>7402042</v>
      </c>
      <c r="D7" s="26" t="s">
        <v>441</v>
      </c>
      <c r="E7" s="113" t="s">
        <v>442</v>
      </c>
      <c r="F7" s="87">
        <v>1</v>
      </c>
      <c r="G7" s="87"/>
      <c r="H7" s="87">
        <v>1</v>
      </c>
      <c r="I7" s="87"/>
      <c r="J7" s="87"/>
      <c r="K7" s="87"/>
      <c r="L7" s="87">
        <v>1</v>
      </c>
      <c r="M7" s="87"/>
      <c r="N7" s="87"/>
      <c r="O7" s="87"/>
      <c r="P7" s="87"/>
      <c r="Q7" s="87"/>
      <c r="R7" s="87"/>
      <c r="S7" s="87">
        <v>1</v>
      </c>
      <c r="T7" s="87">
        <v>1</v>
      </c>
      <c r="U7" s="87"/>
      <c r="V7" s="87"/>
      <c r="W7" s="87"/>
      <c r="X7" s="87"/>
      <c r="Y7" s="87"/>
      <c r="Z7" s="88"/>
      <c r="AA7" s="88">
        <v>1</v>
      </c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>
        <v>1</v>
      </c>
      <c r="AO7" s="87"/>
      <c r="AP7" s="87"/>
      <c r="AQ7" s="87"/>
      <c r="AR7" s="87"/>
      <c r="AS7" s="87"/>
      <c r="AT7" s="87"/>
      <c r="AU7" s="87"/>
      <c r="AV7" s="87">
        <v>1</v>
      </c>
      <c r="AW7" s="87"/>
    </row>
    <row r="8" spans="1:49" x14ac:dyDescent="0.3">
      <c r="A8" s="39">
        <v>48</v>
      </c>
      <c r="B8" s="28" t="s">
        <v>43</v>
      </c>
      <c r="C8" s="26">
        <v>7093513</v>
      </c>
      <c r="D8" s="26" t="s">
        <v>44</v>
      </c>
      <c r="E8" s="113" t="s">
        <v>45</v>
      </c>
      <c r="F8" s="87">
        <v>1</v>
      </c>
      <c r="G8" s="87"/>
      <c r="H8" s="87"/>
      <c r="I8" s="87">
        <v>1</v>
      </c>
      <c r="J8" s="87"/>
      <c r="K8" s="87"/>
      <c r="L8" s="87">
        <v>1</v>
      </c>
      <c r="M8" s="87"/>
      <c r="N8" s="87"/>
      <c r="O8" s="87"/>
      <c r="P8" s="87">
        <v>1</v>
      </c>
      <c r="Q8" s="87"/>
      <c r="R8" s="87"/>
      <c r="S8" s="87"/>
      <c r="T8" s="87"/>
      <c r="U8" s="87"/>
      <c r="V8" s="87"/>
      <c r="W8" s="87"/>
      <c r="X8" s="87"/>
      <c r="Y8" s="87"/>
      <c r="Z8" s="88">
        <v>1</v>
      </c>
      <c r="AA8" s="88">
        <v>1</v>
      </c>
      <c r="AB8" s="98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>
        <v>1</v>
      </c>
      <c r="AS8" s="87"/>
      <c r="AT8" s="87"/>
      <c r="AU8" s="87"/>
      <c r="AV8" s="87">
        <v>1</v>
      </c>
      <c r="AW8" s="87"/>
    </row>
    <row r="9" spans="1:49" x14ac:dyDescent="0.3">
      <c r="A9" s="31">
        <v>74</v>
      </c>
      <c r="B9" s="32" t="s">
        <v>49</v>
      </c>
      <c r="C9" s="37">
        <v>7092979</v>
      </c>
      <c r="D9" s="38" t="s">
        <v>201</v>
      </c>
      <c r="E9" s="38" t="s">
        <v>202</v>
      </c>
      <c r="F9" s="87">
        <v>1</v>
      </c>
      <c r="G9" s="87"/>
      <c r="H9" s="87"/>
      <c r="I9" s="87">
        <v>1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>
        <v>1</v>
      </c>
      <c r="U9" s="87">
        <v>1</v>
      </c>
      <c r="V9" s="87"/>
      <c r="W9" s="87"/>
      <c r="X9" s="87"/>
      <c r="Y9" s="87"/>
      <c r="Z9" s="88">
        <v>1</v>
      </c>
      <c r="AA9" s="88">
        <v>1</v>
      </c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>
        <v>1</v>
      </c>
      <c r="AW9" s="87"/>
    </row>
    <row r="10" spans="1:49" x14ac:dyDescent="0.3">
      <c r="A10" s="114">
        <v>5</v>
      </c>
      <c r="B10" s="36" t="s">
        <v>46</v>
      </c>
      <c r="C10" s="26">
        <v>7027489</v>
      </c>
      <c r="D10" s="26" t="s">
        <v>47</v>
      </c>
      <c r="E10" s="27" t="s">
        <v>48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8"/>
      <c r="AA10" s="88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</row>
    <row r="11" spans="1:49" x14ac:dyDescent="0.3">
      <c r="A11" s="31">
        <v>104</v>
      </c>
      <c r="B11" s="104"/>
      <c r="C11" s="26">
        <v>7098023</v>
      </c>
      <c r="D11" s="26" t="s">
        <v>383</v>
      </c>
      <c r="E11" s="27" t="s">
        <v>384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>
        <v>1</v>
      </c>
      <c r="V11" s="87"/>
      <c r="W11" s="87"/>
      <c r="X11" s="87"/>
      <c r="Y11" s="87"/>
      <c r="Z11" s="88">
        <v>1</v>
      </c>
      <c r="AA11" s="88">
        <v>1</v>
      </c>
      <c r="AB11" s="87"/>
      <c r="AC11" s="87"/>
      <c r="AD11" s="87"/>
      <c r="AE11" s="87"/>
      <c r="AF11" s="87">
        <v>1</v>
      </c>
      <c r="AG11" s="87"/>
      <c r="AH11" s="87"/>
      <c r="AI11" s="87">
        <v>1</v>
      </c>
      <c r="AJ11" s="87">
        <v>1</v>
      </c>
      <c r="AK11" s="87"/>
      <c r="AL11" s="87"/>
      <c r="AM11" s="87"/>
      <c r="AN11" s="87"/>
      <c r="AO11" s="87"/>
      <c r="AP11" s="87"/>
      <c r="AQ11" s="87"/>
      <c r="AR11" s="87"/>
      <c r="AS11" s="87">
        <v>1</v>
      </c>
      <c r="AT11" s="87">
        <v>1</v>
      </c>
      <c r="AU11" s="87">
        <v>1</v>
      </c>
      <c r="AV11" s="87">
        <v>1</v>
      </c>
      <c r="AW11" s="87"/>
    </row>
    <row r="12" spans="1:49" x14ac:dyDescent="0.3">
      <c r="A12" s="31">
        <v>62</v>
      </c>
      <c r="B12" s="104" t="s">
        <v>49</v>
      </c>
      <c r="C12" s="26">
        <v>7092320</v>
      </c>
      <c r="D12" s="26" t="s">
        <v>179</v>
      </c>
      <c r="E12" s="27" t="s">
        <v>131</v>
      </c>
      <c r="F12" s="87">
        <v>1</v>
      </c>
      <c r="G12" s="87"/>
      <c r="H12" s="87"/>
      <c r="I12" s="87"/>
      <c r="J12" s="87"/>
      <c r="K12" s="87"/>
      <c r="L12" s="87">
        <v>1</v>
      </c>
      <c r="M12" s="87">
        <v>1</v>
      </c>
      <c r="N12" s="87">
        <v>1</v>
      </c>
      <c r="O12" s="87"/>
      <c r="P12" s="87">
        <v>1</v>
      </c>
      <c r="Q12" s="87"/>
      <c r="R12" s="87"/>
      <c r="S12" s="87"/>
      <c r="T12" s="87"/>
      <c r="U12" s="87"/>
      <c r="V12" s="87"/>
      <c r="W12" s="87"/>
      <c r="X12" s="87">
        <v>1</v>
      </c>
      <c r="Y12" s="87"/>
      <c r="Z12" s="88">
        <v>1</v>
      </c>
      <c r="AA12" s="88">
        <v>1</v>
      </c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>
        <v>1</v>
      </c>
      <c r="AW12" s="87"/>
    </row>
    <row r="13" spans="1:49" x14ac:dyDescent="0.3">
      <c r="A13" s="31">
        <v>107</v>
      </c>
      <c r="B13" s="29" t="s">
        <v>198</v>
      </c>
      <c r="C13" s="33">
        <v>7401960</v>
      </c>
      <c r="D13" s="34" t="s">
        <v>396</v>
      </c>
      <c r="E13" s="34" t="s">
        <v>397</v>
      </c>
      <c r="F13" s="87">
        <v>1</v>
      </c>
      <c r="G13" s="87"/>
      <c r="H13" s="87"/>
      <c r="I13" s="87"/>
      <c r="J13" s="87"/>
      <c r="K13" s="87"/>
      <c r="L13" s="87">
        <v>1</v>
      </c>
      <c r="M13" s="87">
        <v>1</v>
      </c>
      <c r="N13" s="87">
        <v>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8">
        <v>1</v>
      </c>
      <c r="AA13" s="88">
        <v>1</v>
      </c>
      <c r="AB13" s="87"/>
      <c r="AC13" s="87"/>
      <c r="AD13" s="87"/>
      <c r="AE13" s="87"/>
      <c r="AF13" s="87"/>
      <c r="AG13" s="87"/>
      <c r="AH13" s="87"/>
      <c r="AI13" s="87">
        <v>1</v>
      </c>
      <c r="AJ13" s="87">
        <v>1</v>
      </c>
      <c r="AK13" s="87"/>
      <c r="AL13" s="87"/>
      <c r="AM13" s="87"/>
      <c r="AN13" s="87">
        <v>1</v>
      </c>
      <c r="AO13" s="87">
        <v>1</v>
      </c>
      <c r="AP13" s="87">
        <v>1</v>
      </c>
      <c r="AQ13" s="87">
        <v>1</v>
      </c>
      <c r="AR13" s="87"/>
      <c r="AS13" s="87"/>
      <c r="AT13" s="87"/>
      <c r="AU13" s="87"/>
      <c r="AV13" s="87">
        <v>1</v>
      </c>
      <c r="AW13" s="87"/>
    </row>
    <row r="14" spans="1:49" x14ac:dyDescent="0.3">
      <c r="A14" s="31">
        <v>7</v>
      </c>
      <c r="B14" s="110" t="s">
        <v>192</v>
      </c>
      <c r="C14" s="37">
        <v>7027788</v>
      </c>
      <c r="D14" s="38" t="s">
        <v>191</v>
      </c>
      <c r="E14" s="38" t="s">
        <v>78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8"/>
      <c r="AA14" s="88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</row>
    <row r="15" spans="1:49" x14ac:dyDescent="0.3">
      <c r="A15" s="31">
        <v>128</v>
      </c>
      <c r="B15" s="104" t="s">
        <v>198</v>
      </c>
      <c r="C15" s="26">
        <v>7400313</v>
      </c>
      <c r="D15" s="26" t="s">
        <v>426</v>
      </c>
      <c r="E15" s="26" t="s">
        <v>427</v>
      </c>
      <c r="F15" s="87">
        <v>1</v>
      </c>
      <c r="G15" s="87"/>
      <c r="H15" s="87"/>
      <c r="I15" s="87"/>
      <c r="J15" s="87"/>
      <c r="K15" s="87"/>
      <c r="L15" s="87">
        <v>1</v>
      </c>
      <c r="M15" s="87">
        <v>1</v>
      </c>
      <c r="N15" s="87"/>
      <c r="O15" s="87"/>
      <c r="P15" s="87"/>
      <c r="Q15" s="87">
        <v>1</v>
      </c>
      <c r="R15" s="87">
        <v>1</v>
      </c>
      <c r="S15" s="87">
        <v>1</v>
      </c>
      <c r="T15" s="87">
        <v>1</v>
      </c>
      <c r="U15" s="87"/>
      <c r="V15" s="87"/>
      <c r="W15" s="87"/>
      <c r="X15" s="87"/>
      <c r="Y15" s="87"/>
      <c r="Z15" s="88">
        <v>1</v>
      </c>
      <c r="AA15" s="88">
        <v>1</v>
      </c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</row>
    <row r="16" spans="1:49" x14ac:dyDescent="0.3">
      <c r="A16" s="39">
        <v>117</v>
      </c>
      <c r="B16" s="28" t="s">
        <v>198</v>
      </c>
      <c r="C16" s="26">
        <v>7402023</v>
      </c>
      <c r="D16" s="26" t="s">
        <v>398</v>
      </c>
      <c r="E16" s="113" t="s">
        <v>399</v>
      </c>
      <c r="F16" s="87">
        <v>1</v>
      </c>
      <c r="G16" s="87"/>
      <c r="H16" s="87"/>
      <c r="I16" s="87"/>
      <c r="J16" s="87"/>
      <c r="K16" s="87"/>
      <c r="L16" s="87">
        <v>1</v>
      </c>
      <c r="M16" s="87">
        <v>1</v>
      </c>
      <c r="N16" s="87">
        <v>1</v>
      </c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8">
        <v>1</v>
      </c>
      <c r="AA16" s="88">
        <v>1</v>
      </c>
      <c r="AB16" s="98"/>
      <c r="AC16" s="87"/>
      <c r="AD16" s="87"/>
      <c r="AE16" s="87"/>
      <c r="AF16" s="87">
        <v>1</v>
      </c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>
        <v>1</v>
      </c>
      <c r="AW16" s="87"/>
    </row>
    <row r="17" spans="1:49" x14ac:dyDescent="0.3">
      <c r="A17" s="44"/>
      <c r="B17" s="45"/>
      <c r="C17" s="26">
        <v>7402762</v>
      </c>
      <c r="D17" s="26" t="s">
        <v>443</v>
      </c>
      <c r="E17" s="113" t="s">
        <v>444</v>
      </c>
      <c r="F17" s="101">
        <v>1</v>
      </c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>
        <v>1</v>
      </c>
      <c r="T17" s="101">
        <v>1</v>
      </c>
      <c r="U17" s="101"/>
      <c r="V17" s="101"/>
      <c r="W17" s="101"/>
      <c r="X17" s="101"/>
      <c r="Y17" s="101"/>
      <c r="Z17" s="108">
        <v>1</v>
      </c>
      <c r="AA17" s="108">
        <v>1</v>
      </c>
      <c r="AB17" s="101"/>
      <c r="AC17" s="101"/>
      <c r="AD17" s="101"/>
      <c r="AE17" s="101"/>
      <c r="AF17" s="101"/>
      <c r="AG17" s="101">
        <v>1</v>
      </c>
      <c r="AH17" s="101">
        <v>1</v>
      </c>
      <c r="AI17" s="101">
        <v>1</v>
      </c>
      <c r="AJ17" s="101">
        <v>1</v>
      </c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>
        <v>1</v>
      </c>
      <c r="AW17" s="101"/>
    </row>
    <row r="18" spans="1:49" x14ac:dyDescent="0.3">
      <c r="A18" s="31">
        <v>15</v>
      </c>
      <c r="B18" s="110" t="s">
        <v>42</v>
      </c>
      <c r="C18" s="26">
        <v>7051892</v>
      </c>
      <c r="D18" s="26" t="s">
        <v>50</v>
      </c>
      <c r="E18" s="27" t="s">
        <v>51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8">
        <v>1</v>
      </c>
      <c r="AA18" s="88">
        <v>1</v>
      </c>
      <c r="AB18" s="87">
        <v>1</v>
      </c>
      <c r="AC18" s="87"/>
      <c r="AD18" s="87"/>
      <c r="AE18" s="87"/>
      <c r="AF18" s="87">
        <v>1</v>
      </c>
      <c r="AG18" s="87">
        <v>1</v>
      </c>
      <c r="AH18" s="87">
        <v>1</v>
      </c>
      <c r="AI18" s="87">
        <v>1</v>
      </c>
      <c r="AJ18" s="87">
        <v>1</v>
      </c>
      <c r="AK18" s="87">
        <v>1</v>
      </c>
      <c r="AL18" s="87"/>
      <c r="AM18" s="87">
        <v>1</v>
      </c>
      <c r="AN18" s="87"/>
      <c r="AO18" s="87"/>
      <c r="AP18" s="87"/>
      <c r="AQ18" s="87"/>
      <c r="AR18" s="87"/>
      <c r="AS18" s="87"/>
      <c r="AT18" s="87">
        <v>1</v>
      </c>
      <c r="AU18" s="87">
        <v>1</v>
      </c>
      <c r="AV18" s="87">
        <v>1</v>
      </c>
      <c r="AW18" s="87"/>
    </row>
    <row r="19" spans="1:49" x14ac:dyDescent="0.3">
      <c r="A19" s="31">
        <v>71</v>
      </c>
      <c r="B19" s="28" t="s">
        <v>43</v>
      </c>
      <c r="C19" s="26">
        <v>7092642</v>
      </c>
      <c r="D19" s="26" t="s">
        <v>182</v>
      </c>
      <c r="E19" s="27" t="s">
        <v>88</v>
      </c>
      <c r="F19" s="87">
        <v>1</v>
      </c>
      <c r="G19" s="87"/>
      <c r="H19" s="87"/>
      <c r="I19" s="87"/>
      <c r="J19" s="87"/>
      <c r="K19" s="87"/>
      <c r="L19" s="87">
        <v>1</v>
      </c>
      <c r="M19" s="87"/>
      <c r="N19" s="87"/>
      <c r="O19" s="87"/>
      <c r="P19" s="87"/>
      <c r="Q19" s="87"/>
      <c r="R19" s="87"/>
      <c r="S19" s="87"/>
      <c r="T19" s="87">
        <v>1</v>
      </c>
      <c r="U19" s="87"/>
      <c r="V19" s="87"/>
      <c r="W19" s="87"/>
      <c r="X19" s="87"/>
      <c r="Y19" s="87">
        <v>1</v>
      </c>
      <c r="Z19" s="88">
        <v>1</v>
      </c>
      <c r="AA19" s="88">
        <v>1</v>
      </c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</row>
    <row r="20" spans="1:49" x14ac:dyDescent="0.3">
      <c r="A20" s="31">
        <v>53</v>
      </c>
      <c r="B20" s="32" t="s">
        <v>49</v>
      </c>
      <c r="C20" s="33">
        <v>7093556</v>
      </c>
      <c r="D20" s="34" t="s">
        <v>52</v>
      </c>
      <c r="E20" s="34" t="s">
        <v>53</v>
      </c>
      <c r="F20" s="87"/>
      <c r="G20" s="87"/>
      <c r="H20" s="87"/>
      <c r="I20" s="87"/>
      <c r="J20" s="87"/>
      <c r="K20" s="87"/>
      <c r="L20" s="87">
        <v>1</v>
      </c>
      <c r="M20" s="87">
        <v>1</v>
      </c>
      <c r="N20" s="87">
        <v>1</v>
      </c>
      <c r="O20" s="87">
        <v>1</v>
      </c>
      <c r="P20" s="87"/>
      <c r="Q20" s="87">
        <v>1</v>
      </c>
      <c r="R20" s="87"/>
      <c r="S20" s="87">
        <v>1</v>
      </c>
      <c r="T20" s="87">
        <v>1</v>
      </c>
      <c r="U20" s="87"/>
      <c r="V20" s="87"/>
      <c r="W20" s="87"/>
      <c r="X20" s="87"/>
      <c r="Y20" s="87"/>
      <c r="Z20" s="88">
        <v>1</v>
      </c>
      <c r="AA20" s="88">
        <v>1</v>
      </c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>
        <v>1</v>
      </c>
      <c r="AW20" s="87"/>
    </row>
    <row r="21" spans="1:49" x14ac:dyDescent="0.3">
      <c r="A21" s="31">
        <v>90</v>
      </c>
      <c r="B21" s="29" t="s">
        <v>42</v>
      </c>
      <c r="C21" s="26">
        <v>7096419</v>
      </c>
      <c r="D21" s="26" t="s">
        <v>54</v>
      </c>
      <c r="E21" s="26" t="s">
        <v>354</v>
      </c>
      <c r="F21" s="87"/>
      <c r="G21" s="87"/>
      <c r="H21" s="87"/>
      <c r="I21" s="87"/>
      <c r="J21" s="87"/>
      <c r="K21" s="87"/>
      <c r="L21" s="87">
        <v>1</v>
      </c>
      <c r="M21" s="87">
        <v>1</v>
      </c>
      <c r="N21" s="87">
        <v>1</v>
      </c>
      <c r="O21" s="87"/>
      <c r="P21" s="87"/>
      <c r="Q21" s="87">
        <v>1</v>
      </c>
      <c r="R21" s="87"/>
      <c r="S21" s="87">
        <v>1</v>
      </c>
      <c r="T21" s="87">
        <v>1</v>
      </c>
      <c r="U21" s="87"/>
      <c r="V21" s="87"/>
      <c r="W21" s="87"/>
      <c r="X21" s="87"/>
      <c r="Y21" s="87"/>
      <c r="Z21" s="88">
        <v>1</v>
      </c>
      <c r="AA21" s="88">
        <v>1</v>
      </c>
      <c r="AB21" s="87"/>
      <c r="AC21" s="87"/>
      <c r="AD21" s="87"/>
      <c r="AE21" s="87"/>
      <c r="AF21" s="87"/>
      <c r="AG21" s="87">
        <v>1</v>
      </c>
      <c r="AH21" s="87">
        <v>1</v>
      </c>
      <c r="AI21" s="87">
        <v>1</v>
      </c>
      <c r="AJ21" s="87">
        <v>1</v>
      </c>
      <c r="AK21" s="87">
        <v>1</v>
      </c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</row>
    <row r="22" spans="1:49" x14ac:dyDescent="0.3">
      <c r="A22" s="115">
        <v>43</v>
      </c>
      <c r="B22" s="28" t="s">
        <v>42</v>
      </c>
      <c r="C22" s="26">
        <v>7092308</v>
      </c>
      <c r="D22" s="26" t="s">
        <v>54</v>
      </c>
      <c r="E22" s="26" t="s">
        <v>55</v>
      </c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8">
        <v>1</v>
      </c>
      <c r="AA22" s="88">
        <v>1</v>
      </c>
      <c r="AB22" s="87">
        <v>1</v>
      </c>
      <c r="AC22" s="87"/>
      <c r="AD22" s="87"/>
      <c r="AE22" s="87"/>
      <c r="AF22" s="87">
        <v>1</v>
      </c>
      <c r="AG22" s="87">
        <v>1</v>
      </c>
      <c r="AH22" s="87">
        <v>1</v>
      </c>
      <c r="AI22" s="87">
        <v>1</v>
      </c>
      <c r="AJ22" s="87">
        <v>1</v>
      </c>
      <c r="AK22" s="87">
        <v>1</v>
      </c>
      <c r="AL22" s="87"/>
      <c r="AM22" s="87"/>
      <c r="AN22" s="87">
        <v>1</v>
      </c>
      <c r="AO22" s="87">
        <v>1</v>
      </c>
      <c r="AP22" s="87">
        <v>1</v>
      </c>
      <c r="AQ22" s="87">
        <v>1</v>
      </c>
      <c r="AR22" s="87"/>
      <c r="AS22" s="87"/>
      <c r="AT22" s="87"/>
      <c r="AU22" s="87"/>
      <c r="AV22" s="87"/>
      <c r="AW22" s="87"/>
    </row>
    <row r="23" spans="1:49" x14ac:dyDescent="0.3">
      <c r="A23" s="31">
        <v>77</v>
      </c>
      <c r="B23" s="28" t="s">
        <v>42</v>
      </c>
      <c r="C23" s="26">
        <v>7095860</v>
      </c>
      <c r="D23" s="26" t="s">
        <v>193</v>
      </c>
      <c r="E23" s="26" t="s">
        <v>194</v>
      </c>
      <c r="F23" s="87"/>
      <c r="G23" s="87"/>
      <c r="H23" s="87"/>
      <c r="I23" s="87"/>
      <c r="J23" s="87"/>
      <c r="K23" s="87"/>
      <c r="L23" s="99">
        <v>1</v>
      </c>
      <c r="M23" s="87">
        <v>1</v>
      </c>
      <c r="N23" s="87">
        <v>1</v>
      </c>
      <c r="O23" s="87">
        <v>1</v>
      </c>
      <c r="P23" s="87"/>
      <c r="Q23" s="87">
        <v>1</v>
      </c>
      <c r="R23" s="87">
        <v>1</v>
      </c>
      <c r="S23" s="87">
        <v>1</v>
      </c>
      <c r="T23" s="87">
        <v>1</v>
      </c>
      <c r="U23" s="87"/>
      <c r="V23" s="87"/>
      <c r="W23" s="87"/>
      <c r="X23" s="87"/>
      <c r="Y23" s="87"/>
      <c r="Z23" s="88">
        <v>1</v>
      </c>
      <c r="AA23" s="88">
        <v>1</v>
      </c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>
        <v>1</v>
      </c>
      <c r="AW23" s="87"/>
    </row>
    <row r="24" spans="1:49" x14ac:dyDescent="0.3">
      <c r="A24" s="114">
        <v>11</v>
      </c>
      <c r="B24" s="28" t="s">
        <v>49</v>
      </c>
      <c r="C24" s="40">
        <v>7042058</v>
      </c>
      <c r="D24" s="40" t="s">
        <v>56</v>
      </c>
      <c r="E24" s="40" t="s">
        <v>57</v>
      </c>
      <c r="F24" s="87">
        <v>1</v>
      </c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>
        <v>1</v>
      </c>
      <c r="X24" s="87">
        <v>1</v>
      </c>
      <c r="Y24" s="87"/>
      <c r="Z24" s="88">
        <v>1</v>
      </c>
      <c r="AA24" s="88">
        <v>1</v>
      </c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>
        <v>1</v>
      </c>
      <c r="AW24" s="87"/>
    </row>
    <row r="25" spans="1:49" x14ac:dyDescent="0.3">
      <c r="A25" s="31">
        <v>87</v>
      </c>
      <c r="B25" s="29" t="s">
        <v>42</v>
      </c>
      <c r="C25" s="26">
        <v>7096844</v>
      </c>
      <c r="D25" s="26" t="s">
        <v>362</v>
      </c>
      <c r="E25" s="27" t="s">
        <v>360</v>
      </c>
      <c r="F25" s="87">
        <v>1</v>
      </c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>
        <v>1</v>
      </c>
      <c r="V25" s="87"/>
      <c r="W25" s="87"/>
      <c r="X25" s="87"/>
      <c r="Y25" s="87"/>
      <c r="Z25" s="88">
        <v>1</v>
      </c>
      <c r="AA25" s="88">
        <v>1</v>
      </c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>
        <v>1</v>
      </c>
      <c r="AW25" s="87"/>
    </row>
    <row r="26" spans="1:49" x14ac:dyDescent="0.3">
      <c r="A26" s="31">
        <v>85</v>
      </c>
      <c r="B26" s="28" t="s">
        <v>49</v>
      </c>
      <c r="C26" s="26">
        <v>7096839</v>
      </c>
      <c r="D26" s="26" t="s">
        <v>345</v>
      </c>
      <c r="E26" s="27" t="s">
        <v>346</v>
      </c>
      <c r="F26" s="87"/>
      <c r="G26" s="87"/>
      <c r="H26" s="87"/>
      <c r="I26" s="87"/>
      <c r="J26" s="87"/>
      <c r="K26" s="87"/>
      <c r="L26" s="87">
        <v>1</v>
      </c>
      <c r="M26" s="87">
        <v>1</v>
      </c>
      <c r="N26" s="87">
        <v>1</v>
      </c>
      <c r="O26" s="87"/>
      <c r="P26" s="87">
        <v>1</v>
      </c>
      <c r="Q26" s="87">
        <v>1</v>
      </c>
      <c r="R26" s="87"/>
      <c r="S26" s="87"/>
      <c r="T26" s="87"/>
      <c r="U26" s="87"/>
      <c r="V26" s="87"/>
      <c r="W26" s="87"/>
      <c r="X26" s="87"/>
      <c r="Y26" s="87"/>
      <c r="Z26" s="88">
        <v>1</v>
      </c>
      <c r="AA26" s="88">
        <v>1</v>
      </c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>
        <v>1</v>
      </c>
      <c r="AM26" s="87"/>
      <c r="AN26" s="87"/>
      <c r="AO26" s="87"/>
      <c r="AP26" s="87"/>
      <c r="AQ26" s="87"/>
      <c r="AR26" s="87">
        <v>1</v>
      </c>
      <c r="AS26" s="87"/>
      <c r="AT26" s="87"/>
      <c r="AU26" s="87"/>
      <c r="AV26" s="87">
        <v>1</v>
      </c>
      <c r="AW26" s="87"/>
    </row>
    <row r="27" spans="1:49" x14ac:dyDescent="0.3">
      <c r="A27" s="115">
        <v>12</v>
      </c>
      <c r="B27" s="29" t="s">
        <v>49</v>
      </c>
      <c r="C27" s="26">
        <v>7027781</v>
      </c>
      <c r="D27" s="26" t="s">
        <v>58</v>
      </c>
      <c r="E27" s="26" t="s">
        <v>59</v>
      </c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8">
        <v>1</v>
      </c>
      <c r="AA27" s="88">
        <v>1</v>
      </c>
      <c r="AB27" s="87">
        <v>1</v>
      </c>
      <c r="AC27" s="87"/>
      <c r="AD27" s="87"/>
      <c r="AE27" s="87"/>
      <c r="AF27" s="87">
        <v>1</v>
      </c>
      <c r="AG27" s="87"/>
      <c r="AH27" s="87"/>
      <c r="AI27" s="87">
        <v>1</v>
      </c>
      <c r="AJ27" s="87">
        <v>1</v>
      </c>
      <c r="AK27" s="87">
        <v>1</v>
      </c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</row>
    <row r="28" spans="1:49" x14ac:dyDescent="0.3">
      <c r="A28" s="115">
        <v>78</v>
      </c>
      <c r="B28" s="29" t="s">
        <v>43</v>
      </c>
      <c r="C28" s="26">
        <v>7095862</v>
      </c>
      <c r="D28" s="26" t="s">
        <v>481</v>
      </c>
      <c r="E28" s="26" t="s">
        <v>482</v>
      </c>
      <c r="F28" s="87"/>
      <c r="G28" s="87"/>
      <c r="H28" s="87"/>
      <c r="I28" s="87"/>
      <c r="J28" s="87"/>
      <c r="K28" s="87">
        <v>1</v>
      </c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8"/>
      <c r="AA28" s="88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</row>
    <row r="29" spans="1:49" x14ac:dyDescent="0.3">
      <c r="A29" s="31">
        <v>42</v>
      </c>
      <c r="B29" s="29" t="s">
        <v>43</v>
      </c>
      <c r="C29" s="26">
        <v>7092742</v>
      </c>
      <c r="D29" s="26" t="s">
        <v>60</v>
      </c>
      <c r="E29" s="27" t="s">
        <v>61</v>
      </c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8">
        <v>1</v>
      </c>
      <c r="AA29" s="88">
        <v>1</v>
      </c>
      <c r="AB29" s="87">
        <v>1</v>
      </c>
      <c r="AC29" s="87"/>
      <c r="AD29" s="87"/>
      <c r="AE29" s="87"/>
      <c r="AF29" s="87">
        <v>1</v>
      </c>
      <c r="AG29" s="87"/>
      <c r="AH29" s="87"/>
      <c r="AI29" s="87">
        <v>1</v>
      </c>
      <c r="AJ29" s="87">
        <v>1</v>
      </c>
      <c r="AK29" s="87">
        <v>1</v>
      </c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</row>
    <row r="30" spans="1:49" x14ac:dyDescent="0.3">
      <c r="A30" s="31">
        <v>60</v>
      </c>
      <c r="B30" s="32" t="s">
        <v>49</v>
      </c>
      <c r="C30" s="42">
        <v>7094360</v>
      </c>
      <c r="D30" s="43" t="s">
        <v>62</v>
      </c>
      <c r="E30" s="100" t="s">
        <v>177</v>
      </c>
      <c r="F30" s="87">
        <v>1</v>
      </c>
      <c r="G30" s="87"/>
      <c r="H30" s="87"/>
      <c r="I30" s="87"/>
      <c r="J30" s="87"/>
      <c r="K30" s="87"/>
      <c r="L30" s="87">
        <v>1</v>
      </c>
      <c r="M30" s="87">
        <v>1</v>
      </c>
      <c r="N30" s="87">
        <v>1</v>
      </c>
      <c r="O30" s="87"/>
      <c r="P30" s="87"/>
      <c r="Q30" s="87"/>
      <c r="R30" s="87"/>
      <c r="S30" s="87">
        <v>1</v>
      </c>
      <c r="T30" s="87">
        <v>1</v>
      </c>
      <c r="U30" s="87"/>
      <c r="V30" s="87"/>
      <c r="W30" s="87"/>
      <c r="X30" s="87"/>
      <c r="Y30" s="87"/>
      <c r="Z30" s="88">
        <v>1</v>
      </c>
      <c r="AA30" s="88">
        <v>1</v>
      </c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>
        <v>1</v>
      </c>
      <c r="AW30" s="87"/>
    </row>
    <row r="31" spans="1:49" x14ac:dyDescent="0.3">
      <c r="A31" s="31">
        <v>6</v>
      </c>
      <c r="B31" s="32" t="s">
        <v>43</v>
      </c>
      <c r="C31" s="26">
        <v>7027011</v>
      </c>
      <c r="D31" s="26" t="s">
        <v>62</v>
      </c>
      <c r="E31" s="27" t="s">
        <v>63</v>
      </c>
      <c r="F31" s="87"/>
      <c r="G31" s="87"/>
      <c r="H31" s="87"/>
      <c r="I31" s="87">
        <v>1</v>
      </c>
      <c r="J31" s="87">
        <v>1</v>
      </c>
      <c r="K31" s="87">
        <v>1</v>
      </c>
      <c r="L31" s="87">
        <v>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8">
        <v>1</v>
      </c>
      <c r="AA31" s="88">
        <v>1</v>
      </c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</row>
    <row r="32" spans="1:49" x14ac:dyDescent="0.3">
      <c r="A32" s="31">
        <v>55</v>
      </c>
      <c r="B32" s="29" t="s">
        <v>49</v>
      </c>
      <c r="C32" s="33">
        <v>7094195</v>
      </c>
      <c r="D32" s="34" t="s">
        <v>190</v>
      </c>
      <c r="E32" s="34" t="s">
        <v>106</v>
      </c>
      <c r="F32" s="87">
        <v>1</v>
      </c>
      <c r="G32" s="87"/>
      <c r="H32" s="87"/>
      <c r="I32" s="87"/>
      <c r="J32" s="87"/>
      <c r="K32" s="87"/>
      <c r="L32" s="87">
        <v>1</v>
      </c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8">
        <v>1</v>
      </c>
      <c r="AA32" s="88">
        <v>1</v>
      </c>
      <c r="AB32" s="87"/>
      <c r="AC32" s="87"/>
      <c r="AD32" s="87"/>
      <c r="AE32" s="87"/>
      <c r="AF32" s="87">
        <v>1</v>
      </c>
      <c r="AG32" s="87">
        <v>1</v>
      </c>
      <c r="AH32" s="87">
        <v>1</v>
      </c>
      <c r="AI32" s="87">
        <v>1</v>
      </c>
      <c r="AJ32" s="87">
        <v>1</v>
      </c>
      <c r="AK32" s="87"/>
      <c r="AL32" s="87"/>
      <c r="AM32" s="87"/>
      <c r="AN32" s="87"/>
      <c r="AO32" s="87"/>
      <c r="AP32" s="87"/>
      <c r="AQ32" s="87"/>
      <c r="AR32" s="87"/>
      <c r="AS32" s="87"/>
      <c r="AT32" s="87">
        <v>1</v>
      </c>
      <c r="AU32" s="87">
        <v>1</v>
      </c>
      <c r="AV32" s="87">
        <v>1</v>
      </c>
      <c r="AW32" s="87"/>
    </row>
    <row r="33" spans="1:49" x14ac:dyDescent="0.3">
      <c r="A33" s="31">
        <v>29</v>
      </c>
      <c r="B33" s="32" t="s">
        <v>46</v>
      </c>
      <c r="C33" s="26">
        <v>7091826</v>
      </c>
      <c r="D33" s="26" t="s">
        <v>64</v>
      </c>
      <c r="E33" s="27" t="s">
        <v>65</v>
      </c>
      <c r="F33" s="87">
        <v>1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8">
        <v>1</v>
      </c>
      <c r="AA33" s="88">
        <v>1</v>
      </c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</row>
    <row r="34" spans="1:49" x14ac:dyDescent="0.3">
      <c r="A34" s="31">
        <v>121</v>
      </c>
      <c r="B34" s="29" t="s">
        <v>341</v>
      </c>
      <c r="C34" s="33">
        <v>7402166</v>
      </c>
      <c r="D34" s="34" t="s">
        <v>64</v>
      </c>
      <c r="E34" s="34" t="s">
        <v>430</v>
      </c>
      <c r="F34" s="87">
        <v>1</v>
      </c>
      <c r="G34" s="87"/>
      <c r="H34" s="87"/>
      <c r="I34" s="87">
        <v>1</v>
      </c>
      <c r="J34" s="87"/>
      <c r="K34" s="87"/>
      <c r="L34" s="87">
        <v>1</v>
      </c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8"/>
      <c r="AA34" s="88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</row>
    <row r="35" spans="1:49" x14ac:dyDescent="0.3">
      <c r="A35" s="31">
        <v>16</v>
      </c>
      <c r="B35" s="104" t="s">
        <v>42</v>
      </c>
      <c r="C35" s="26">
        <v>7051891</v>
      </c>
      <c r="D35" s="26" t="s">
        <v>66</v>
      </c>
      <c r="E35" s="27" t="s">
        <v>67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8">
        <v>1</v>
      </c>
      <c r="AA35" s="88">
        <v>1</v>
      </c>
      <c r="AB35" s="87">
        <v>1</v>
      </c>
      <c r="AC35" s="87"/>
      <c r="AD35" s="87"/>
      <c r="AE35" s="87"/>
      <c r="AF35" s="87">
        <v>1</v>
      </c>
      <c r="AG35" s="87">
        <v>1</v>
      </c>
      <c r="AH35" s="87"/>
      <c r="AI35" s="87">
        <v>1</v>
      </c>
      <c r="AJ35" s="87">
        <v>1</v>
      </c>
      <c r="AK35" s="87">
        <v>1</v>
      </c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</row>
    <row r="36" spans="1:49" x14ac:dyDescent="0.3">
      <c r="A36" s="112"/>
      <c r="B36" s="110"/>
      <c r="C36" s="28">
        <v>7401878</v>
      </c>
      <c r="D36" s="28" t="s">
        <v>445</v>
      </c>
      <c r="E36" s="28" t="s">
        <v>446</v>
      </c>
      <c r="F36" s="101">
        <v>1</v>
      </c>
      <c r="G36" s="101"/>
      <c r="H36" s="101"/>
      <c r="I36" s="101"/>
      <c r="J36" s="101"/>
      <c r="K36" s="101"/>
      <c r="L36" s="101">
        <v>1</v>
      </c>
      <c r="M36" s="101">
        <v>1</v>
      </c>
      <c r="N36" s="101">
        <v>1</v>
      </c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8"/>
      <c r="AA36" s="108">
        <v>1</v>
      </c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>
        <v>1</v>
      </c>
      <c r="AW36" s="101"/>
    </row>
    <row r="37" spans="1:49" x14ac:dyDescent="0.3">
      <c r="A37" s="115">
        <v>17</v>
      </c>
      <c r="B37" s="28" t="s">
        <v>49</v>
      </c>
      <c r="C37" s="26">
        <v>7051764</v>
      </c>
      <c r="D37" s="26" t="s">
        <v>68</v>
      </c>
      <c r="E37" s="113" t="s">
        <v>69</v>
      </c>
      <c r="F37" s="87"/>
      <c r="G37" s="87"/>
      <c r="H37" s="87"/>
      <c r="I37" s="87"/>
      <c r="J37" s="87"/>
      <c r="K37" s="87"/>
      <c r="L37" s="87">
        <v>1</v>
      </c>
      <c r="M37" s="87">
        <v>1</v>
      </c>
      <c r="N37" s="87">
        <v>1</v>
      </c>
      <c r="O37" s="87"/>
      <c r="P37" s="87"/>
      <c r="Q37" s="87">
        <v>1</v>
      </c>
      <c r="R37" s="87">
        <v>1</v>
      </c>
      <c r="S37" s="87">
        <v>1</v>
      </c>
      <c r="T37" s="87">
        <v>1</v>
      </c>
      <c r="U37" s="87"/>
      <c r="V37" s="87"/>
      <c r="W37" s="87"/>
      <c r="X37" s="87"/>
      <c r="Y37" s="87"/>
      <c r="Z37" s="88">
        <v>1</v>
      </c>
      <c r="AA37" s="88">
        <v>1</v>
      </c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87"/>
      <c r="AS37" s="87"/>
      <c r="AT37" s="87"/>
      <c r="AU37" s="87"/>
      <c r="AV37" s="87"/>
      <c r="AW37" s="87"/>
    </row>
    <row r="38" spans="1:49" x14ac:dyDescent="0.3">
      <c r="A38" s="115"/>
      <c r="B38" s="29"/>
      <c r="C38" s="28">
        <v>7402080</v>
      </c>
      <c r="D38" s="28" t="s">
        <v>447</v>
      </c>
      <c r="E38" s="28" t="s">
        <v>99</v>
      </c>
      <c r="F38" s="87">
        <v>1</v>
      </c>
      <c r="G38" s="87"/>
      <c r="H38" s="87"/>
      <c r="I38" s="87"/>
      <c r="J38" s="87"/>
      <c r="K38" s="87"/>
      <c r="L38" s="87">
        <v>1</v>
      </c>
      <c r="M38" s="87">
        <v>1</v>
      </c>
      <c r="N38" s="87">
        <v>1</v>
      </c>
      <c r="O38" s="87">
        <v>1</v>
      </c>
      <c r="P38" s="87"/>
      <c r="Q38" s="87"/>
      <c r="R38" s="87"/>
      <c r="S38" s="87">
        <v>1</v>
      </c>
      <c r="T38" s="87">
        <v>1</v>
      </c>
      <c r="U38" s="87"/>
      <c r="V38" s="87"/>
      <c r="W38" s="87"/>
      <c r="X38" s="87"/>
      <c r="Y38" s="87">
        <v>1</v>
      </c>
      <c r="Z38" s="88">
        <v>1</v>
      </c>
      <c r="AA38" s="88">
        <v>1</v>
      </c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>
        <v>1</v>
      </c>
      <c r="AW38" s="87"/>
    </row>
    <row r="39" spans="1:49" x14ac:dyDescent="0.3">
      <c r="A39" s="31">
        <v>57</v>
      </c>
      <c r="B39" s="28" t="s">
        <v>42</v>
      </c>
      <c r="C39" s="26">
        <v>7092660</v>
      </c>
      <c r="D39" s="26" t="s">
        <v>169</v>
      </c>
      <c r="E39" s="27" t="s">
        <v>170</v>
      </c>
      <c r="F39" s="87">
        <v>1</v>
      </c>
      <c r="G39" s="87"/>
      <c r="H39" s="87"/>
      <c r="I39" s="87"/>
      <c r="J39" s="87"/>
      <c r="K39" s="87"/>
      <c r="L39" s="87">
        <v>1</v>
      </c>
      <c r="M39" s="87"/>
      <c r="N39" s="87"/>
      <c r="O39" s="87"/>
      <c r="P39" s="87">
        <v>1</v>
      </c>
      <c r="Q39" s="87"/>
      <c r="R39" s="87"/>
      <c r="S39" s="87"/>
      <c r="T39" s="87"/>
      <c r="U39" s="87"/>
      <c r="V39" s="87"/>
      <c r="W39" s="87">
        <v>1</v>
      </c>
      <c r="X39" s="87"/>
      <c r="Y39" s="87"/>
      <c r="Z39" s="88">
        <v>1</v>
      </c>
      <c r="AA39" s="88">
        <v>1</v>
      </c>
      <c r="AB39" s="87"/>
      <c r="AC39" s="87"/>
      <c r="AD39" s="87"/>
      <c r="AE39" s="87">
        <v>1</v>
      </c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>
        <v>1</v>
      </c>
      <c r="AW39" s="87"/>
    </row>
    <row r="40" spans="1:49" x14ac:dyDescent="0.3">
      <c r="A40" s="31">
        <v>116</v>
      </c>
      <c r="B40" s="32"/>
      <c r="C40" s="37">
        <v>7402314</v>
      </c>
      <c r="D40" s="38" t="s">
        <v>412</v>
      </c>
      <c r="E40" s="38" t="s">
        <v>78</v>
      </c>
      <c r="F40" s="87">
        <v>1</v>
      </c>
      <c r="G40" s="87"/>
      <c r="H40" s="87">
        <v>1</v>
      </c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>
        <v>1</v>
      </c>
      <c r="X40" s="87"/>
      <c r="Y40" s="87"/>
      <c r="Z40" s="88"/>
      <c r="AA40" s="88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>
        <v>1</v>
      </c>
      <c r="AW40" s="87"/>
    </row>
    <row r="41" spans="1:49" x14ac:dyDescent="0.3">
      <c r="A41" s="31">
        <v>28</v>
      </c>
      <c r="B41" s="28" t="s">
        <v>43</v>
      </c>
      <c r="C41" s="33">
        <v>7077347</v>
      </c>
      <c r="D41" s="34" t="s">
        <v>70</v>
      </c>
      <c r="E41" s="34" t="s">
        <v>71</v>
      </c>
      <c r="F41" s="87">
        <v>1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>
        <v>1</v>
      </c>
      <c r="Y41" s="87"/>
      <c r="Z41" s="88">
        <v>1</v>
      </c>
      <c r="AA41" s="88">
        <v>1</v>
      </c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>
        <v>1</v>
      </c>
      <c r="AW41" s="87"/>
    </row>
    <row r="42" spans="1:49" x14ac:dyDescent="0.3">
      <c r="A42" s="31">
        <v>66</v>
      </c>
      <c r="B42" s="28" t="s">
        <v>43</v>
      </c>
      <c r="C42" s="26">
        <v>7095758</v>
      </c>
      <c r="D42" s="26" t="s">
        <v>183</v>
      </c>
      <c r="E42" s="26" t="s">
        <v>184</v>
      </c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8">
        <v>1</v>
      </c>
      <c r="AA42" s="88">
        <v>1</v>
      </c>
      <c r="AB42" s="87"/>
      <c r="AC42" s="87"/>
      <c r="AD42" s="87"/>
      <c r="AE42" s="87"/>
      <c r="AF42" s="87">
        <v>1</v>
      </c>
      <c r="AG42" s="87">
        <v>1</v>
      </c>
      <c r="AH42" s="87"/>
      <c r="AI42" s="87">
        <v>1</v>
      </c>
      <c r="AJ42" s="87">
        <v>1</v>
      </c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</row>
    <row r="43" spans="1:49" x14ac:dyDescent="0.3">
      <c r="A43" s="31">
        <v>86</v>
      </c>
      <c r="B43" s="32" t="s">
        <v>42</v>
      </c>
      <c r="C43" s="37">
        <v>7095865</v>
      </c>
      <c r="D43" s="34" t="s">
        <v>353</v>
      </c>
      <c r="E43" s="34" t="s">
        <v>45</v>
      </c>
      <c r="F43" s="87">
        <v>1</v>
      </c>
      <c r="G43" s="87"/>
      <c r="H43" s="87">
        <v>1</v>
      </c>
      <c r="I43" s="87"/>
      <c r="J43" s="87"/>
      <c r="K43" s="87"/>
      <c r="L43" s="87">
        <v>1</v>
      </c>
      <c r="M43" s="87">
        <v>1</v>
      </c>
      <c r="N43" s="87">
        <v>1</v>
      </c>
      <c r="O43" s="87">
        <v>1</v>
      </c>
      <c r="P43" s="87"/>
      <c r="Q43" s="87">
        <v>1</v>
      </c>
      <c r="R43" s="87">
        <v>1</v>
      </c>
      <c r="S43" s="87">
        <v>1</v>
      </c>
      <c r="T43" s="87">
        <v>1</v>
      </c>
      <c r="U43" s="87"/>
      <c r="V43" s="87"/>
      <c r="W43" s="87"/>
      <c r="X43" s="87"/>
      <c r="Y43" s="87"/>
      <c r="Z43" s="88">
        <v>1</v>
      </c>
      <c r="AA43" s="88">
        <v>1</v>
      </c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>
        <v>1</v>
      </c>
      <c r="AW43" s="87"/>
    </row>
    <row r="44" spans="1:49" x14ac:dyDescent="0.3">
      <c r="A44" s="31">
        <v>97</v>
      </c>
      <c r="B44" s="32"/>
      <c r="C44" s="33">
        <v>7401072</v>
      </c>
      <c r="D44" s="34" t="s">
        <v>372</v>
      </c>
      <c r="E44" s="34" t="s">
        <v>373</v>
      </c>
      <c r="F44" s="87"/>
      <c r="G44" s="87"/>
      <c r="H44" s="87"/>
      <c r="I44" s="87"/>
      <c r="J44" s="87"/>
      <c r="K44" s="87">
        <v>1</v>
      </c>
      <c r="L44" s="87">
        <v>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8">
        <v>1</v>
      </c>
      <c r="AA44" s="88">
        <v>1</v>
      </c>
      <c r="AB44" s="87"/>
      <c r="AC44" s="87"/>
      <c r="AD44" s="87"/>
      <c r="AE44" s="87"/>
      <c r="AF44" s="87">
        <v>1</v>
      </c>
      <c r="AG44" s="87"/>
      <c r="AH44" s="87"/>
      <c r="AI44" s="87">
        <v>1</v>
      </c>
      <c r="AJ44" s="87">
        <v>1</v>
      </c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>
        <v>1</v>
      </c>
      <c r="AW44" s="87"/>
    </row>
    <row r="45" spans="1:49" x14ac:dyDescent="0.3">
      <c r="A45" s="115">
        <v>78</v>
      </c>
      <c r="B45" s="28" t="s">
        <v>198</v>
      </c>
      <c r="C45" s="119">
        <v>7095735</v>
      </c>
      <c r="D45" s="120" t="s">
        <v>199</v>
      </c>
      <c r="E45" s="120" t="s">
        <v>200</v>
      </c>
      <c r="F45" s="87">
        <v>1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>
        <v>1</v>
      </c>
      <c r="V45" s="87">
        <v>1</v>
      </c>
      <c r="W45" s="87">
        <v>1</v>
      </c>
      <c r="X45" s="87"/>
      <c r="Y45" s="87"/>
      <c r="Z45" s="88">
        <v>1</v>
      </c>
      <c r="AA45" s="88">
        <v>1</v>
      </c>
      <c r="AB45" s="87"/>
      <c r="AC45" s="87"/>
      <c r="AD45" s="87"/>
      <c r="AE45" s="87"/>
      <c r="AF45" s="87"/>
      <c r="AG45" s="87"/>
      <c r="AH45" s="87">
        <v>1</v>
      </c>
      <c r="AI45" s="87">
        <v>1</v>
      </c>
      <c r="AJ45" s="87">
        <v>1</v>
      </c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>
        <v>1</v>
      </c>
      <c r="AW45" s="87"/>
    </row>
    <row r="46" spans="1:49" x14ac:dyDescent="0.3">
      <c r="A46" s="115">
        <v>96</v>
      </c>
      <c r="B46" s="87" t="s">
        <v>49</v>
      </c>
      <c r="C46" s="33">
        <v>7098056</v>
      </c>
      <c r="D46" s="34" t="s">
        <v>365</v>
      </c>
      <c r="E46" s="34" t="s">
        <v>67</v>
      </c>
      <c r="F46" s="87">
        <v>1</v>
      </c>
      <c r="G46" s="87"/>
      <c r="H46" s="87">
        <v>1</v>
      </c>
      <c r="I46" s="87"/>
      <c r="J46" s="87"/>
      <c r="K46" s="87"/>
      <c r="L46" s="87">
        <v>1</v>
      </c>
      <c r="M46" s="87">
        <v>1</v>
      </c>
      <c r="N46" s="87">
        <v>1</v>
      </c>
      <c r="O46" s="87">
        <v>1</v>
      </c>
      <c r="P46" s="87"/>
      <c r="Q46" s="87">
        <v>1</v>
      </c>
      <c r="R46" s="87">
        <v>1</v>
      </c>
      <c r="S46" s="87">
        <v>1</v>
      </c>
      <c r="T46" s="87">
        <v>1</v>
      </c>
      <c r="U46" s="87"/>
      <c r="V46" s="87"/>
      <c r="W46" s="87">
        <v>1</v>
      </c>
      <c r="X46" s="87"/>
      <c r="Y46" s="87">
        <v>1</v>
      </c>
      <c r="Z46" s="88">
        <v>1</v>
      </c>
      <c r="AA46" s="88">
        <v>1</v>
      </c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>
        <v>1</v>
      </c>
      <c r="AW46" s="87"/>
    </row>
    <row r="47" spans="1:49" x14ac:dyDescent="0.3">
      <c r="A47" s="114">
        <v>61</v>
      </c>
      <c r="B47" s="36" t="s">
        <v>49</v>
      </c>
      <c r="C47" s="26">
        <v>7077343</v>
      </c>
      <c r="D47" s="26" t="s">
        <v>168</v>
      </c>
      <c r="E47" s="27" t="s">
        <v>100</v>
      </c>
      <c r="F47" s="87">
        <v>1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>
        <v>1</v>
      </c>
      <c r="V47" s="87"/>
      <c r="W47" s="87"/>
      <c r="X47" s="87"/>
      <c r="Y47" s="87"/>
      <c r="Z47" s="88">
        <v>1</v>
      </c>
      <c r="AA47" s="88">
        <v>1</v>
      </c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</row>
    <row r="48" spans="1:49" x14ac:dyDescent="0.3">
      <c r="A48" s="115">
        <v>34</v>
      </c>
      <c r="B48" s="29" t="s">
        <v>43</v>
      </c>
      <c r="C48" s="26">
        <v>7074372</v>
      </c>
      <c r="D48" s="26" t="s">
        <v>72</v>
      </c>
      <c r="E48" s="26" t="s">
        <v>73</v>
      </c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>
        <v>1</v>
      </c>
      <c r="Q48" s="87"/>
      <c r="R48" s="87"/>
      <c r="S48" s="87"/>
      <c r="T48" s="87"/>
      <c r="U48" s="87"/>
      <c r="V48" s="87"/>
      <c r="W48" s="87"/>
      <c r="X48" s="87"/>
      <c r="Y48" s="87"/>
      <c r="Z48" s="88">
        <v>1</v>
      </c>
      <c r="AA48" s="88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</row>
    <row r="49" spans="1:49" x14ac:dyDescent="0.3">
      <c r="A49" s="31">
        <v>84</v>
      </c>
      <c r="B49" s="29" t="s">
        <v>42</v>
      </c>
      <c r="C49" s="33">
        <v>7095749</v>
      </c>
      <c r="D49" s="34" t="s">
        <v>347</v>
      </c>
      <c r="E49" s="34" t="s">
        <v>348</v>
      </c>
      <c r="F49" s="87"/>
      <c r="G49" s="87"/>
      <c r="H49" s="87"/>
      <c r="I49" s="87"/>
      <c r="J49" s="87"/>
      <c r="K49" s="87"/>
      <c r="L49" s="87">
        <v>1</v>
      </c>
      <c r="M49" s="87">
        <v>1</v>
      </c>
      <c r="N49" s="87">
        <v>1</v>
      </c>
      <c r="O49" s="87"/>
      <c r="P49" s="87">
        <v>1</v>
      </c>
      <c r="Q49" s="87">
        <v>1</v>
      </c>
      <c r="R49" s="87"/>
      <c r="S49" s="87">
        <v>1</v>
      </c>
      <c r="T49" s="87"/>
      <c r="U49" s="87"/>
      <c r="V49" s="87"/>
      <c r="W49" s="87"/>
      <c r="X49" s="87"/>
      <c r="Y49" s="87"/>
      <c r="Z49" s="88">
        <v>1</v>
      </c>
      <c r="AA49" s="88">
        <v>1</v>
      </c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</row>
    <row r="50" spans="1:49" x14ac:dyDescent="0.3">
      <c r="A50" s="31"/>
      <c r="B50" s="32"/>
      <c r="C50" s="28">
        <v>7401169</v>
      </c>
      <c r="D50" s="28" t="s">
        <v>448</v>
      </c>
      <c r="E50" s="28" t="s">
        <v>449</v>
      </c>
      <c r="F50" s="87">
        <v>1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>
        <v>1</v>
      </c>
      <c r="T50" s="87">
        <v>1</v>
      </c>
      <c r="U50" s="87"/>
      <c r="V50" s="87"/>
      <c r="W50" s="87"/>
      <c r="X50" s="87"/>
      <c r="Y50" s="87">
        <v>1</v>
      </c>
      <c r="Z50" s="88"/>
      <c r="AA50" s="88">
        <v>1</v>
      </c>
      <c r="AB50" s="98"/>
      <c r="AC50" s="87"/>
      <c r="AD50" s="87"/>
      <c r="AE50" s="87"/>
      <c r="AF50" s="87"/>
      <c r="AG50" s="87"/>
      <c r="AH50" s="87"/>
      <c r="AI50" s="87"/>
      <c r="AJ50" s="87"/>
      <c r="AK50" s="87"/>
      <c r="AL50" s="87">
        <v>1</v>
      </c>
      <c r="AM50" s="87"/>
      <c r="AN50" s="87"/>
      <c r="AO50" s="87"/>
      <c r="AP50" s="87"/>
      <c r="AQ50" s="87"/>
      <c r="AR50" s="87"/>
      <c r="AS50" s="87"/>
      <c r="AT50" s="87"/>
      <c r="AU50" s="87"/>
      <c r="AV50" s="87">
        <v>1</v>
      </c>
      <c r="AW50" s="87"/>
    </row>
    <row r="51" spans="1:49" x14ac:dyDescent="0.3">
      <c r="A51" s="31">
        <v>3</v>
      </c>
      <c r="B51" s="32" t="s">
        <v>49</v>
      </c>
      <c r="C51" s="26">
        <v>7026887</v>
      </c>
      <c r="D51" s="26" t="s">
        <v>75</v>
      </c>
      <c r="E51" s="27" t="s">
        <v>76</v>
      </c>
      <c r="F51" s="87"/>
      <c r="G51" s="87"/>
      <c r="H51" s="87"/>
      <c r="I51" s="87"/>
      <c r="J51" s="87"/>
      <c r="K51" s="87"/>
      <c r="L51" s="87"/>
      <c r="M51" s="98"/>
      <c r="N51" s="98"/>
      <c r="O51" s="98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8">
        <v>1</v>
      </c>
      <c r="AA51" s="88">
        <v>1</v>
      </c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</row>
    <row r="52" spans="1:49" x14ac:dyDescent="0.3">
      <c r="A52" s="115">
        <v>10</v>
      </c>
      <c r="B52" s="28" t="s">
        <v>46</v>
      </c>
      <c r="C52" s="26">
        <v>41825</v>
      </c>
      <c r="D52" s="26" t="s">
        <v>77</v>
      </c>
      <c r="E52" s="26" t="s">
        <v>78</v>
      </c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8"/>
      <c r="AA52" s="88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</row>
    <row r="53" spans="1:49" x14ac:dyDescent="0.3">
      <c r="A53" s="31">
        <v>9</v>
      </c>
      <c r="B53" s="29" t="s">
        <v>43</v>
      </c>
      <c r="C53" s="26">
        <v>7029156</v>
      </c>
      <c r="D53" s="26" t="s">
        <v>79</v>
      </c>
      <c r="E53" s="27" t="s">
        <v>78</v>
      </c>
      <c r="F53" s="87">
        <v>1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>
        <v>1</v>
      </c>
      <c r="V53" s="87"/>
      <c r="W53" s="87">
        <v>1</v>
      </c>
      <c r="X53" s="87"/>
      <c r="Y53" s="87"/>
      <c r="Z53" s="88">
        <v>1</v>
      </c>
      <c r="AA53" s="88">
        <v>1</v>
      </c>
      <c r="AB53" s="87"/>
      <c r="AC53" s="87"/>
      <c r="AD53" s="87"/>
      <c r="AE53" s="87">
        <v>1</v>
      </c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7"/>
      <c r="AV53" s="87"/>
      <c r="AW53" s="87"/>
    </row>
    <row r="54" spans="1:49" x14ac:dyDescent="0.3">
      <c r="A54" s="31">
        <v>119</v>
      </c>
      <c r="B54" s="104" t="s">
        <v>198</v>
      </c>
      <c r="C54" s="26">
        <v>7401914</v>
      </c>
      <c r="D54" s="26" t="s">
        <v>415</v>
      </c>
      <c r="E54" s="27" t="s">
        <v>416</v>
      </c>
      <c r="F54" s="87">
        <v>1</v>
      </c>
      <c r="G54" s="87"/>
      <c r="H54" s="87"/>
      <c r="I54" s="87"/>
      <c r="J54" s="87"/>
      <c r="K54" s="87"/>
      <c r="L54" s="87">
        <v>1</v>
      </c>
      <c r="M54" s="87">
        <v>1</v>
      </c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8">
        <v>1</v>
      </c>
      <c r="AA54" s="88">
        <v>1</v>
      </c>
      <c r="AB54" s="87"/>
      <c r="AC54" s="87"/>
      <c r="AD54" s="87"/>
      <c r="AE54" s="87"/>
      <c r="AF54" s="87">
        <v>1</v>
      </c>
      <c r="AG54" s="87"/>
      <c r="AH54" s="87"/>
      <c r="AI54" s="87">
        <v>1</v>
      </c>
      <c r="AJ54" s="87">
        <v>1</v>
      </c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>
        <v>1</v>
      </c>
      <c r="AW54" s="87"/>
    </row>
    <row r="55" spans="1:49" x14ac:dyDescent="0.3">
      <c r="A55" s="31">
        <v>73</v>
      </c>
      <c r="B55" s="32" t="s">
        <v>49</v>
      </c>
      <c r="C55" s="26">
        <v>7092980</v>
      </c>
      <c r="D55" s="26" t="s">
        <v>197</v>
      </c>
      <c r="E55" s="27" t="s">
        <v>99</v>
      </c>
      <c r="F55" s="87">
        <v>1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>
        <v>1</v>
      </c>
      <c r="V55" s="87"/>
      <c r="W55" s="87">
        <v>1</v>
      </c>
      <c r="X55" s="87">
        <v>1</v>
      </c>
      <c r="Y55" s="87"/>
      <c r="Z55" s="88">
        <v>1</v>
      </c>
      <c r="AA55" s="88">
        <v>1</v>
      </c>
      <c r="AB55" s="87"/>
      <c r="AC55" s="87"/>
      <c r="AD55" s="87"/>
      <c r="AE55" s="87">
        <v>1</v>
      </c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7"/>
      <c r="AV55" s="87"/>
      <c r="AW55" s="87"/>
    </row>
    <row r="56" spans="1:49" x14ac:dyDescent="0.3">
      <c r="A56" s="39">
        <v>110</v>
      </c>
      <c r="B56" s="28" t="s">
        <v>198</v>
      </c>
      <c r="C56" s="37">
        <v>7401949</v>
      </c>
      <c r="D56" s="26" t="s">
        <v>400</v>
      </c>
      <c r="E56" s="26" t="s">
        <v>401</v>
      </c>
      <c r="F56" s="87">
        <v>1</v>
      </c>
      <c r="G56" s="87"/>
      <c r="H56" s="87">
        <v>1</v>
      </c>
      <c r="I56" s="87"/>
      <c r="J56" s="87"/>
      <c r="K56" s="87"/>
      <c r="L56" s="87">
        <v>1</v>
      </c>
      <c r="M56" s="87">
        <v>1</v>
      </c>
      <c r="N56" s="87">
        <v>1</v>
      </c>
      <c r="O56" s="87"/>
      <c r="P56" s="87"/>
      <c r="Q56" s="87"/>
      <c r="R56" s="87"/>
      <c r="S56" s="87"/>
      <c r="T56" s="87"/>
      <c r="U56" s="87"/>
      <c r="V56" s="87"/>
      <c r="W56" s="87">
        <v>1</v>
      </c>
      <c r="X56" s="87"/>
      <c r="Y56" s="87"/>
      <c r="Z56" s="88"/>
      <c r="AA56" s="88">
        <v>1</v>
      </c>
      <c r="AB56" s="98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7"/>
      <c r="AV56" s="87">
        <v>1</v>
      </c>
      <c r="AW56" s="87"/>
    </row>
    <row r="57" spans="1:49" x14ac:dyDescent="0.3">
      <c r="A57" s="31">
        <v>30</v>
      </c>
      <c r="B57" s="29" t="s">
        <v>42</v>
      </c>
      <c r="C57" s="33">
        <v>7051932</v>
      </c>
      <c r="D57" s="34" t="s">
        <v>80</v>
      </c>
      <c r="E57" s="34" t="s">
        <v>81</v>
      </c>
      <c r="F57" s="87">
        <v>1</v>
      </c>
      <c r="G57" s="87"/>
      <c r="H57" s="87"/>
      <c r="I57" s="87">
        <v>1</v>
      </c>
      <c r="J57" s="87">
        <v>1</v>
      </c>
      <c r="K57" s="87">
        <v>1</v>
      </c>
      <c r="L57" s="87">
        <v>1</v>
      </c>
      <c r="M57" s="87"/>
      <c r="N57" s="87"/>
      <c r="O57" s="87"/>
      <c r="P57" s="87"/>
      <c r="Q57" s="87"/>
      <c r="R57" s="87"/>
      <c r="S57" s="87"/>
      <c r="T57" s="87">
        <v>1</v>
      </c>
      <c r="U57" s="87"/>
      <c r="V57" s="87"/>
      <c r="W57" s="87"/>
      <c r="X57" s="87"/>
      <c r="Y57" s="87"/>
      <c r="Z57" s="88">
        <v>1</v>
      </c>
      <c r="AA57" s="88">
        <v>1</v>
      </c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>
        <v>1</v>
      </c>
      <c r="AW57" s="87"/>
    </row>
    <row r="58" spans="1:49" x14ac:dyDescent="0.3">
      <c r="A58" s="31">
        <v>113</v>
      </c>
      <c r="B58" s="110" t="s">
        <v>198</v>
      </c>
      <c r="C58" s="37">
        <v>7401950</v>
      </c>
      <c r="D58" s="38" t="s">
        <v>80</v>
      </c>
      <c r="E58" s="38" t="s">
        <v>402</v>
      </c>
      <c r="F58" s="87">
        <v>1</v>
      </c>
      <c r="G58" s="87"/>
      <c r="H58" s="87"/>
      <c r="I58" s="87">
        <v>1</v>
      </c>
      <c r="J58" s="87">
        <v>1</v>
      </c>
      <c r="K58" s="87">
        <v>1</v>
      </c>
      <c r="L58" s="87">
        <v>1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8">
        <v>1</v>
      </c>
      <c r="AA58" s="88">
        <v>1</v>
      </c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>
        <v>1</v>
      </c>
      <c r="AW58" s="87"/>
    </row>
    <row r="59" spans="1:49" x14ac:dyDescent="0.3">
      <c r="A59" s="31">
        <v>26</v>
      </c>
      <c r="B59" s="28" t="s">
        <v>49</v>
      </c>
      <c r="C59" s="26">
        <v>7051763</v>
      </c>
      <c r="D59" s="26" t="s">
        <v>82</v>
      </c>
      <c r="E59" s="27" t="s">
        <v>83</v>
      </c>
      <c r="F59" s="87">
        <v>1</v>
      </c>
      <c r="G59" s="87"/>
      <c r="H59" s="87"/>
      <c r="I59" s="87"/>
      <c r="J59" s="87"/>
      <c r="K59" s="87"/>
      <c r="L59" s="87">
        <v>1</v>
      </c>
      <c r="M59" s="87"/>
      <c r="N59" s="87"/>
      <c r="O59" s="87"/>
      <c r="P59" s="87">
        <v>1</v>
      </c>
      <c r="Q59" s="87"/>
      <c r="R59" s="87"/>
      <c r="S59" s="87">
        <v>1</v>
      </c>
      <c r="T59" s="87">
        <v>1</v>
      </c>
      <c r="U59" s="87">
        <v>1</v>
      </c>
      <c r="V59" s="87"/>
      <c r="W59" s="87"/>
      <c r="X59" s="87">
        <v>1</v>
      </c>
      <c r="Y59" s="87"/>
      <c r="Z59" s="88">
        <v>1</v>
      </c>
      <c r="AA59" s="88">
        <v>1</v>
      </c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</row>
    <row r="60" spans="1:49" x14ac:dyDescent="0.3">
      <c r="A60" s="31"/>
      <c r="B60" s="29"/>
      <c r="C60" s="37">
        <v>7402634</v>
      </c>
      <c r="D60" s="118" t="s">
        <v>450</v>
      </c>
      <c r="E60" s="118" t="s">
        <v>359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8"/>
      <c r="AA60" s="88">
        <v>1</v>
      </c>
      <c r="AB60" s="98"/>
      <c r="AC60" s="87"/>
      <c r="AD60" s="87"/>
      <c r="AE60" s="87"/>
      <c r="AF60" s="87"/>
      <c r="AG60" s="87"/>
      <c r="AH60" s="87"/>
      <c r="AI60" s="87"/>
      <c r="AJ60" s="87">
        <v>1</v>
      </c>
      <c r="AK60" s="87"/>
      <c r="AL60" s="87"/>
      <c r="AM60" s="87">
        <v>1</v>
      </c>
      <c r="AN60" s="87"/>
      <c r="AO60" s="87"/>
      <c r="AP60" s="87"/>
      <c r="AQ60" s="87"/>
      <c r="AR60" s="87"/>
      <c r="AS60" s="87"/>
      <c r="AT60" s="87"/>
      <c r="AU60" s="87"/>
      <c r="AV60" s="87"/>
      <c r="AW60" s="87"/>
    </row>
    <row r="61" spans="1:49" x14ac:dyDescent="0.3">
      <c r="A61" s="31">
        <v>89</v>
      </c>
      <c r="B61" s="110" t="s">
        <v>42</v>
      </c>
      <c r="C61" s="37">
        <v>7095767</v>
      </c>
      <c r="D61" s="38" t="s">
        <v>355</v>
      </c>
      <c r="E61" s="38" t="s">
        <v>346</v>
      </c>
      <c r="F61" s="87"/>
      <c r="G61" s="87"/>
      <c r="H61" s="87"/>
      <c r="I61" s="87"/>
      <c r="J61" s="87"/>
      <c r="K61" s="87"/>
      <c r="L61" s="87">
        <v>1</v>
      </c>
      <c r="M61" s="87"/>
      <c r="N61" s="87"/>
      <c r="O61" s="87"/>
      <c r="P61" s="87"/>
      <c r="Q61" s="87"/>
      <c r="R61" s="87"/>
      <c r="S61" s="87"/>
      <c r="T61" s="87"/>
      <c r="U61" s="87">
        <v>1</v>
      </c>
      <c r="V61" s="87"/>
      <c r="W61" s="87"/>
      <c r="X61" s="87"/>
      <c r="Y61" s="87"/>
      <c r="Z61" s="88">
        <v>1</v>
      </c>
      <c r="AA61" s="88">
        <v>1</v>
      </c>
      <c r="AB61" s="87"/>
      <c r="AC61" s="87"/>
      <c r="AD61" s="87"/>
      <c r="AE61" s="87"/>
      <c r="AF61" s="87"/>
      <c r="AG61" s="87">
        <v>1</v>
      </c>
      <c r="AH61" s="87">
        <v>1</v>
      </c>
      <c r="AI61" s="87">
        <v>1</v>
      </c>
      <c r="AJ61" s="87">
        <v>1</v>
      </c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</row>
    <row r="62" spans="1:49" x14ac:dyDescent="0.3">
      <c r="A62" s="31">
        <v>13</v>
      </c>
      <c r="B62" s="29" t="s">
        <v>341</v>
      </c>
      <c r="C62" s="37">
        <v>7051784</v>
      </c>
      <c r="D62" s="38" t="s">
        <v>342</v>
      </c>
      <c r="E62" s="38" t="s">
        <v>343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8"/>
      <c r="AA62" s="88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</row>
    <row r="63" spans="1:49" x14ac:dyDescent="0.3">
      <c r="A63" s="31">
        <v>38</v>
      </c>
      <c r="B63" s="28" t="s">
        <v>42</v>
      </c>
      <c r="C63" s="33">
        <v>7077415</v>
      </c>
      <c r="D63" s="34" t="s">
        <v>84</v>
      </c>
      <c r="E63" s="34" t="s">
        <v>85</v>
      </c>
      <c r="F63" s="87">
        <v>1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8">
        <v>1</v>
      </c>
      <c r="AA63" s="88">
        <v>1</v>
      </c>
      <c r="AB63" s="87"/>
      <c r="AC63" s="87"/>
      <c r="AD63" s="87"/>
      <c r="AE63" s="87"/>
      <c r="AF63" s="87">
        <v>1</v>
      </c>
      <c r="AG63" s="87"/>
      <c r="AH63" s="87"/>
      <c r="AI63" s="87">
        <v>1</v>
      </c>
      <c r="AJ63" s="87">
        <v>1</v>
      </c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</row>
    <row r="64" spans="1:49" x14ac:dyDescent="0.3">
      <c r="A64" s="31"/>
      <c r="B64" s="32"/>
      <c r="C64" s="26">
        <v>7402470</v>
      </c>
      <c r="D64" s="26" t="s">
        <v>451</v>
      </c>
      <c r="E64" s="26" t="s">
        <v>430</v>
      </c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8"/>
      <c r="AA64" s="88"/>
      <c r="AB64" s="98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 x14ac:dyDescent="0.3">
      <c r="A65" s="115">
        <v>36</v>
      </c>
      <c r="B65" s="28" t="s">
        <v>49</v>
      </c>
      <c r="C65" s="33">
        <v>7077878</v>
      </c>
      <c r="D65" s="34" t="s">
        <v>86</v>
      </c>
      <c r="E65" s="34" t="s">
        <v>87</v>
      </c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8">
        <v>1</v>
      </c>
      <c r="AA65" s="88">
        <v>1</v>
      </c>
      <c r="AB65" s="87"/>
      <c r="AC65" s="87"/>
      <c r="AD65" s="87"/>
      <c r="AE65" s="87"/>
      <c r="AF65" s="87">
        <v>1</v>
      </c>
      <c r="AG65" s="87">
        <v>1</v>
      </c>
      <c r="AH65" s="87"/>
      <c r="AI65" s="87">
        <v>1</v>
      </c>
      <c r="AJ65" s="87">
        <v>1</v>
      </c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</row>
    <row r="66" spans="1:49" x14ac:dyDescent="0.3">
      <c r="A66" s="31">
        <v>118</v>
      </c>
      <c r="B66" s="32" t="s">
        <v>198</v>
      </c>
      <c r="C66" s="33">
        <v>7400394</v>
      </c>
      <c r="D66" s="34" t="s">
        <v>89</v>
      </c>
      <c r="E66" s="34" t="s">
        <v>200</v>
      </c>
      <c r="F66" s="87">
        <v>1</v>
      </c>
      <c r="G66" s="87"/>
      <c r="H66" s="87"/>
      <c r="I66" s="87">
        <v>1</v>
      </c>
      <c r="J66" s="87">
        <v>1</v>
      </c>
      <c r="K66" s="87">
        <v>1</v>
      </c>
      <c r="L66" s="87">
        <v>1</v>
      </c>
      <c r="M66" s="87"/>
      <c r="N66" s="87"/>
      <c r="O66" s="87"/>
      <c r="P66" s="87">
        <v>1</v>
      </c>
      <c r="Q66" s="87"/>
      <c r="R66" s="87"/>
      <c r="S66" s="87"/>
      <c r="T66" s="87"/>
      <c r="U66" s="87"/>
      <c r="V66" s="87"/>
      <c r="W66" s="87"/>
      <c r="X66" s="87"/>
      <c r="Y66" s="87"/>
      <c r="Z66" s="88">
        <v>1</v>
      </c>
      <c r="AA66" s="88">
        <v>1</v>
      </c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>
        <v>1</v>
      </c>
      <c r="AW66" s="87"/>
    </row>
    <row r="67" spans="1:49" x14ac:dyDescent="0.3">
      <c r="A67" s="31">
        <v>37</v>
      </c>
      <c r="B67" s="28" t="s">
        <v>42</v>
      </c>
      <c r="C67" s="26">
        <v>7092620</v>
      </c>
      <c r="D67" s="26" t="s">
        <v>89</v>
      </c>
      <c r="E67" s="27" t="s">
        <v>90</v>
      </c>
      <c r="F67" s="87"/>
      <c r="G67" s="87">
        <v>1</v>
      </c>
      <c r="H67" s="87"/>
      <c r="I67" s="87">
        <v>1</v>
      </c>
      <c r="J67" s="87"/>
      <c r="K67" s="87"/>
      <c r="L67" s="87">
        <v>1</v>
      </c>
      <c r="M67" s="87">
        <v>1</v>
      </c>
      <c r="N67" s="87">
        <v>1</v>
      </c>
      <c r="O67" s="87">
        <v>1</v>
      </c>
      <c r="P67" s="87"/>
      <c r="Q67" s="87">
        <v>1</v>
      </c>
      <c r="R67" s="87">
        <v>1</v>
      </c>
      <c r="S67" s="87">
        <v>1</v>
      </c>
      <c r="T67" s="87">
        <v>1</v>
      </c>
      <c r="U67" s="87"/>
      <c r="V67" s="87"/>
      <c r="W67" s="87"/>
      <c r="X67" s="87"/>
      <c r="Y67" s="87"/>
      <c r="Z67" s="88">
        <v>1</v>
      </c>
      <c r="AA67" s="88">
        <v>1</v>
      </c>
      <c r="AB67" s="87">
        <v>1</v>
      </c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>
        <v>1</v>
      </c>
      <c r="AW67" s="87"/>
    </row>
    <row r="68" spans="1:49" x14ac:dyDescent="0.3">
      <c r="A68" s="31">
        <v>91</v>
      </c>
      <c r="B68" s="28" t="s">
        <v>49</v>
      </c>
      <c r="C68" s="26">
        <v>7096575</v>
      </c>
      <c r="D68" s="26" t="s">
        <v>356</v>
      </c>
      <c r="E68" s="27" t="s">
        <v>357</v>
      </c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8">
        <v>1</v>
      </c>
      <c r="AA68" s="88">
        <v>1</v>
      </c>
      <c r="AB68" s="87"/>
      <c r="AC68" s="87"/>
      <c r="AD68" s="87"/>
      <c r="AE68" s="87"/>
      <c r="AF68" s="87">
        <v>1</v>
      </c>
      <c r="AG68" s="87"/>
      <c r="AH68" s="87"/>
      <c r="AI68" s="87">
        <v>1</v>
      </c>
      <c r="AJ68" s="87">
        <v>1</v>
      </c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</row>
    <row r="69" spans="1:49" x14ac:dyDescent="0.3">
      <c r="A69" s="31"/>
      <c r="B69" s="29"/>
      <c r="C69" s="26">
        <v>7402915</v>
      </c>
      <c r="D69" s="26" t="s">
        <v>498</v>
      </c>
      <c r="E69" s="113" t="s">
        <v>499</v>
      </c>
      <c r="F69" s="87">
        <v>1</v>
      </c>
      <c r="G69" s="87"/>
      <c r="H69" s="87">
        <v>1</v>
      </c>
      <c r="I69" s="87"/>
      <c r="J69" s="87"/>
      <c r="K69" s="87">
        <v>1</v>
      </c>
      <c r="L69" s="87">
        <v>1</v>
      </c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8"/>
      <c r="AA69" s="88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>
        <v>1</v>
      </c>
      <c r="AW69" s="87"/>
    </row>
    <row r="70" spans="1:49" x14ac:dyDescent="0.3">
      <c r="A70" s="31">
        <v>44</v>
      </c>
      <c r="B70" s="29" t="s">
        <v>43</v>
      </c>
      <c r="C70" s="26">
        <v>7091821</v>
      </c>
      <c r="D70" s="26" t="s">
        <v>91</v>
      </c>
      <c r="E70" s="27" t="s">
        <v>92</v>
      </c>
      <c r="F70" s="87">
        <v>1</v>
      </c>
      <c r="G70" s="87"/>
      <c r="H70" s="87"/>
      <c r="I70" s="87"/>
      <c r="J70" s="87"/>
      <c r="K70" s="87"/>
      <c r="L70" s="87">
        <v>1</v>
      </c>
      <c r="M70" s="87">
        <v>1</v>
      </c>
      <c r="N70" s="87">
        <v>1</v>
      </c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8">
        <v>1</v>
      </c>
      <c r="AA70" s="88">
        <v>1</v>
      </c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>
        <v>1</v>
      </c>
      <c r="AW70" s="87"/>
    </row>
    <row r="71" spans="1:49" x14ac:dyDescent="0.3">
      <c r="A71" s="39">
        <v>105</v>
      </c>
      <c r="B71" s="28" t="s">
        <v>42</v>
      </c>
      <c r="C71" s="26">
        <v>7401922</v>
      </c>
      <c r="D71" s="26" t="s">
        <v>385</v>
      </c>
      <c r="E71" s="113" t="s">
        <v>386</v>
      </c>
      <c r="F71" s="87">
        <v>1</v>
      </c>
      <c r="G71" s="87"/>
      <c r="H71" s="87">
        <v>1</v>
      </c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8">
        <v>1</v>
      </c>
      <c r="AA71" s="88">
        <v>1</v>
      </c>
      <c r="AB71" s="98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>
        <v>1</v>
      </c>
      <c r="AU71" s="87">
        <v>1</v>
      </c>
      <c r="AV71" s="87">
        <v>1</v>
      </c>
      <c r="AW71" s="87"/>
    </row>
    <row r="72" spans="1:49" x14ac:dyDescent="0.3">
      <c r="A72" s="31">
        <v>106</v>
      </c>
      <c r="B72" s="28" t="s">
        <v>198</v>
      </c>
      <c r="C72" s="26">
        <v>7402044</v>
      </c>
      <c r="D72" s="26" t="s">
        <v>403</v>
      </c>
      <c r="E72" s="27" t="s">
        <v>404</v>
      </c>
      <c r="F72" s="87">
        <v>1</v>
      </c>
      <c r="G72" s="87"/>
      <c r="H72" s="87">
        <v>1</v>
      </c>
      <c r="I72" s="87">
        <v>1</v>
      </c>
      <c r="J72" s="87">
        <v>1</v>
      </c>
      <c r="K72" s="87">
        <v>1</v>
      </c>
      <c r="L72" s="87">
        <v>1</v>
      </c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8">
        <v>1</v>
      </c>
      <c r="AA72" s="88">
        <v>1</v>
      </c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>
        <v>1</v>
      </c>
      <c r="AW72" s="87"/>
    </row>
    <row r="73" spans="1:49" x14ac:dyDescent="0.3">
      <c r="A73" s="115">
        <v>50</v>
      </c>
      <c r="B73" s="29" t="s">
        <v>43</v>
      </c>
      <c r="C73" s="87">
        <v>7095152</v>
      </c>
      <c r="D73" s="26" t="s">
        <v>93</v>
      </c>
      <c r="E73" s="26" t="s">
        <v>94</v>
      </c>
      <c r="F73" s="87"/>
      <c r="G73" s="87"/>
      <c r="H73" s="87"/>
      <c r="I73" s="87"/>
      <c r="J73" s="87"/>
      <c r="K73" s="87"/>
      <c r="L73" s="87">
        <v>1</v>
      </c>
      <c r="M73" s="87"/>
      <c r="N73" s="87"/>
      <c r="O73" s="87"/>
      <c r="P73" s="87"/>
      <c r="Q73" s="87"/>
      <c r="R73" s="87"/>
      <c r="S73" s="87">
        <v>1</v>
      </c>
      <c r="T73" s="87">
        <v>1</v>
      </c>
      <c r="U73" s="87"/>
      <c r="V73" s="87"/>
      <c r="W73" s="87"/>
      <c r="X73" s="87"/>
      <c r="Y73" s="87"/>
      <c r="Z73" s="88">
        <v>1</v>
      </c>
      <c r="AA73" s="88">
        <v>1</v>
      </c>
      <c r="AB73" s="87">
        <v>1</v>
      </c>
      <c r="AC73" s="87"/>
      <c r="AD73" s="87"/>
      <c r="AE73" s="87"/>
      <c r="AF73" s="87">
        <v>1</v>
      </c>
      <c r="AG73" s="87">
        <v>1</v>
      </c>
      <c r="AH73" s="87">
        <v>1</v>
      </c>
      <c r="AI73" s="87">
        <v>1</v>
      </c>
      <c r="AJ73" s="87">
        <v>1</v>
      </c>
      <c r="AK73" s="87"/>
      <c r="AL73" s="87"/>
      <c r="AM73" s="87">
        <v>1</v>
      </c>
      <c r="AN73" s="87"/>
      <c r="AO73" s="87"/>
      <c r="AP73" s="87"/>
      <c r="AQ73" s="87"/>
      <c r="AR73" s="87"/>
      <c r="AS73" s="87"/>
      <c r="AT73" s="87"/>
      <c r="AU73" s="87"/>
      <c r="AV73" s="87">
        <v>1</v>
      </c>
      <c r="AW73" s="87"/>
    </row>
    <row r="74" spans="1:49" x14ac:dyDescent="0.3">
      <c r="A74" s="31">
        <v>82</v>
      </c>
      <c r="B74" s="110" t="s">
        <v>49</v>
      </c>
      <c r="C74" s="26">
        <v>7095148</v>
      </c>
      <c r="D74" s="26" t="s">
        <v>349</v>
      </c>
      <c r="E74" s="27" t="s">
        <v>350</v>
      </c>
      <c r="F74" s="87">
        <v>1</v>
      </c>
      <c r="G74" s="87"/>
      <c r="H74" s="87"/>
      <c r="I74" s="87"/>
      <c r="J74" s="87"/>
      <c r="K74" s="87"/>
      <c r="L74" s="87">
        <v>1</v>
      </c>
      <c r="M74" s="87"/>
      <c r="N74" s="87"/>
      <c r="O74" s="87"/>
      <c r="P74" s="87">
        <v>1</v>
      </c>
      <c r="Q74" s="87"/>
      <c r="R74" s="87"/>
      <c r="S74" s="87"/>
      <c r="T74" s="87"/>
      <c r="U74" s="87"/>
      <c r="V74" s="87"/>
      <c r="W74" s="87"/>
      <c r="X74" s="87"/>
      <c r="Y74" s="87"/>
      <c r="Z74" s="88">
        <v>1</v>
      </c>
      <c r="AA74" s="88">
        <v>1</v>
      </c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>
        <v>1</v>
      </c>
      <c r="AT74" s="87">
        <v>1</v>
      </c>
      <c r="AU74" s="87">
        <v>1</v>
      </c>
      <c r="AV74" s="87">
        <v>1</v>
      </c>
      <c r="AW74" s="87"/>
    </row>
    <row r="75" spans="1:49" x14ac:dyDescent="0.3">
      <c r="A75" s="31">
        <v>63</v>
      </c>
      <c r="B75" s="32" t="s">
        <v>49</v>
      </c>
      <c r="C75" s="26">
        <v>7092653</v>
      </c>
      <c r="D75" s="26" t="s">
        <v>180</v>
      </c>
      <c r="E75" s="26" t="s">
        <v>181</v>
      </c>
      <c r="F75" s="87">
        <v>1</v>
      </c>
      <c r="G75" s="87"/>
      <c r="H75" s="87"/>
      <c r="I75" s="87"/>
      <c r="J75" s="87"/>
      <c r="K75" s="87"/>
      <c r="L75" s="87"/>
      <c r="M75" s="87"/>
      <c r="N75" s="87"/>
      <c r="O75" s="87"/>
      <c r="P75" s="87">
        <v>1</v>
      </c>
      <c r="Q75" s="87"/>
      <c r="R75" s="87"/>
      <c r="S75" s="87"/>
      <c r="T75" s="98"/>
      <c r="U75" s="87">
        <v>1</v>
      </c>
      <c r="V75" s="87"/>
      <c r="W75" s="87"/>
      <c r="X75" s="87">
        <v>1</v>
      </c>
      <c r="Y75" s="87"/>
      <c r="Z75" s="88">
        <v>1</v>
      </c>
      <c r="AA75" s="88">
        <v>1</v>
      </c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>
        <v>1</v>
      </c>
      <c r="AS75" s="87"/>
      <c r="AT75" s="87"/>
      <c r="AU75" s="87"/>
      <c r="AV75" s="87">
        <v>1</v>
      </c>
      <c r="AW75" s="87"/>
    </row>
    <row r="76" spans="1:49" x14ac:dyDescent="0.3">
      <c r="A76" s="31">
        <v>136</v>
      </c>
      <c r="B76" s="36" t="s">
        <v>436</v>
      </c>
      <c r="C76" s="26">
        <v>7403495</v>
      </c>
      <c r="D76" s="26" t="s">
        <v>437</v>
      </c>
      <c r="E76" s="26" t="s">
        <v>438</v>
      </c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8"/>
      <c r="AA76" s="88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>
        <v>1</v>
      </c>
      <c r="AM76" s="87"/>
      <c r="AN76" s="87">
        <v>1</v>
      </c>
      <c r="AO76" s="87">
        <v>1</v>
      </c>
      <c r="AP76" s="87">
        <v>1</v>
      </c>
      <c r="AQ76" s="87">
        <v>1</v>
      </c>
      <c r="AR76" s="87"/>
      <c r="AS76" s="87"/>
      <c r="AT76" s="87"/>
      <c r="AU76" s="87"/>
      <c r="AV76" s="87"/>
      <c r="AW76" s="87"/>
    </row>
    <row r="77" spans="1:49" x14ac:dyDescent="0.3">
      <c r="A77" s="116">
        <v>31</v>
      </c>
      <c r="B77" s="28" t="s">
        <v>42</v>
      </c>
      <c r="C77" s="26">
        <v>7074373</v>
      </c>
      <c r="D77" s="26" t="s">
        <v>95</v>
      </c>
      <c r="E77" s="26" t="s">
        <v>74</v>
      </c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8">
        <v>1</v>
      </c>
      <c r="AA77" s="88">
        <v>1</v>
      </c>
      <c r="AB77" s="87">
        <v>1</v>
      </c>
      <c r="AC77" s="87"/>
      <c r="AD77" s="87"/>
      <c r="AE77" s="87"/>
      <c r="AF77" s="87">
        <v>1</v>
      </c>
      <c r="AG77" s="87">
        <v>1</v>
      </c>
      <c r="AH77" s="87"/>
      <c r="AI77" s="87">
        <v>1</v>
      </c>
      <c r="AJ77" s="87">
        <v>1</v>
      </c>
      <c r="AK77" s="87">
        <v>1</v>
      </c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</row>
    <row r="78" spans="1:49" x14ac:dyDescent="0.3">
      <c r="A78" s="31">
        <v>14</v>
      </c>
      <c r="B78" s="110" t="s">
        <v>49</v>
      </c>
      <c r="C78" s="26">
        <v>7051769</v>
      </c>
      <c r="D78" s="26" t="s">
        <v>96</v>
      </c>
      <c r="E78" s="27" t="s">
        <v>97</v>
      </c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8"/>
      <c r="AA78" s="88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</row>
    <row r="79" spans="1:49" x14ac:dyDescent="0.3">
      <c r="A79" s="31">
        <v>83</v>
      </c>
      <c r="B79" s="32" t="s">
        <v>49</v>
      </c>
      <c r="C79" s="26">
        <v>7095156</v>
      </c>
      <c r="D79" s="26" t="s">
        <v>98</v>
      </c>
      <c r="E79" s="26" t="s">
        <v>351</v>
      </c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8">
        <v>1</v>
      </c>
      <c r="AA79" s="88">
        <v>1</v>
      </c>
      <c r="AB79" s="87"/>
      <c r="AC79" s="87"/>
      <c r="AD79" s="87"/>
      <c r="AE79" s="87"/>
      <c r="AF79" s="87"/>
      <c r="AG79" s="87"/>
      <c r="AH79" s="87"/>
      <c r="AI79" s="87">
        <v>1</v>
      </c>
      <c r="AJ79" s="87">
        <v>1</v>
      </c>
      <c r="AK79" s="87"/>
      <c r="AL79" s="87"/>
      <c r="AM79" s="87"/>
      <c r="AN79" s="87">
        <v>1</v>
      </c>
      <c r="AO79" s="87">
        <v>1</v>
      </c>
      <c r="AP79" s="87">
        <v>1</v>
      </c>
      <c r="AQ79" s="87">
        <v>1</v>
      </c>
      <c r="AR79" s="87"/>
      <c r="AS79" s="87"/>
      <c r="AT79" s="87"/>
      <c r="AU79" s="87"/>
      <c r="AV79" s="87"/>
      <c r="AW79" s="87"/>
    </row>
    <row r="80" spans="1:49" x14ac:dyDescent="0.3">
      <c r="A80" s="115">
        <v>98</v>
      </c>
      <c r="B80" s="29"/>
      <c r="C80" s="26">
        <v>7400330</v>
      </c>
      <c r="D80" s="26" t="s">
        <v>98</v>
      </c>
      <c r="E80" s="26" t="s">
        <v>374</v>
      </c>
      <c r="F80" s="87">
        <v>1</v>
      </c>
      <c r="G80" s="87"/>
      <c r="H80" s="87"/>
      <c r="I80" s="87">
        <v>1</v>
      </c>
      <c r="J80" s="87">
        <v>1</v>
      </c>
      <c r="K80" s="87">
        <v>1</v>
      </c>
      <c r="L80" s="87">
        <v>1</v>
      </c>
      <c r="M80" s="87">
        <v>1</v>
      </c>
      <c r="N80" s="87">
        <v>1</v>
      </c>
      <c r="O80" s="87"/>
      <c r="P80" s="87"/>
      <c r="Q80" s="87">
        <v>1</v>
      </c>
      <c r="R80" s="87">
        <v>1</v>
      </c>
      <c r="S80" s="87"/>
      <c r="T80" s="87">
        <v>1</v>
      </c>
      <c r="U80" s="87"/>
      <c r="V80" s="87"/>
      <c r="W80" s="87"/>
      <c r="X80" s="87"/>
      <c r="Y80" s="87"/>
      <c r="Z80" s="88">
        <v>1</v>
      </c>
      <c r="AA80" s="88">
        <v>1</v>
      </c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>
        <v>1</v>
      </c>
      <c r="AW80" s="87"/>
    </row>
    <row r="81" spans="1:49" x14ac:dyDescent="0.3">
      <c r="A81" s="31">
        <v>76</v>
      </c>
      <c r="B81" s="29" t="s">
        <v>43</v>
      </c>
      <c r="C81" s="33">
        <v>7095158</v>
      </c>
      <c r="D81" s="34" t="s">
        <v>195</v>
      </c>
      <c r="E81" s="34" t="s">
        <v>196</v>
      </c>
      <c r="F81" s="87"/>
      <c r="G81" s="87"/>
      <c r="H81" s="87"/>
      <c r="I81" s="87"/>
      <c r="J81" s="87"/>
      <c r="K81" s="87"/>
      <c r="L81" s="87">
        <v>1</v>
      </c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8">
        <v>1</v>
      </c>
      <c r="AA81" s="88">
        <v>1</v>
      </c>
      <c r="AB81" s="87"/>
      <c r="AC81" s="87"/>
      <c r="AD81" s="87"/>
      <c r="AE81" s="87"/>
      <c r="AF81" s="87"/>
      <c r="AG81" s="87"/>
      <c r="AH81" s="87"/>
      <c r="AI81" s="87">
        <v>1</v>
      </c>
      <c r="AJ81" s="87">
        <v>1</v>
      </c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</row>
    <row r="82" spans="1:49" x14ac:dyDescent="0.3">
      <c r="A82" s="31">
        <v>115</v>
      </c>
      <c r="B82" s="36"/>
      <c r="C82" s="26">
        <v>7400269</v>
      </c>
      <c r="D82" s="26" t="s">
        <v>413</v>
      </c>
      <c r="E82" s="27" t="s">
        <v>414</v>
      </c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>
        <v>1</v>
      </c>
      <c r="Q82" s="87"/>
      <c r="R82" s="87"/>
      <c r="S82" s="87"/>
      <c r="T82" s="87"/>
      <c r="U82" s="87"/>
      <c r="V82" s="87"/>
      <c r="W82" s="87"/>
      <c r="X82" s="138">
        <v>1</v>
      </c>
      <c r="Y82" s="87"/>
      <c r="Z82" s="88"/>
      <c r="AA82" s="88">
        <v>1</v>
      </c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>
        <v>1</v>
      </c>
      <c r="AW82" s="87"/>
    </row>
    <row r="83" spans="1:49" x14ac:dyDescent="0.3">
      <c r="A83" s="31">
        <v>99</v>
      </c>
      <c r="B83" s="28" t="s">
        <v>43</v>
      </c>
      <c r="C83" s="26">
        <v>7401131</v>
      </c>
      <c r="D83" s="26" t="s">
        <v>375</v>
      </c>
      <c r="E83" s="27" t="s">
        <v>376</v>
      </c>
      <c r="F83" s="87">
        <v>1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>
        <v>1</v>
      </c>
      <c r="X83" s="87"/>
      <c r="Y83" s="87">
        <v>1</v>
      </c>
      <c r="Z83" s="88">
        <v>1</v>
      </c>
      <c r="AA83" s="88">
        <v>1</v>
      </c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>
        <v>1</v>
      </c>
      <c r="AU83" s="87">
        <v>1</v>
      </c>
      <c r="AV83" s="87">
        <v>1</v>
      </c>
      <c r="AW83" s="87"/>
    </row>
    <row r="84" spans="1:49" x14ac:dyDescent="0.3">
      <c r="A84" s="31"/>
      <c r="B84" s="29"/>
      <c r="C84" s="26">
        <v>7403380</v>
      </c>
      <c r="D84" s="26" t="s">
        <v>488</v>
      </c>
      <c r="E84" s="113" t="s">
        <v>489</v>
      </c>
      <c r="F84" s="87">
        <v>1</v>
      </c>
      <c r="G84" s="87"/>
      <c r="H84" s="87"/>
      <c r="I84" s="87"/>
      <c r="J84" s="87"/>
      <c r="K84" s="87"/>
      <c r="L84" s="87"/>
      <c r="M84" s="87"/>
      <c r="N84" s="87"/>
      <c r="O84" s="87"/>
      <c r="P84" s="87">
        <v>1</v>
      </c>
      <c r="Q84" s="87"/>
      <c r="R84" s="87"/>
      <c r="S84" s="87"/>
      <c r="T84" s="87"/>
      <c r="U84" s="87"/>
      <c r="V84" s="87"/>
      <c r="W84" s="87"/>
      <c r="X84" s="87"/>
      <c r="Y84" s="87"/>
      <c r="Z84" s="88"/>
      <c r="AA84" s="88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</row>
    <row r="85" spans="1:49" x14ac:dyDescent="0.3">
      <c r="A85" s="115">
        <v>22</v>
      </c>
      <c r="B85" s="29" t="s">
        <v>43</v>
      </c>
      <c r="C85" s="26">
        <v>7051907</v>
      </c>
      <c r="D85" s="26" t="s">
        <v>102</v>
      </c>
      <c r="E85" s="26" t="s">
        <v>103</v>
      </c>
      <c r="F85" s="87">
        <v>1</v>
      </c>
      <c r="G85" s="87"/>
      <c r="H85" s="87"/>
      <c r="I85" s="87"/>
      <c r="J85" s="87"/>
      <c r="K85" s="87">
        <v>1</v>
      </c>
      <c r="L85" s="87">
        <v>1</v>
      </c>
      <c r="M85" s="87">
        <v>1</v>
      </c>
      <c r="N85" s="87">
        <v>1</v>
      </c>
      <c r="O85" s="87"/>
      <c r="P85" s="87"/>
      <c r="Q85" s="87"/>
      <c r="R85" s="87"/>
      <c r="S85" s="87">
        <v>1</v>
      </c>
      <c r="T85" s="87">
        <v>1</v>
      </c>
      <c r="U85" s="87"/>
      <c r="V85" s="87"/>
      <c r="W85" s="87"/>
      <c r="X85" s="87"/>
      <c r="Y85" s="87"/>
      <c r="Z85" s="88">
        <v>1</v>
      </c>
      <c r="AA85" s="88">
        <v>1</v>
      </c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</row>
    <row r="86" spans="1:49" x14ac:dyDescent="0.3">
      <c r="A86" s="31">
        <v>124</v>
      </c>
      <c r="B86" s="36" t="s">
        <v>198</v>
      </c>
      <c r="C86" s="26">
        <v>7400855</v>
      </c>
      <c r="D86" s="26" t="s">
        <v>421</v>
      </c>
      <c r="E86" s="26" t="s">
        <v>88</v>
      </c>
      <c r="F86" s="87">
        <v>1</v>
      </c>
      <c r="G86" s="87"/>
      <c r="H86" s="87"/>
      <c r="I86" s="87"/>
      <c r="J86" s="87"/>
      <c r="K86" s="87"/>
      <c r="L86" s="87">
        <v>1</v>
      </c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8">
        <v>1</v>
      </c>
      <c r="AA86" s="88">
        <v>1</v>
      </c>
      <c r="AB86" s="87"/>
      <c r="AC86" s="87"/>
      <c r="AD86" s="87"/>
      <c r="AE86" s="87"/>
      <c r="AF86" s="87"/>
      <c r="AG86" s="87"/>
      <c r="AH86" s="87">
        <v>1</v>
      </c>
      <c r="AI86" s="87">
        <v>1</v>
      </c>
      <c r="AJ86" s="87">
        <v>1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>
        <v>1</v>
      </c>
      <c r="AW86" s="87"/>
    </row>
    <row r="87" spans="1:49" x14ac:dyDescent="0.3">
      <c r="A87" s="31">
        <v>123</v>
      </c>
      <c r="B87" s="32" t="s">
        <v>198</v>
      </c>
      <c r="C87" s="40">
        <v>7402547</v>
      </c>
      <c r="D87" s="40" t="s">
        <v>431</v>
      </c>
      <c r="E87" s="40" t="s">
        <v>359</v>
      </c>
      <c r="F87" s="87">
        <v>1</v>
      </c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8"/>
      <c r="AA87" s="88"/>
      <c r="AB87" s="87"/>
      <c r="AC87" s="87"/>
      <c r="AD87" s="87"/>
      <c r="AE87" s="87"/>
      <c r="AF87" s="87">
        <v>1</v>
      </c>
      <c r="AG87" s="87"/>
      <c r="AH87" s="87"/>
      <c r="AI87" s="87">
        <v>1</v>
      </c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 x14ac:dyDescent="0.3">
      <c r="A88" s="31"/>
      <c r="B88" s="29"/>
      <c r="C88" s="26">
        <v>7403656</v>
      </c>
      <c r="D88" s="26" t="s">
        <v>502</v>
      </c>
      <c r="E88" s="113" t="s">
        <v>503</v>
      </c>
      <c r="F88" s="87">
        <v>1</v>
      </c>
      <c r="G88" s="87"/>
      <c r="H88" s="87">
        <v>1</v>
      </c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>
        <v>1</v>
      </c>
      <c r="U88" s="87"/>
      <c r="V88" s="87"/>
      <c r="W88" s="87"/>
      <c r="X88" s="87"/>
      <c r="Y88" s="87"/>
      <c r="Z88" s="88"/>
      <c r="AA88" s="88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</row>
    <row r="89" spans="1:49" x14ac:dyDescent="0.3">
      <c r="A89" s="31">
        <v>103</v>
      </c>
      <c r="B89" s="110"/>
      <c r="C89" s="26">
        <v>7400910</v>
      </c>
      <c r="D89" s="26" t="s">
        <v>382</v>
      </c>
      <c r="E89" s="26" t="s">
        <v>381</v>
      </c>
      <c r="F89" s="87">
        <v>1</v>
      </c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>
        <v>1</v>
      </c>
      <c r="T89" s="87">
        <v>1</v>
      </c>
      <c r="U89" s="87"/>
      <c r="V89" s="87"/>
      <c r="W89" s="87"/>
      <c r="X89" s="87"/>
      <c r="Y89" s="87"/>
      <c r="Z89" s="88">
        <v>1</v>
      </c>
      <c r="AA89" s="88">
        <v>1</v>
      </c>
      <c r="AB89" s="87"/>
      <c r="AC89" s="87"/>
      <c r="AD89" s="87"/>
      <c r="AE89" s="87"/>
      <c r="AF89" s="87">
        <v>1</v>
      </c>
      <c r="AG89" s="87">
        <v>1</v>
      </c>
      <c r="AH89" s="87">
        <v>1</v>
      </c>
      <c r="AI89" s="87">
        <v>1</v>
      </c>
      <c r="AJ89" s="87">
        <v>1</v>
      </c>
      <c r="AK89" s="87"/>
      <c r="AL89" s="87"/>
      <c r="AM89" s="87">
        <v>1</v>
      </c>
      <c r="AN89" s="87"/>
      <c r="AO89" s="87"/>
      <c r="AP89" s="87"/>
      <c r="AQ89" s="87"/>
      <c r="AR89" s="87"/>
      <c r="AS89" s="87"/>
      <c r="AT89" s="87"/>
      <c r="AU89" s="87"/>
      <c r="AV89" s="87">
        <v>1</v>
      </c>
      <c r="AW89" s="87"/>
    </row>
    <row r="90" spans="1:49" x14ac:dyDescent="0.3">
      <c r="A90" s="31">
        <v>111</v>
      </c>
      <c r="B90" s="29" t="s">
        <v>198</v>
      </c>
      <c r="C90" s="26">
        <v>7076186</v>
      </c>
      <c r="D90" s="26" t="s">
        <v>411</v>
      </c>
      <c r="E90" s="26" t="s">
        <v>131</v>
      </c>
      <c r="F90" s="87">
        <v>1</v>
      </c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>
        <v>1</v>
      </c>
      <c r="V90" s="87">
        <v>1</v>
      </c>
      <c r="W90" s="87"/>
      <c r="X90" s="87"/>
      <c r="Y90" s="87"/>
      <c r="Z90" s="88"/>
      <c r="AA90" s="88">
        <v>1</v>
      </c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>
        <v>1</v>
      </c>
      <c r="AW90" s="87"/>
    </row>
    <row r="91" spans="1:49" x14ac:dyDescent="0.3">
      <c r="A91" s="115">
        <v>112</v>
      </c>
      <c r="B91" s="32" t="s">
        <v>198</v>
      </c>
      <c r="C91" s="26">
        <v>7400558</v>
      </c>
      <c r="D91" s="26" t="s">
        <v>405</v>
      </c>
      <c r="E91" s="26" t="s">
        <v>406</v>
      </c>
      <c r="F91" s="87">
        <v>1</v>
      </c>
      <c r="G91" s="87"/>
      <c r="H91" s="87"/>
      <c r="I91" s="87"/>
      <c r="J91" s="87"/>
      <c r="K91" s="87"/>
      <c r="L91" s="87">
        <v>1</v>
      </c>
      <c r="M91" s="87"/>
      <c r="N91" s="87"/>
      <c r="O91" s="87"/>
      <c r="P91" s="87">
        <v>1</v>
      </c>
      <c r="Q91" s="87"/>
      <c r="R91" s="87"/>
      <c r="S91" s="87">
        <v>1</v>
      </c>
      <c r="T91" s="87">
        <v>1</v>
      </c>
      <c r="U91" s="87"/>
      <c r="V91" s="87"/>
      <c r="W91" s="87"/>
      <c r="X91" s="87"/>
      <c r="Y91" s="87"/>
      <c r="Z91" s="88">
        <v>1</v>
      </c>
      <c r="AA91" s="88">
        <v>1</v>
      </c>
      <c r="AB91" s="87"/>
      <c r="AC91" s="87"/>
      <c r="AD91" s="87"/>
      <c r="AE91" s="87"/>
      <c r="AF91" s="87">
        <v>1</v>
      </c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>
        <v>1</v>
      </c>
      <c r="AU91" s="87">
        <v>1</v>
      </c>
      <c r="AV91" s="87">
        <v>1</v>
      </c>
      <c r="AW91" s="87"/>
    </row>
    <row r="92" spans="1:49" x14ac:dyDescent="0.3">
      <c r="A92" s="115">
        <v>27</v>
      </c>
      <c r="B92" s="28" t="s">
        <v>43</v>
      </c>
      <c r="C92" s="117">
        <v>7051920</v>
      </c>
      <c r="D92" s="26" t="s">
        <v>105</v>
      </c>
      <c r="E92" s="27" t="s">
        <v>106</v>
      </c>
      <c r="F92" s="87">
        <v>1</v>
      </c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8">
        <v>1</v>
      </c>
      <c r="AA92" s="88">
        <v>1</v>
      </c>
      <c r="AB92" s="87">
        <v>1</v>
      </c>
      <c r="AC92" s="87"/>
      <c r="AD92" s="87">
        <v>1</v>
      </c>
      <c r="AE92" s="87"/>
      <c r="AF92" s="87"/>
      <c r="AG92" s="87">
        <v>1</v>
      </c>
      <c r="AH92" s="87">
        <v>1</v>
      </c>
      <c r="AI92" s="87">
        <v>1</v>
      </c>
      <c r="AJ92" s="87">
        <v>1</v>
      </c>
      <c r="AK92" s="87">
        <v>1</v>
      </c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</row>
    <row r="93" spans="1:49" x14ac:dyDescent="0.3">
      <c r="A93" s="31">
        <v>58</v>
      </c>
      <c r="B93" s="32" t="s">
        <v>43</v>
      </c>
      <c r="C93" s="26">
        <v>7092977</v>
      </c>
      <c r="D93" s="26" t="s">
        <v>178</v>
      </c>
      <c r="E93" s="27" t="s">
        <v>170</v>
      </c>
      <c r="F93" s="87">
        <v>1</v>
      </c>
      <c r="G93" s="87"/>
      <c r="H93" s="87"/>
      <c r="I93" s="87">
        <v>1</v>
      </c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8">
        <v>1</v>
      </c>
      <c r="AA93" s="109">
        <v>1</v>
      </c>
      <c r="AB93" s="98"/>
      <c r="AC93" s="98"/>
      <c r="AD93" s="98"/>
      <c r="AE93" s="98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</row>
    <row r="94" spans="1:49" x14ac:dyDescent="0.3">
      <c r="A94" s="39">
        <v>95</v>
      </c>
      <c r="B94" s="28" t="s">
        <v>49</v>
      </c>
      <c r="C94" s="26">
        <v>7096286</v>
      </c>
      <c r="D94" s="26" t="s">
        <v>366</v>
      </c>
      <c r="E94" s="26" t="s">
        <v>45</v>
      </c>
      <c r="F94" s="87"/>
      <c r="G94" s="87"/>
      <c r="H94" s="87"/>
      <c r="I94" s="87"/>
      <c r="J94" s="87"/>
      <c r="K94" s="87"/>
      <c r="L94" s="87">
        <v>1</v>
      </c>
      <c r="M94" s="87">
        <v>1</v>
      </c>
      <c r="N94" s="87">
        <v>1</v>
      </c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8">
        <v>1</v>
      </c>
      <c r="AA94" s="88">
        <v>1</v>
      </c>
      <c r="AB94" s="98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>
        <v>1</v>
      </c>
      <c r="AW94" s="87"/>
    </row>
    <row r="95" spans="1:49" x14ac:dyDescent="0.3">
      <c r="A95" s="115">
        <v>126</v>
      </c>
      <c r="B95" s="28" t="s">
        <v>198</v>
      </c>
      <c r="C95" s="26">
        <v>7402448</v>
      </c>
      <c r="D95" s="26" t="s">
        <v>422</v>
      </c>
      <c r="E95" s="26" t="s">
        <v>423</v>
      </c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>
        <v>1</v>
      </c>
      <c r="Q95" s="87"/>
      <c r="R95" s="87"/>
      <c r="S95" s="87"/>
      <c r="T95" s="87"/>
      <c r="U95" s="87"/>
      <c r="V95" s="87"/>
      <c r="W95" s="87"/>
      <c r="X95" s="87">
        <v>1</v>
      </c>
      <c r="Y95" s="87"/>
      <c r="Z95" s="88">
        <v>1</v>
      </c>
      <c r="AA95" s="88">
        <v>1</v>
      </c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>
        <v>1</v>
      </c>
      <c r="AW95" s="87"/>
    </row>
    <row r="96" spans="1:49" x14ac:dyDescent="0.3">
      <c r="A96" s="116">
        <v>64</v>
      </c>
      <c r="B96" s="87" t="s">
        <v>49</v>
      </c>
      <c r="C96" s="87">
        <v>7093500</v>
      </c>
      <c r="D96" s="87" t="s">
        <v>171</v>
      </c>
      <c r="E96" s="87" t="s">
        <v>172</v>
      </c>
      <c r="F96" s="87"/>
      <c r="G96" s="87"/>
      <c r="H96" s="87"/>
      <c r="I96" s="87">
        <v>1</v>
      </c>
      <c r="J96" s="87">
        <v>1</v>
      </c>
      <c r="K96" s="87">
        <v>1</v>
      </c>
      <c r="L96" s="87">
        <v>1</v>
      </c>
      <c r="M96" s="87"/>
      <c r="N96" s="87"/>
      <c r="O96" s="87"/>
      <c r="P96" s="87"/>
      <c r="Q96" s="87"/>
      <c r="R96" s="87"/>
      <c r="S96" s="87">
        <v>1</v>
      </c>
      <c r="T96" s="87">
        <v>1</v>
      </c>
      <c r="U96" s="87"/>
      <c r="V96" s="87"/>
      <c r="W96" s="87"/>
      <c r="X96" s="87"/>
      <c r="Y96" s="87"/>
      <c r="Z96" s="88">
        <v>1</v>
      </c>
      <c r="AA96" s="88">
        <v>1</v>
      </c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>
        <v>1</v>
      </c>
      <c r="AW96" s="87"/>
    </row>
    <row r="97" spans="1:49" x14ac:dyDescent="0.3">
      <c r="A97" s="31"/>
      <c r="B97" s="36"/>
      <c r="C97" s="26">
        <v>7403482</v>
      </c>
      <c r="D97" s="26" t="s">
        <v>452</v>
      </c>
      <c r="E97" s="26" t="s">
        <v>453</v>
      </c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8"/>
      <c r="AA97" s="88">
        <v>1</v>
      </c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>
        <v>1</v>
      </c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</row>
    <row r="98" spans="1:49" x14ac:dyDescent="0.3">
      <c r="A98" s="31">
        <v>92</v>
      </c>
      <c r="B98" s="110" t="s">
        <v>42</v>
      </c>
      <c r="C98" s="37">
        <v>7097996</v>
      </c>
      <c r="D98" s="38" t="s">
        <v>358</v>
      </c>
      <c r="E98" s="38" t="s">
        <v>359</v>
      </c>
      <c r="F98" s="87">
        <v>1</v>
      </c>
      <c r="G98" s="87"/>
      <c r="H98" s="87"/>
      <c r="I98" s="87">
        <v>1</v>
      </c>
      <c r="J98" s="87">
        <v>1</v>
      </c>
      <c r="K98" s="87">
        <v>1</v>
      </c>
      <c r="L98" s="87">
        <v>1</v>
      </c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8">
        <v>1</v>
      </c>
      <c r="AA98" s="88">
        <v>1</v>
      </c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</row>
    <row r="99" spans="1:49" x14ac:dyDescent="0.3">
      <c r="A99" s="31">
        <v>24</v>
      </c>
      <c r="B99" s="110" t="s">
        <v>43</v>
      </c>
      <c r="C99" s="117">
        <v>7051908</v>
      </c>
      <c r="D99" s="26" t="s">
        <v>107</v>
      </c>
      <c r="E99" s="27" t="s">
        <v>108</v>
      </c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8"/>
      <c r="AA99" s="88"/>
      <c r="AB99" s="87">
        <v>1</v>
      </c>
      <c r="AC99" s="87"/>
      <c r="AD99" s="87"/>
      <c r="AE99" s="87"/>
      <c r="AF99" s="87"/>
      <c r="AG99" s="87">
        <v>1</v>
      </c>
      <c r="AH99" s="87">
        <v>1</v>
      </c>
      <c r="AI99" s="87"/>
      <c r="AJ99" s="87"/>
      <c r="AK99" s="87">
        <v>1</v>
      </c>
      <c r="AL99" s="87"/>
      <c r="AM99" s="87"/>
      <c r="AN99" s="87">
        <v>1</v>
      </c>
      <c r="AO99" s="87">
        <v>1</v>
      </c>
      <c r="AP99" s="87">
        <v>1</v>
      </c>
      <c r="AQ99" s="87">
        <v>1</v>
      </c>
      <c r="AR99" s="87"/>
      <c r="AS99" s="87"/>
      <c r="AT99" s="87"/>
      <c r="AU99" s="87"/>
      <c r="AV99" s="87"/>
      <c r="AW99" s="87"/>
    </row>
    <row r="100" spans="1:49" x14ac:dyDescent="0.3">
      <c r="A100" s="31">
        <v>46</v>
      </c>
      <c r="B100" s="32" t="s">
        <v>42</v>
      </c>
      <c r="C100" s="37">
        <v>7091824</v>
      </c>
      <c r="D100" s="34" t="s">
        <v>109</v>
      </c>
      <c r="E100" s="34" t="s">
        <v>104</v>
      </c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>
        <v>1</v>
      </c>
      <c r="Y100" s="87"/>
      <c r="Z100" s="88">
        <v>1</v>
      </c>
      <c r="AA100" s="88">
        <v>1</v>
      </c>
      <c r="AB100" s="98"/>
      <c r="AC100" s="87"/>
      <c r="AD100" s="98"/>
      <c r="AE100" s="87">
        <v>1</v>
      </c>
      <c r="AF100" s="87"/>
      <c r="AG100" s="87">
        <v>1</v>
      </c>
      <c r="AH100" s="87"/>
      <c r="AI100" s="87">
        <v>1</v>
      </c>
      <c r="AJ100" s="87">
        <v>1</v>
      </c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</row>
    <row r="101" spans="1:49" x14ac:dyDescent="0.3">
      <c r="A101" s="111">
        <v>118</v>
      </c>
      <c r="B101" s="139"/>
      <c r="C101" s="12">
        <v>7099798</v>
      </c>
      <c r="D101" s="12" t="s">
        <v>484</v>
      </c>
      <c r="E101" s="12" t="s">
        <v>485</v>
      </c>
      <c r="F101" s="87">
        <v>1</v>
      </c>
      <c r="G101" s="87"/>
      <c r="H101" s="87">
        <v>1</v>
      </c>
      <c r="I101" s="87"/>
      <c r="J101" s="87"/>
      <c r="K101" s="87"/>
      <c r="L101" s="87">
        <v>1</v>
      </c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8">
        <v>1</v>
      </c>
      <c r="AA101" s="88">
        <v>1</v>
      </c>
      <c r="AB101" s="98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</row>
    <row r="102" spans="1:49" x14ac:dyDescent="0.3">
      <c r="A102" s="31">
        <v>21</v>
      </c>
      <c r="B102" s="32" t="s">
        <v>43</v>
      </c>
      <c r="C102" s="33">
        <v>7055571</v>
      </c>
      <c r="D102" s="34" t="s">
        <v>110</v>
      </c>
      <c r="E102" s="34" t="s">
        <v>111</v>
      </c>
      <c r="F102" s="87"/>
      <c r="G102" s="87"/>
      <c r="H102" s="87"/>
      <c r="I102" s="87"/>
      <c r="J102" s="87"/>
      <c r="K102" s="87"/>
      <c r="L102" s="87">
        <v>1</v>
      </c>
      <c r="M102" s="87"/>
      <c r="N102" s="87"/>
      <c r="O102" s="87"/>
      <c r="P102" s="87">
        <v>1</v>
      </c>
      <c r="Q102" s="87"/>
      <c r="R102" s="87"/>
      <c r="S102" s="87"/>
      <c r="T102" s="87"/>
      <c r="U102" s="87"/>
      <c r="V102" s="87"/>
      <c r="W102" s="87"/>
      <c r="X102" s="87"/>
      <c r="Y102" s="87"/>
      <c r="Z102" s="88">
        <v>1</v>
      </c>
      <c r="AA102" s="88">
        <v>1</v>
      </c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</row>
    <row r="103" spans="1:49" x14ac:dyDescent="0.3">
      <c r="A103" s="115">
        <v>39</v>
      </c>
      <c r="B103" s="29" t="s">
        <v>46</v>
      </c>
      <c r="C103" s="38">
        <v>7092741</v>
      </c>
      <c r="D103" s="26" t="s">
        <v>112</v>
      </c>
      <c r="E103" s="27" t="s">
        <v>113</v>
      </c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8"/>
      <c r="AA103" s="88"/>
      <c r="AB103" s="87">
        <v>1</v>
      </c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</row>
    <row r="104" spans="1:49" x14ac:dyDescent="0.3">
      <c r="A104" s="39">
        <v>41</v>
      </c>
      <c r="B104" s="28" t="s">
        <v>43</v>
      </c>
      <c r="C104" s="26">
        <v>7092738</v>
      </c>
      <c r="D104" s="26" t="s">
        <v>114</v>
      </c>
      <c r="E104" s="113" t="s">
        <v>115</v>
      </c>
      <c r="F104" s="87">
        <v>1</v>
      </c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>
        <v>1</v>
      </c>
      <c r="V104" s="87"/>
      <c r="W104" s="87">
        <v>1</v>
      </c>
      <c r="X104" s="87"/>
      <c r="Y104" s="87"/>
      <c r="Z104" s="88">
        <v>1</v>
      </c>
      <c r="AA104" s="88">
        <v>1</v>
      </c>
      <c r="AB104" s="98">
        <v>1</v>
      </c>
      <c r="AC104" s="87"/>
      <c r="AD104" s="87">
        <v>1</v>
      </c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>
        <v>1</v>
      </c>
      <c r="AW104" s="87"/>
    </row>
    <row r="105" spans="1:49" x14ac:dyDescent="0.3">
      <c r="A105" s="31">
        <v>109</v>
      </c>
      <c r="B105" s="29" t="s">
        <v>198</v>
      </c>
      <c r="C105" s="33">
        <v>7099948</v>
      </c>
      <c r="D105" s="34" t="s">
        <v>407</v>
      </c>
      <c r="E105" s="35" t="s">
        <v>408</v>
      </c>
      <c r="F105" s="87">
        <v>1</v>
      </c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8"/>
      <c r="AA105" s="88">
        <v>1</v>
      </c>
      <c r="AB105" s="87"/>
      <c r="AC105" s="87"/>
      <c r="AD105" s="87"/>
      <c r="AE105" s="87"/>
      <c r="AF105" s="87">
        <v>1</v>
      </c>
      <c r="AG105" s="87"/>
      <c r="AH105" s="87"/>
      <c r="AI105" s="87"/>
      <c r="AJ105" s="87"/>
      <c r="AK105" s="87"/>
      <c r="AL105" s="87"/>
      <c r="AM105" s="87">
        <v>1</v>
      </c>
      <c r="AN105" s="87"/>
      <c r="AO105" s="87"/>
      <c r="AP105" s="87"/>
      <c r="AQ105" s="87"/>
      <c r="AR105" s="87"/>
      <c r="AS105" s="87"/>
      <c r="AT105" s="87"/>
      <c r="AU105" s="87"/>
      <c r="AV105" s="87">
        <v>1</v>
      </c>
      <c r="AW105" s="87"/>
    </row>
    <row r="106" spans="1:49" x14ac:dyDescent="0.3">
      <c r="A106" s="31"/>
      <c r="B106" s="29"/>
      <c r="C106" s="26">
        <v>7403371</v>
      </c>
      <c r="D106" s="26" t="s">
        <v>494</v>
      </c>
      <c r="E106" s="113" t="s">
        <v>495</v>
      </c>
      <c r="F106" s="87">
        <v>1</v>
      </c>
      <c r="G106" s="87"/>
      <c r="H106" s="87"/>
      <c r="I106" s="87"/>
      <c r="J106" s="87"/>
      <c r="K106" s="87"/>
      <c r="L106" s="87">
        <v>1</v>
      </c>
      <c r="M106" s="87">
        <v>1</v>
      </c>
      <c r="N106" s="87"/>
      <c r="O106" s="87"/>
      <c r="P106" s="87"/>
      <c r="Q106" s="87">
        <v>1</v>
      </c>
      <c r="R106" s="87">
        <v>1</v>
      </c>
      <c r="S106" s="87">
        <v>1</v>
      </c>
      <c r="T106" s="87"/>
      <c r="U106" s="87"/>
      <c r="V106" s="87"/>
      <c r="W106" s="87"/>
      <c r="X106" s="87"/>
      <c r="Y106" s="87"/>
      <c r="Z106" s="88"/>
      <c r="AA106" s="88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</row>
    <row r="107" spans="1:49" x14ac:dyDescent="0.3">
      <c r="A107" s="115">
        <v>65</v>
      </c>
      <c r="B107" s="28" t="s">
        <v>49</v>
      </c>
      <c r="C107" s="87">
        <v>7094186</v>
      </c>
      <c r="D107" s="87" t="s">
        <v>173</v>
      </c>
      <c r="E107" s="87" t="s">
        <v>174</v>
      </c>
      <c r="F107" s="87">
        <v>1</v>
      </c>
      <c r="G107" s="87"/>
      <c r="H107" s="87"/>
      <c r="I107" s="87">
        <v>1</v>
      </c>
      <c r="J107" s="87">
        <v>1</v>
      </c>
      <c r="K107" s="87">
        <v>1</v>
      </c>
      <c r="L107" s="87">
        <v>1</v>
      </c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8">
        <v>1</v>
      </c>
      <c r="AA107" s="88">
        <v>1</v>
      </c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>
        <v>1</v>
      </c>
      <c r="AN107" s="87"/>
      <c r="AO107" s="87"/>
      <c r="AP107" s="87"/>
      <c r="AQ107" s="87"/>
      <c r="AR107" s="87"/>
      <c r="AS107" s="87"/>
      <c r="AT107" s="87"/>
      <c r="AU107" s="87"/>
      <c r="AV107" s="87">
        <v>1</v>
      </c>
      <c r="AW107" s="87"/>
    </row>
    <row r="108" spans="1:49" x14ac:dyDescent="0.3">
      <c r="A108" s="31">
        <v>35</v>
      </c>
      <c r="B108" s="32" t="s">
        <v>42</v>
      </c>
      <c r="C108" s="26">
        <v>7073267</v>
      </c>
      <c r="D108" s="26" t="s">
        <v>116</v>
      </c>
      <c r="E108" s="27" t="s">
        <v>117</v>
      </c>
      <c r="F108" s="87"/>
      <c r="G108" s="87"/>
      <c r="H108" s="87"/>
      <c r="I108" s="87"/>
      <c r="J108" s="87"/>
      <c r="K108" s="87">
        <v>1</v>
      </c>
      <c r="L108" s="87">
        <v>1</v>
      </c>
      <c r="M108" s="87"/>
      <c r="N108" s="87"/>
      <c r="O108" s="87"/>
      <c r="P108" s="87"/>
      <c r="Q108" s="87"/>
      <c r="R108" s="87"/>
      <c r="S108" s="87">
        <v>1</v>
      </c>
      <c r="T108" s="87">
        <v>1</v>
      </c>
      <c r="U108" s="87"/>
      <c r="V108" s="87"/>
      <c r="W108" s="87"/>
      <c r="X108" s="87"/>
      <c r="Y108" s="87"/>
      <c r="Z108" s="88">
        <v>1</v>
      </c>
      <c r="AA108" s="88">
        <v>1</v>
      </c>
      <c r="AB108" s="98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>
        <v>1</v>
      </c>
      <c r="AW108" s="87"/>
    </row>
    <row r="109" spans="1:49" x14ac:dyDescent="0.3">
      <c r="A109" s="31">
        <v>59</v>
      </c>
      <c r="B109" s="28" t="s">
        <v>42</v>
      </c>
      <c r="C109" s="26">
        <v>7094192</v>
      </c>
      <c r="D109" s="26" t="s">
        <v>175</v>
      </c>
      <c r="E109" s="26" t="s">
        <v>176</v>
      </c>
      <c r="F109" s="87">
        <v>1</v>
      </c>
      <c r="G109" s="87"/>
      <c r="H109" s="87"/>
      <c r="I109" s="87"/>
      <c r="J109" s="87"/>
      <c r="K109" s="87"/>
      <c r="L109" s="87">
        <v>1</v>
      </c>
      <c r="M109" s="87">
        <v>1</v>
      </c>
      <c r="N109" s="87">
        <v>1</v>
      </c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8">
        <v>1</v>
      </c>
      <c r="AA109" s="88">
        <v>1</v>
      </c>
      <c r="AB109" s="87"/>
      <c r="AC109" s="87"/>
      <c r="AD109" s="87"/>
      <c r="AE109" s="87"/>
      <c r="AF109" s="87">
        <v>1</v>
      </c>
      <c r="AG109" s="87"/>
      <c r="AH109" s="87"/>
      <c r="AI109" s="87">
        <v>1</v>
      </c>
      <c r="AJ109" s="87">
        <v>1</v>
      </c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>
        <v>1</v>
      </c>
      <c r="AW109" s="87"/>
    </row>
    <row r="110" spans="1:49" x14ac:dyDescent="0.3">
      <c r="A110" s="31">
        <v>32</v>
      </c>
      <c r="B110" s="32" t="s">
        <v>42</v>
      </c>
      <c r="C110" s="33">
        <v>7090966</v>
      </c>
      <c r="D110" s="34" t="s">
        <v>119</v>
      </c>
      <c r="E110" s="34" t="s">
        <v>78</v>
      </c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8"/>
      <c r="AA110" s="88"/>
      <c r="AB110" s="87">
        <v>1</v>
      </c>
      <c r="AC110" s="87"/>
      <c r="AD110" s="87"/>
      <c r="AE110" s="87"/>
      <c r="AF110" s="87">
        <v>1</v>
      </c>
      <c r="AG110" s="87">
        <v>1</v>
      </c>
      <c r="AH110" s="87"/>
      <c r="AI110" s="87">
        <v>1</v>
      </c>
      <c r="AJ110" s="87">
        <v>1</v>
      </c>
      <c r="AK110" s="87">
        <v>1</v>
      </c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</row>
    <row r="111" spans="1:49" x14ac:dyDescent="0.3">
      <c r="A111" s="31">
        <v>81</v>
      </c>
      <c r="B111" s="32" t="s">
        <v>43</v>
      </c>
      <c r="C111" s="26">
        <v>7094180</v>
      </c>
      <c r="D111" s="26" t="s">
        <v>363</v>
      </c>
      <c r="E111" s="27" t="s">
        <v>352</v>
      </c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8">
        <v>1</v>
      </c>
      <c r="AA111" s="88">
        <v>1</v>
      </c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>
        <v>1</v>
      </c>
      <c r="AT111" s="87">
        <v>1</v>
      </c>
      <c r="AU111" s="87">
        <v>1</v>
      </c>
      <c r="AV111" s="87">
        <v>1</v>
      </c>
      <c r="AW111" s="87"/>
    </row>
    <row r="112" spans="1:49" x14ac:dyDescent="0.3">
      <c r="A112" s="31">
        <v>67</v>
      </c>
      <c r="B112" s="102" t="s">
        <v>42</v>
      </c>
      <c r="C112" s="26">
        <v>7093549</v>
      </c>
      <c r="D112" s="26" t="s">
        <v>185</v>
      </c>
      <c r="E112" s="27" t="s">
        <v>186</v>
      </c>
      <c r="F112" s="87">
        <v>1</v>
      </c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8">
        <v>1</v>
      </c>
      <c r="AA112" s="88">
        <v>1</v>
      </c>
      <c r="AB112" s="98"/>
      <c r="AC112" s="87"/>
      <c r="AD112" s="87"/>
      <c r="AE112" s="87"/>
      <c r="AF112" s="87">
        <v>1</v>
      </c>
      <c r="AG112" s="87"/>
      <c r="AH112" s="87">
        <v>1</v>
      </c>
      <c r="AI112" s="87">
        <v>1</v>
      </c>
      <c r="AJ112" s="87">
        <v>1</v>
      </c>
      <c r="AK112" s="87"/>
      <c r="AL112" s="87"/>
      <c r="AM112" s="87">
        <v>1</v>
      </c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</row>
    <row r="113" spans="1:49" x14ac:dyDescent="0.3">
      <c r="A113" s="31">
        <v>51</v>
      </c>
      <c r="B113" s="32" t="s">
        <v>42</v>
      </c>
      <c r="C113" s="26">
        <v>7094191</v>
      </c>
      <c r="D113" s="26" t="s">
        <v>120</v>
      </c>
      <c r="E113" s="27" t="s">
        <v>121</v>
      </c>
      <c r="F113" s="87"/>
      <c r="G113" s="87"/>
      <c r="H113" s="87"/>
      <c r="I113" s="87">
        <v>1</v>
      </c>
      <c r="J113" s="87">
        <v>1</v>
      </c>
      <c r="K113" s="87">
        <v>1</v>
      </c>
      <c r="L113" s="87">
        <v>1</v>
      </c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8">
        <v>1</v>
      </c>
      <c r="AA113" s="109">
        <v>1</v>
      </c>
      <c r="AB113" s="98"/>
      <c r="AC113" s="98"/>
      <c r="AD113" s="98"/>
      <c r="AE113" s="87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87"/>
      <c r="AW113" s="87"/>
    </row>
    <row r="114" spans="1:49" x14ac:dyDescent="0.3">
      <c r="A114" s="31">
        <v>102</v>
      </c>
      <c r="B114" s="110"/>
      <c r="C114" s="117">
        <v>7401045</v>
      </c>
      <c r="D114" s="26" t="s">
        <v>379</v>
      </c>
      <c r="E114" s="27" t="s">
        <v>380</v>
      </c>
      <c r="F114" s="87">
        <v>1</v>
      </c>
      <c r="G114" s="87"/>
      <c r="H114" s="87"/>
      <c r="I114" s="87"/>
      <c r="J114" s="87"/>
      <c r="K114" s="87"/>
      <c r="L114" s="87">
        <v>1</v>
      </c>
      <c r="M114" s="87">
        <v>1</v>
      </c>
      <c r="N114" s="87">
        <v>1</v>
      </c>
      <c r="O114" s="87">
        <v>1</v>
      </c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8">
        <v>1</v>
      </c>
      <c r="AA114" s="109">
        <v>1</v>
      </c>
      <c r="AB114" s="98"/>
      <c r="AC114" s="98"/>
      <c r="AD114" s="98"/>
      <c r="AE114" s="87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87">
        <v>1</v>
      </c>
      <c r="AW114" s="87"/>
    </row>
    <row r="115" spans="1:49" x14ac:dyDescent="0.3">
      <c r="A115" s="115">
        <v>122</v>
      </c>
      <c r="B115" s="28" t="s">
        <v>198</v>
      </c>
      <c r="C115" s="26">
        <v>7402022</v>
      </c>
      <c r="D115" s="26" t="s">
        <v>419</v>
      </c>
      <c r="E115" s="27" t="s">
        <v>420</v>
      </c>
      <c r="F115" s="87">
        <v>1</v>
      </c>
      <c r="G115" s="87"/>
      <c r="H115" s="87"/>
      <c r="I115" s="87"/>
      <c r="J115" s="87"/>
      <c r="K115" s="87"/>
      <c r="L115" s="87"/>
      <c r="M115" s="87"/>
      <c r="N115" s="87"/>
      <c r="O115" s="87"/>
      <c r="P115" s="87">
        <v>1</v>
      </c>
      <c r="Q115" s="87"/>
      <c r="R115" s="87"/>
      <c r="S115" s="87"/>
      <c r="T115" s="87"/>
      <c r="U115" s="87"/>
      <c r="V115" s="87"/>
      <c r="W115" s="87"/>
      <c r="X115" s="87"/>
      <c r="Y115" s="87"/>
      <c r="Z115" s="88">
        <v>1</v>
      </c>
      <c r="AA115" s="88">
        <v>1</v>
      </c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>
        <v>1</v>
      </c>
      <c r="AW115" s="87"/>
    </row>
    <row r="116" spans="1:49" x14ac:dyDescent="0.3">
      <c r="A116" s="31">
        <v>125</v>
      </c>
      <c r="B116" s="29" t="s">
        <v>198</v>
      </c>
      <c r="C116" s="33">
        <v>7402849</v>
      </c>
      <c r="D116" s="34" t="s">
        <v>432</v>
      </c>
      <c r="E116" s="35" t="s">
        <v>433</v>
      </c>
      <c r="F116" s="87">
        <v>1</v>
      </c>
      <c r="G116" s="87"/>
      <c r="H116" s="87">
        <v>1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8"/>
      <c r="AA116" s="88"/>
      <c r="AB116" s="87"/>
      <c r="AC116" s="87"/>
      <c r="AD116" s="87"/>
      <c r="AE116" s="87"/>
      <c r="AF116" s="87"/>
      <c r="AG116" s="87"/>
      <c r="AH116" s="87"/>
      <c r="AI116" s="87">
        <v>1</v>
      </c>
      <c r="AJ116" s="87">
        <v>1</v>
      </c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</row>
    <row r="117" spans="1:49" x14ac:dyDescent="0.3">
      <c r="A117" s="31">
        <v>20</v>
      </c>
      <c r="B117" s="102" t="s">
        <v>122</v>
      </c>
      <c r="C117" s="26">
        <v>7055856</v>
      </c>
      <c r="D117" s="26" t="s">
        <v>123</v>
      </c>
      <c r="E117" s="27" t="s">
        <v>124</v>
      </c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8"/>
      <c r="AA117" s="88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</row>
    <row r="118" spans="1:49" x14ac:dyDescent="0.3">
      <c r="A118" s="31"/>
      <c r="B118" s="29"/>
      <c r="C118" s="26">
        <v>7104205</v>
      </c>
      <c r="D118" s="26" t="s">
        <v>500</v>
      </c>
      <c r="E118" s="113" t="s">
        <v>501</v>
      </c>
      <c r="F118" s="87">
        <v>1</v>
      </c>
      <c r="G118" s="87"/>
      <c r="H118" s="87">
        <v>1</v>
      </c>
      <c r="I118" s="87"/>
      <c r="J118" s="87"/>
      <c r="K118" s="87"/>
      <c r="L118" s="87">
        <v>1</v>
      </c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8"/>
      <c r="AA118" s="88"/>
      <c r="AB118" s="87"/>
      <c r="AC118" s="87"/>
      <c r="AD118" s="87"/>
      <c r="AE118" s="87"/>
      <c r="AF118" s="87"/>
      <c r="AG118" s="87"/>
      <c r="AH118" s="87"/>
      <c r="AI118" s="87">
        <v>1</v>
      </c>
      <c r="AJ118" s="87">
        <v>1</v>
      </c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</row>
    <row r="119" spans="1:49" x14ac:dyDescent="0.3">
      <c r="A119" s="31">
        <v>93</v>
      </c>
      <c r="B119" s="28" t="s">
        <v>42</v>
      </c>
      <c r="C119" s="37">
        <v>7400367</v>
      </c>
      <c r="D119" s="34" t="s">
        <v>361</v>
      </c>
      <c r="E119" s="34" t="s">
        <v>369</v>
      </c>
      <c r="F119" s="87">
        <v>1</v>
      </c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>
        <v>1</v>
      </c>
      <c r="U119" s="87"/>
      <c r="V119" s="87"/>
      <c r="W119" s="87"/>
      <c r="X119" s="87"/>
      <c r="Y119" s="87"/>
      <c r="Z119" s="88">
        <v>1</v>
      </c>
      <c r="AA119" s="88">
        <v>1</v>
      </c>
      <c r="AB119" s="87"/>
      <c r="AC119" s="87"/>
      <c r="AD119" s="87"/>
      <c r="AE119" s="87"/>
      <c r="AF119" s="87">
        <v>1</v>
      </c>
      <c r="AG119" s="87"/>
      <c r="AH119" s="87">
        <v>1</v>
      </c>
      <c r="AI119" s="87">
        <v>1</v>
      </c>
      <c r="AJ119" s="87">
        <v>1</v>
      </c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>
        <v>1</v>
      </c>
      <c r="AW119" s="87"/>
    </row>
    <row r="120" spans="1:49" x14ac:dyDescent="0.3">
      <c r="A120" s="31">
        <v>88</v>
      </c>
      <c r="B120" s="29" t="s">
        <v>341</v>
      </c>
      <c r="C120" s="26">
        <v>7098033</v>
      </c>
      <c r="D120" s="26" t="s">
        <v>370</v>
      </c>
      <c r="E120" s="27" t="s">
        <v>371</v>
      </c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8"/>
      <c r="AA120" s="88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</row>
    <row r="121" spans="1:49" x14ac:dyDescent="0.3">
      <c r="A121" s="31">
        <v>52</v>
      </c>
      <c r="B121" s="28" t="s">
        <v>42</v>
      </c>
      <c r="C121" s="26">
        <v>7077473</v>
      </c>
      <c r="D121" s="26" t="s">
        <v>125</v>
      </c>
      <c r="E121" s="113" t="s">
        <v>55</v>
      </c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8"/>
      <c r="AA121" s="88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</row>
    <row r="122" spans="1:49" x14ac:dyDescent="0.3">
      <c r="A122" s="31"/>
      <c r="B122" s="29"/>
      <c r="C122" s="26">
        <v>7402698</v>
      </c>
      <c r="D122" s="26" t="s">
        <v>490</v>
      </c>
      <c r="E122" s="113" t="s">
        <v>491</v>
      </c>
      <c r="F122" s="87">
        <v>1</v>
      </c>
      <c r="G122" s="87"/>
      <c r="H122" s="87"/>
      <c r="I122" s="87"/>
      <c r="J122" s="87"/>
      <c r="K122" s="87"/>
      <c r="L122" s="87">
        <v>1</v>
      </c>
      <c r="M122" s="87">
        <v>1</v>
      </c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8"/>
      <c r="AA122" s="88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>
        <v>1</v>
      </c>
      <c r="AW122" s="87"/>
    </row>
    <row r="123" spans="1:49" x14ac:dyDescent="0.3">
      <c r="A123" s="31">
        <v>18</v>
      </c>
      <c r="B123" s="32" t="s">
        <v>42</v>
      </c>
      <c r="C123" s="26">
        <v>7051890</v>
      </c>
      <c r="D123" s="26" t="s">
        <v>126</v>
      </c>
      <c r="E123" s="27" t="s">
        <v>127</v>
      </c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8">
        <v>1</v>
      </c>
      <c r="AA123" s="88">
        <v>1</v>
      </c>
      <c r="AB123" s="87">
        <v>1</v>
      </c>
      <c r="AC123" s="87"/>
      <c r="AD123" s="87"/>
      <c r="AE123" s="87"/>
      <c r="AF123" s="87">
        <v>1</v>
      </c>
      <c r="AG123" s="87"/>
      <c r="AH123" s="87"/>
      <c r="AI123" s="87">
        <v>1</v>
      </c>
      <c r="AJ123" s="87">
        <v>1</v>
      </c>
      <c r="AK123" s="87">
        <v>1</v>
      </c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</row>
    <row r="124" spans="1:49" x14ac:dyDescent="0.3">
      <c r="A124" s="31">
        <v>135</v>
      </c>
      <c r="B124" s="28" t="s">
        <v>198</v>
      </c>
      <c r="C124" s="40">
        <v>7403357</v>
      </c>
      <c r="D124" s="40" t="s">
        <v>434</v>
      </c>
      <c r="E124" s="40" t="s">
        <v>435</v>
      </c>
      <c r="F124" s="87">
        <v>1</v>
      </c>
      <c r="G124" s="87"/>
      <c r="H124" s="87"/>
      <c r="I124" s="87">
        <v>1</v>
      </c>
      <c r="J124" s="87">
        <v>1</v>
      </c>
      <c r="K124" s="87">
        <v>1</v>
      </c>
      <c r="L124" s="87">
        <v>1</v>
      </c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8"/>
      <c r="AA124" s="88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>
        <v>1</v>
      </c>
      <c r="AU124" s="87">
        <v>1</v>
      </c>
      <c r="AV124" s="87"/>
      <c r="AW124" s="87"/>
    </row>
    <row r="125" spans="1:49" x14ac:dyDescent="0.3">
      <c r="A125" s="31">
        <v>72</v>
      </c>
      <c r="B125" s="28" t="s">
        <v>49</v>
      </c>
      <c r="C125" s="26">
        <v>7094183</v>
      </c>
      <c r="D125" s="26" t="s">
        <v>187</v>
      </c>
      <c r="E125" s="27" t="s">
        <v>118</v>
      </c>
      <c r="F125" s="87">
        <v>1</v>
      </c>
      <c r="G125" s="87"/>
      <c r="H125" s="87"/>
      <c r="I125" s="87"/>
      <c r="J125" s="87"/>
      <c r="K125" s="87"/>
      <c r="L125" s="87">
        <v>1</v>
      </c>
      <c r="M125" s="87"/>
      <c r="N125" s="87"/>
      <c r="O125" s="87"/>
      <c r="P125" s="87"/>
      <c r="Q125" s="87"/>
      <c r="R125" s="87"/>
      <c r="S125" s="87"/>
      <c r="T125" s="87">
        <v>1</v>
      </c>
      <c r="U125" s="87"/>
      <c r="V125" s="87"/>
      <c r="W125" s="87"/>
      <c r="X125" s="87"/>
      <c r="Y125" s="87">
        <v>1</v>
      </c>
      <c r="Z125" s="88">
        <v>1</v>
      </c>
      <c r="AA125" s="88">
        <v>1</v>
      </c>
      <c r="AB125" s="87"/>
      <c r="AC125" s="87"/>
      <c r="AD125" s="87"/>
      <c r="AE125" s="87"/>
      <c r="AF125" s="87"/>
      <c r="AG125" s="87">
        <v>1</v>
      </c>
      <c r="AH125" s="87"/>
      <c r="AI125" s="87">
        <v>1</v>
      </c>
      <c r="AJ125" s="87">
        <v>1</v>
      </c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</row>
    <row r="126" spans="1:49" x14ac:dyDescent="0.3">
      <c r="A126" s="31"/>
      <c r="B126" s="32"/>
      <c r="C126" s="26">
        <v>7095864</v>
      </c>
      <c r="D126" s="26" t="s">
        <v>454</v>
      </c>
      <c r="E126" s="26" t="s">
        <v>455</v>
      </c>
      <c r="F126" s="87">
        <v>1</v>
      </c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>
        <v>1</v>
      </c>
      <c r="X126" s="87"/>
      <c r="Y126" s="87"/>
      <c r="Z126" s="88"/>
      <c r="AA126" s="88">
        <v>1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</row>
    <row r="127" spans="1:49" x14ac:dyDescent="0.3">
      <c r="A127" s="116">
        <v>19</v>
      </c>
      <c r="B127" s="87" t="s">
        <v>49</v>
      </c>
      <c r="C127" s="87">
        <v>7045037</v>
      </c>
      <c r="D127" s="87" t="s">
        <v>128</v>
      </c>
      <c r="E127" s="87" t="s">
        <v>129</v>
      </c>
      <c r="F127" s="87">
        <v>1</v>
      </c>
      <c r="G127" s="87"/>
      <c r="H127" s="87"/>
      <c r="I127" s="87"/>
      <c r="J127" s="87"/>
      <c r="K127" s="87"/>
      <c r="L127" s="87">
        <v>1</v>
      </c>
      <c r="M127" s="87"/>
      <c r="N127" s="87"/>
      <c r="O127" s="87"/>
      <c r="P127" s="87"/>
      <c r="Q127" s="87"/>
      <c r="R127" s="87"/>
      <c r="S127" s="87">
        <v>1</v>
      </c>
      <c r="T127" s="87">
        <v>1</v>
      </c>
      <c r="U127" s="87"/>
      <c r="V127" s="87"/>
      <c r="W127" s="87"/>
      <c r="X127" s="87">
        <v>1</v>
      </c>
      <c r="Y127" s="87"/>
      <c r="Z127" s="88">
        <v>1</v>
      </c>
      <c r="AA127" s="88">
        <v>1</v>
      </c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>
        <v>1</v>
      </c>
      <c r="AW127" s="87"/>
    </row>
    <row r="128" spans="1:49" x14ac:dyDescent="0.3">
      <c r="A128" s="39">
        <v>69</v>
      </c>
      <c r="B128" s="28" t="s">
        <v>49</v>
      </c>
      <c r="C128" s="26">
        <v>7095136</v>
      </c>
      <c r="D128" s="26" t="s">
        <v>188</v>
      </c>
      <c r="E128" s="113" t="s">
        <v>189</v>
      </c>
      <c r="F128" s="87"/>
      <c r="G128" s="87"/>
      <c r="H128" s="87"/>
      <c r="I128" s="87">
        <v>1</v>
      </c>
      <c r="J128" s="87">
        <v>1</v>
      </c>
      <c r="K128" s="87">
        <v>1</v>
      </c>
      <c r="L128" s="87">
        <v>1</v>
      </c>
      <c r="M128" s="87"/>
      <c r="N128" s="87"/>
      <c r="O128" s="87"/>
      <c r="P128" s="87">
        <v>1</v>
      </c>
      <c r="Q128" s="87"/>
      <c r="R128" s="87"/>
      <c r="S128" s="87"/>
      <c r="T128" s="87"/>
      <c r="U128" s="87"/>
      <c r="V128" s="87"/>
      <c r="W128" s="87"/>
      <c r="X128" s="87"/>
      <c r="Y128" s="87"/>
      <c r="Z128" s="88">
        <v>1</v>
      </c>
      <c r="AA128" s="88">
        <v>1</v>
      </c>
      <c r="AB128" s="98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</row>
    <row r="129" spans="1:49" x14ac:dyDescent="0.3">
      <c r="A129" s="31"/>
      <c r="B129" s="29"/>
      <c r="C129" s="26">
        <v>7403653</v>
      </c>
      <c r="D129" s="26" t="s">
        <v>496</v>
      </c>
      <c r="E129" s="113" t="s">
        <v>497</v>
      </c>
      <c r="F129" s="87">
        <v>1</v>
      </c>
      <c r="G129" s="87"/>
      <c r="H129" s="87">
        <v>1</v>
      </c>
      <c r="I129" s="87"/>
      <c r="J129" s="87"/>
      <c r="K129" s="87">
        <v>1</v>
      </c>
      <c r="L129" s="87"/>
      <c r="M129" s="87"/>
      <c r="N129" s="87"/>
      <c r="O129" s="87"/>
      <c r="P129" s="87"/>
      <c r="Q129" s="87"/>
      <c r="R129" s="87"/>
      <c r="S129" s="87"/>
      <c r="T129" s="87">
        <v>1</v>
      </c>
      <c r="U129" s="87"/>
      <c r="V129" s="87"/>
      <c r="W129" s="87"/>
      <c r="X129" s="87"/>
      <c r="Y129" s="87"/>
      <c r="Z129" s="88"/>
      <c r="AA129" s="88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</row>
    <row r="130" spans="1:49" x14ac:dyDescent="0.3">
      <c r="A130" s="115">
        <v>120</v>
      </c>
      <c r="B130" s="28" t="s">
        <v>198</v>
      </c>
      <c r="C130" s="26">
        <v>7402480</v>
      </c>
      <c r="D130" s="26" t="s">
        <v>417</v>
      </c>
      <c r="E130" s="113" t="s">
        <v>418</v>
      </c>
      <c r="F130" s="87">
        <v>1</v>
      </c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8">
        <v>1</v>
      </c>
      <c r="AA130" s="88">
        <v>1</v>
      </c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>
        <v>1</v>
      </c>
      <c r="AM130" s="87">
        <v>1</v>
      </c>
      <c r="AN130" s="87"/>
      <c r="AO130" s="87"/>
      <c r="AP130" s="87"/>
      <c r="AQ130" s="87"/>
      <c r="AR130" s="87"/>
      <c r="AS130" s="87"/>
      <c r="AT130" s="87"/>
      <c r="AU130" s="87"/>
      <c r="AV130" s="87">
        <v>1</v>
      </c>
      <c r="AW130" s="87"/>
    </row>
    <row r="131" spans="1:49" x14ac:dyDescent="0.3">
      <c r="A131" s="31">
        <v>45</v>
      </c>
      <c r="B131" s="104" t="s">
        <v>49</v>
      </c>
      <c r="C131" s="26">
        <v>7092904</v>
      </c>
      <c r="D131" s="26" t="s">
        <v>130</v>
      </c>
      <c r="E131" s="27" t="s">
        <v>131</v>
      </c>
      <c r="F131" s="87">
        <v>1</v>
      </c>
      <c r="G131" s="87"/>
      <c r="H131" s="87">
        <v>1</v>
      </c>
      <c r="I131" s="87"/>
      <c r="J131" s="87"/>
      <c r="K131" s="87"/>
      <c r="L131" s="87">
        <v>1</v>
      </c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>
        <v>1</v>
      </c>
      <c r="X131" s="87"/>
      <c r="Y131" s="87"/>
      <c r="Z131" s="88">
        <v>1</v>
      </c>
      <c r="AA131" s="88">
        <v>1</v>
      </c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</row>
    <row r="132" spans="1:49" x14ac:dyDescent="0.3">
      <c r="A132" s="31">
        <v>2</v>
      </c>
      <c r="B132" s="34" t="s">
        <v>46</v>
      </c>
      <c r="C132" s="26">
        <v>26804</v>
      </c>
      <c r="D132" s="26" t="s">
        <v>132</v>
      </c>
      <c r="E132" s="27" t="s">
        <v>133</v>
      </c>
      <c r="F132" s="87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8"/>
      <c r="AA132" s="108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01"/>
      <c r="AT132" s="101"/>
      <c r="AU132" s="101"/>
      <c r="AV132" s="101"/>
      <c r="AW132" s="101"/>
    </row>
    <row r="133" spans="1:49" x14ac:dyDescent="0.3">
      <c r="A133" s="115">
        <v>108</v>
      </c>
      <c r="B133" s="28" t="s">
        <v>198</v>
      </c>
      <c r="C133" s="26">
        <v>7401055</v>
      </c>
      <c r="D133" s="26" t="s">
        <v>409</v>
      </c>
      <c r="E133" s="34" t="s">
        <v>410</v>
      </c>
      <c r="F133" s="87">
        <v>1</v>
      </c>
      <c r="G133" s="87"/>
      <c r="H133" s="87"/>
      <c r="I133" s="87">
        <v>1</v>
      </c>
      <c r="J133" s="87">
        <v>1</v>
      </c>
      <c r="K133" s="87">
        <v>1</v>
      </c>
      <c r="L133" s="87">
        <v>1</v>
      </c>
      <c r="M133" s="87">
        <v>1</v>
      </c>
      <c r="N133" s="87">
        <v>1</v>
      </c>
      <c r="O133" s="87"/>
      <c r="P133" s="87"/>
      <c r="Q133" s="87"/>
      <c r="R133" s="87">
        <v>1</v>
      </c>
      <c r="S133" s="87"/>
      <c r="T133" s="87"/>
      <c r="U133" s="87"/>
      <c r="V133" s="87"/>
      <c r="W133" s="87"/>
      <c r="X133" s="87"/>
      <c r="Y133" s="87"/>
      <c r="Z133" s="88">
        <v>1</v>
      </c>
      <c r="AA133" s="88">
        <v>1</v>
      </c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>
        <v>1</v>
      </c>
      <c r="AW133" s="87"/>
    </row>
    <row r="134" spans="1:49" x14ac:dyDescent="0.3">
      <c r="A134" s="115">
        <v>94</v>
      </c>
      <c r="B134" s="28" t="s">
        <v>49</v>
      </c>
      <c r="C134" s="87">
        <v>7400954</v>
      </c>
      <c r="D134" s="87" t="s">
        <v>367</v>
      </c>
      <c r="E134" s="87" t="s">
        <v>368</v>
      </c>
      <c r="F134" s="87">
        <v>1</v>
      </c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8">
        <v>1</v>
      </c>
      <c r="AA134" s="88">
        <v>1</v>
      </c>
      <c r="AB134" s="87"/>
      <c r="AC134" s="87"/>
      <c r="AD134" s="87"/>
      <c r="AE134" s="87"/>
      <c r="AF134" s="87">
        <v>1</v>
      </c>
      <c r="AG134" s="87"/>
      <c r="AH134" s="87"/>
      <c r="AI134" s="87">
        <v>1</v>
      </c>
      <c r="AJ134" s="87">
        <v>1</v>
      </c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</row>
    <row r="135" spans="1:49" x14ac:dyDescent="0.3">
      <c r="A135" s="39"/>
      <c r="B135" s="28"/>
      <c r="C135" s="26">
        <v>7403383</v>
      </c>
      <c r="D135" s="26" t="s">
        <v>492</v>
      </c>
      <c r="E135" s="113" t="s">
        <v>493</v>
      </c>
      <c r="F135" s="87">
        <v>1</v>
      </c>
      <c r="G135" s="87"/>
      <c r="H135" s="87">
        <v>1</v>
      </c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>
        <v>1</v>
      </c>
      <c r="V135" s="87"/>
      <c r="W135" s="87"/>
      <c r="X135" s="87"/>
      <c r="Y135" s="87">
        <v>1</v>
      </c>
      <c r="Z135" s="88"/>
      <c r="AA135" s="88"/>
      <c r="AB135" s="98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</row>
    <row r="136" spans="1:49" x14ac:dyDescent="0.3">
      <c r="A136" s="115">
        <v>200</v>
      </c>
      <c r="B136" s="28" t="s">
        <v>43</v>
      </c>
      <c r="C136" s="26">
        <v>7026786</v>
      </c>
      <c r="D136" s="26" t="s">
        <v>135</v>
      </c>
      <c r="E136" s="27" t="s">
        <v>101</v>
      </c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8"/>
      <c r="AA136" s="88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</row>
    <row r="137" spans="1:49" x14ac:dyDescent="0.3">
      <c r="A137" s="31">
        <v>49</v>
      </c>
      <c r="B137" s="28" t="s">
        <v>49</v>
      </c>
      <c r="C137" s="26">
        <v>7093554</v>
      </c>
      <c r="D137" s="26" t="s">
        <v>136</v>
      </c>
      <c r="E137" s="27" t="s">
        <v>137</v>
      </c>
      <c r="F137" s="87">
        <v>1</v>
      </c>
      <c r="G137" s="87"/>
      <c r="H137" s="87">
        <v>1</v>
      </c>
      <c r="I137" s="87"/>
      <c r="J137" s="87"/>
      <c r="K137" s="87">
        <v>1</v>
      </c>
      <c r="L137" s="87"/>
      <c r="M137" s="87"/>
      <c r="N137" s="87"/>
      <c r="O137" s="87"/>
      <c r="P137" s="87"/>
      <c r="Q137" s="87"/>
      <c r="R137" s="87"/>
      <c r="S137" s="87"/>
      <c r="T137" s="87"/>
      <c r="U137" s="87">
        <v>1</v>
      </c>
      <c r="V137" s="87">
        <v>1</v>
      </c>
      <c r="W137" s="87">
        <v>1</v>
      </c>
      <c r="X137" s="87"/>
      <c r="Y137" s="87"/>
      <c r="Z137" s="88">
        <v>1</v>
      </c>
      <c r="AA137" s="88">
        <v>1</v>
      </c>
      <c r="AB137" s="87">
        <v>1</v>
      </c>
      <c r="AC137" s="87"/>
      <c r="AD137" s="87"/>
      <c r="AE137" s="87">
        <v>1</v>
      </c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>
        <v>1</v>
      </c>
      <c r="AW137" s="87"/>
    </row>
    <row r="138" spans="1:49" x14ac:dyDescent="0.3">
      <c r="A138" s="31">
        <v>100</v>
      </c>
      <c r="B138" s="28" t="s">
        <v>377</v>
      </c>
      <c r="C138" s="26">
        <v>7096593</v>
      </c>
      <c r="D138" s="26" t="s">
        <v>378</v>
      </c>
      <c r="E138" s="27" t="s">
        <v>194</v>
      </c>
      <c r="F138" s="87">
        <v>1</v>
      </c>
      <c r="G138" s="87"/>
      <c r="H138" s="87"/>
      <c r="I138" s="87"/>
      <c r="J138" s="87"/>
      <c r="K138" s="87"/>
      <c r="L138" s="87">
        <v>1</v>
      </c>
      <c r="M138" s="87"/>
      <c r="N138" s="87"/>
      <c r="O138" s="87"/>
      <c r="P138" s="87">
        <v>1</v>
      </c>
      <c r="Q138" s="87"/>
      <c r="R138" s="87"/>
      <c r="S138" s="87"/>
      <c r="T138" s="87"/>
      <c r="U138" s="87"/>
      <c r="V138" s="87"/>
      <c r="W138" s="87"/>
      <c r="X138" s="87"/>
      <c r="Y138" s="87"/>
      <c r="Z138" s="88">
        <v>1</v>
      </c>
      <c r="AA138" s="88">
        <v>1</v>
      </c>
      <c r="AB138" s="98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>
        <v>1</v>
      </c>
      <c r="AW138" s="87"/>
    </row>
    <row r="139" spans="1:49" x14ac:dyDescent="0.3">
      <c r="A139" s="31"/>
      <c r="B139" s="32"/>
      <c r="C139" s="28">
        <v>7095746</v>
      </c>
      <c r="D139" s="28" t="s">
        <v>456</v>
      </c>
      <c r="E139" s="28" t="s">
        <v>113</v>
      </c>
      <c r="F139" s="87">
        <v>1</v>
      </c>
      <c r="G139" s="87"/>
      <c r="H139" s="87"/>
      <c r="I139" s="87"/>
      <c r="J139" s="87"/>
      <c r="K139" s="87"/>
      <c r="L139" s="87">
        <v>1</v>
      </c>
      <c r="M139" s="87"/>
      <c r="N139" s="87"/>
      <c r="O139" s="87"/>
      <c r="P139" s="87"/>
      <c r="Q139" s="87"/>
      <c r="R139" s="87"/>
      <c r="S139" s="87"/>
      <c r="T139" s="87"/>
      <c r="U139" s="87">
        <v>1</v>
      </c>
      <c r="V139" s="87">
        <v>1</v>
      </c>
      <c r="W139" s="87"/>
      <c r="X139" s="87"/>
      <c r="Y139" s="87"/>
      <c r="Z139" s="88"/>
      <c r="AA139" s="88">
        <v>1</v>
      </c>
      <c r="AB139" s="98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>
        <v>1</v>
      </c>
      <c r="AM139" s="87"/>
      <c r="AN139" s="87"/>
      <c r="AO139" s="87"/>
      <c r="AP139" s="87"/>
      <c r="AQ139" s="87"/>
      <c r="AR139" s="87"/>
      <c r="AS139" s="87"/>
      <c r="AT139" s="87"/>
      <c r="AU139" s="87"/>
      <c r="AV139" s="87">
        <v>1</v>
      </c>
      <c r="AW139" s="87"/>
    </row>
    <row r="140" spans="1:49" x14ac:dyDescent="0.3">
      <c r="A140" s="31">
        <v>4</v>
      </c>
      <c r="B140" s="132" t="s">
        <v>341</v>
      </c>
      <c r="C140" s="26">
        <v>7027005</v>
      </c>
      <c r="D140" s="26" t="s">
        <v>138</v>
      </c>
      <c r="E140" s="113" t="s">
        <v>134</v>
      </c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8"/>
      <c r="AA140" s="88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</row>
    <row r="141" spans="1:49" x14ac:dyDescent="0.3">
      <c r="A141" s="115">
        <v>54</v>
      </c>
      <c r="B141" s="28" t="s">
        <v>43</v>
      </c>
      <c r="C141" s="26">
        <v>7093548</v>
      </c>
      <c r="D141" s="26" t="s">
        <v>139</v>
      </c>
      <c r="E141" s="113" t="s">
        <v>140</v>
      </c>
      <c r="F141" s="87">
        <v>1</v>
      </c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8">
        <v>1</v>
      </c>
      <c r="AA141" s="88">
        <v>1</v>
      </c>
      <c r="AB141" s="87">
        <v>1</v>
      </c>
      <c r="AC141" s="87"/>
      <c r="AD141" s="87"/>
      <c r="AE141" s="87"/>
      <c r="AF141" s="87">
        <v>1</v>
      </c>
      <c r="AG141" s="87"/>
      <c r="AH141" s="87">
        <v>1</v>
      </c>
      <c r="AI141" s="87">
        <v>1</v>
      </c>
      <c r="AJ141" s="87">
        <v>1</v>
      </c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>
        <v>1</v>
      </c>
      <c r="AW141" s="87"/>
    </row>
    <row r="142" spans="1:49" x14ac:dyDescent="0.3">
      <c r="A142" s="31">
        <v>101</v>
      </c>
      <c r="B142" s="29" t="s">
        <v>49</v>
      </c>
      <c r="C142" s="40">
        <v>7095821</v>
      </c>
      <c r="D142" s="40" t="s">
        <v>139</v>
      </c>
      <c r="E142" s="40" t="s">
        <v>134</v>
      </c>
      <c r="F142" s="87">
        <v>1</v>
      </c>
      <c r="G142" s="87"/>
      <c r="H142" s="87"/>
      <c r="I142" s="87">
        <v>1</v>
      </c>
      <c r="J142" s="87">
        <v>1</v>
      </c>
      <c r="K142" s="87">
        <v>1</v>
      </c>
      <c r="L142" s="87">
        <v>1</v>
      </c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8">
        <v>1</v>
      </c>
      <c r="AA142" s="88">
        <v>1</v>
      </c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>
        <v>1</v>
      </c>
      <c r="AT142" s="87">
        <v>1</v>
      </c>
      <c r="AU142" s="87">
        <v>1</v>
      </c>
      <c r="AV142" s="87">
        <v>1</v>
      </c>
      <c r="AW142" s="87"/>
    </row>
    <row r="143" spans="1:49" x14ac:dyDescent="0.3">
      <c r="A143" s="31">
        <v>23</v>
      </c>
      <c r="B143" s="29" t="s">
        <v>42</v>
      </c>
      <c r="C143" s="26">
        <v>7051765</v>
      </c>
      <c r="D143" s="26" t="s">
        <v>139</v>
      </c>
      <c r="E143" s="27" t="s">
        <v>55</v>
      </c>
      <c r="F143" s="87">
        <v>1</v>
      </c>
      <c r="G143" s="87"/>
      <c r="H143" s="87">
        <v>1</v>
      </c>
      <c r="I143" s="87">
        <v>1</v>
      </c>
      <c r="J143" s="87">
        <v>1</v>
      </c>
      <c r="K143" s="87">
        <v>1</v>
      </c>
      <c r="L143" s="87">
        <v>1</v>
      </c>
      <c r="M143" s="87"/>
      <c r="N143" s="87">
        <v>1</v>
      </c>
      <c r="O143" s="87"/>
      <c r="P143" s="87"/>
      <c r="Q143" s="87">
        <v>1</v>
      </c>
      <c r="R143" s="87">
        <v>1</v>
      </c>
      <c r="S143" s="87">
        <v>1</v>
      </c>
      <c r="T143" s="87">
        <v>1</v>
      </c>
      <c r="U143" s="87"/>
      <c r="V143" s="87">
        <v>1</v>
      </c>
      <c r="W143" s="87"/>
      <c r="X143" s="87"/>
      <c r="Y143" s="87"/>
      <c r="Z143" s="88">
        <v>1</v>
      </c>
      <c r="AA143" s="88">
        <v>1</v>
      </c>
      <c r="AB143" s="87">
        <v>1</v>
      </c>
      <c r="AC143" s="87"/>
      <c r="AD143" s="87"/>
      <c r="AE143" s="87">
        <v>1</v>
      </c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>
        <v>1</v>
      </c>
      <c r="AU143" s="87">
        <v>1</v>
      </c>
      <c r="AV143" s="87">
        <v>1</v>
      </c>
      <c r="AW143" s="87"/>
    </row>
    <row r="144" spans="1:49" x14ac:dyDescent="0.3">
      <c r="A144" s="31"/>
      <c r="B144" s="29"/>
      <c r="C144" s="26">
        <v>7403386</v>
      </c>
      <c r="D144" s="26" t="s">
        <v>457</v>
      </c>
      <c r="E144" s="113" t="s">
        <v>184</v>
      </c>
      <c r="F144" s="87"/>
      <c r="G144" s="87"/>
      <c r="H144" s="87"/>
      <c r="I144" s="87">
        <v>1</v>
      </c>
      <c r="J144" s="87">
        <v>1</v>
      </c>
      <c r="K144" s="87">
        <v>1</v>
      </c>
      <c r="L144" s="87">
        <v>1</v>
      </c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8"/>
      <c r="AA144" s="88">
        <v>1</v>
      </c>
      <c r="AB144" s="98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</row>
    <row r="145" spans="1:49" x14ac:dyDescent="0.3">
      <c r="A145" s="31">
        <v>129</v>
      </c>
      <c r="B145" s="29" t="s">
        <v>198</v>
      </c>
      <c r="C145" s="26">
        <v>7403076</v>
      </c>
      <c r="D145" s="41" t="s">
        <v>428</v>
      </c>
      <c r="E145" s="41" t="s">
        <v>429</v>
      </c>
      <c r="F145" s="87">
        <v>1</v>
      </c>
      <c r="G145" s="87"/>
      <c r="H145" s="87"/>
      <c r="I145" s="87"/>
      <c r="J145" s="87"/>
      <c r="K145" s="87">
        <v>1</v>
      </c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8">
        <v>1</v>
      </c>
      <c r="AA145" s="88">
        <v>1</v>
      </c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>
        <v>1</v>
      </c>
      <c r="AW145" s="87"/>
    </row>
    <row r="146" spans="1:49" x14ac:dyDescent="0.3">
      <c r="A146" s="31"/>
      <c r="B146" s="29"/>
      <c r="C146" s="26"/>
      <c r="D146" s="41"/>
      <c r="E146" s="41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8"/>
      <c r="AA146" s="88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</row>
    <row r="148" spans="1:49" x14ac:dyDescent="0.3">
      <c r="E148" s="90" t="s">
        <v>216</v>
      </c>
      <c r="F148" s="103">
        <v>4</v>
      </c>
      <c r="G148" s="103">
        <v>5</v>
      </c>
      <c r="H148" s="103">
        <v>6</v>
      </c>
      <c r="I148" s="103">
        <v>7</v>
      </c>
      <c r="J148" s="103">
        <v>8</v>
      </c>
      <c r="K148" s="103">
        <v>9</v>
      </c>
      <c r="L148" s="103">
        <v>10</v>
      </c>
      <c r="M148" s="103">
        <v>11</v>
      </c>
      <c r="N148" s="103">
        <v>12</v>
      </c>
      <c r="O148" s="103">
        <v>13</v>
      </c>
      <c r="P148" s="103">
        <v>14</v>
      </c>
      <c r="Q148" s="103">
        <v>15</v>
      </c>
      <c r="R148" s="103">
        <v>16</v>
      </c>
      <c r="S148" s="103">
        <v>17</v>
      </c>
      <c r="T148" s="103">
        <v>18</v>
      </c>
      <c r="U148" s="103">
        <v>19</v>
      </c>
      <c r="V148" s="103">
        <v>20</v>
      </c>
      <c r="W148" s="103">
        <v>21</v>
      </c>
      <c r="X148" s="103">
        <v>22</v>
      </c>
      <c r="Y148" s="103">
        <v>23</v>
      </c>
      <c r="Z148" s="103">
        <v>24</v>
      </c>
      <c r="AA148" s="103">
        <v>25</v>
      </c>
      <c r="AB148" s="103">
        <v>26</v>
      </c>
      <c r="AC148" s="103">
        <v>27</v>
      </c>
      <c r="AD148" s="103">
        <v>28</v>
      </c>
      <c r="AE148" s="103">
        <v>29</v>
      </c>
      <c r="AF148" s="103">
        <v>30</v>
      </c>
      <c r="AG148" s="103">
        <v>31</v>
      </c>
      <c r="AH148" s="103">
        <v>32</v>
      </c>
      <c r="AI148" s="103">
        <v>33</v>
      </c>
      <c r="AJ148" s="103">
        <v>34</v>
      </c>
      <c r="AK148" s="103">
        <v>35</v>
      </c>
      <c r="AL148" s="103">
        <v>36</v>
      </c>
      <c r="AM148" s="103">
        <v>37</v>
      </c>
      <c r="AN148" s="103">
        <v>38</v>
      </c>
      <c r="AO148" s="103">
        <v>39</v>
      </c>
      <c r="AP148" s="103">
        <v>40</v>
      </c>
      <c r="AQ148" s="103">
        <v>41</v>
      </c>
      <c r="AR148" s="103">
        <v>42</v>
      </c>
      <c r="AS148" s="103">
        <v>43</v>
      </c>
      <c r="AT148" s="103">
        <v>44</v>
      </c>
      <c r="AU148" s="103">
        <v>45</v>
      </c>
      <c r="AV148" s="103">
        <v>46</v>
      </c>
      <c r="AW148" s="10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76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17" t="s">
        <v>217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</row>
    <row r="2" spans="1:14" ht="16.5" customHeight="1" x14ac:dyDescent="0.3">
      <c r="A2" s="52" t="s">
        <v>218</v>
      </c>
      <c r="B2" s="53">
        <v>42866</v>
      </c>
      <c r="C2" s="54" t="s">
        <v>219</v>
      </c>
      <c r="D2" s="55"/>
      <c r="E2" s="56"/>
      <c r="F2" s="57" t="s">
        <v>220</v>
      </c>
      <c r="G2" s="58"/>
      <c r="H2" s="59"/>
    </row>
    <row r="3" spans="1:14" ht="28.8" x14ac:dyDescent="0.3">
      <c r="A3" s="60" t="s">
        <v>221</v>
      </c>
      <c r="B3" s="60" t="s">
        <v>222</v>
      </c>
      <c r="C3" s="61" t="s">
        <v>223</v>
      </c>
      <c r="D3" s="60" t="s">
        <v>224</v>
      </c>
      <c r="E3" s="60" t="s">
        <v>225</v>
      </c>
      <c r="F3" s="61" t="s">
        <v>226</v>
      </c>
      <c r="G3" s="60" t="s">
        <v>227</v>
      </c>
      <c r="H3" s="60" t="s">
        <v>228</v>
      </c>
      <c r="I3" s="61" t="s">
        <v>229</v>
      </c>
      <c r="J3" s="60" t="s">
        <v>230</v>
      </c>
      <c r="K3" s="60" t="s">
        <v>231</v>
      </c>
      <c r="L3" s="60" t="s">
        <v>232</v>
      </c>
      <c r="M3" s="60" t="s">
        <v>233</v>
      </c>
      <c r="N3" s="62" t="s">
        <v>234</v>
      </c>
    </row>
    <row r="4" spans="1:14" x14ac:dyDescent="0.3">
      <c r="A4" s="63" t="s">
        <v>235</v>
      </c>
      <c r="B4" s="64"/>
      <c r="C4" s="65"/>
      <c r="D4" s="66"/>
      <c r="E4" s="66"/>
      <c r="F4" s="65"/>
      <c r="G4" s="66"/>
      <c r="H4" s="66"/>
      <c r="I4" s="65"/>
      <c r="J4" s="66"/>
      <c r="K4" s="66"/>
      <c r="L4" s="66"/>
      <c r="M4" s="66"/>
      <c r="N4" s="67"/>
    </row>
    <row r="5" spans="1:14" x14ac:dyDescent="0.3">
      <c r="A5" t="s">
        <v>236</v>
      </c>
      <c r="B5" s="68" t="s">
        <v>151</v>
      </c>
      <c r="C5" s="69">
        <v>4</v>
      </c>
      <c r="D5" s="68">
        <v>4</v>
      </c>
      <c r="E5" s="68">
        <f>C5*D5</f>
        <v>16</v>
      </c>
      <c r="F5" s="69">
        <v>3</v>
      </c>
      <c r="G5" s="68">
        <v>4</v>
      </c>
      <c r="H5" s="68">
        <f>F5*G5</f>
        <v>12</v>
      </c>
      <c r="I5" s="69" t="s">
        <v>237</v>
      </c>
      <c r="J5" s="68" t="s">
        <v>238</v>
      </c>
      <c r="K5" s="68"/>
      <c r="L5" s="68">
        <v>216531</v>
      </c>
      <c r="M5" s="68" t="s">
        <v>239</v>
      </c>
    </row>
    <row r="6" spans="1:14" x14ac:dyDescent="0.3">
      <c r="B6" s="68" t="s">
        <v>240</v>
      </c>
      <c r="C6" s="69">
        <v>1</v>
      </c>
      <c r="D6" s="68">
        <v>8</v>
      </c>
      <c r="E6" s="68">
        <f t="shared" ref="E6:E40" si="0">C6*D6</f>
        <v>8</v>
      </c>
      <c r="F6" s="69">
        <v>1</v>
      </c>
      <c r="G6" s="68">
        <v>6</v>
      </c>
      <c r="H6" s="68">
        <f t="shared" ref="H6:H40" si="1">F6*G6</f>
        <v>6</v>
      </c>
      <c r="I6" s="69" t="s">
        <v>241</v>
      </c>
      <c r="J6" s="68" t="s">
        <v>238</v>
      </c>
      <c r="K6" s="68"/>
      <c r="L6" s="68">
        <v>216565</v>
      </c>
      <c r="M6" s="68" t="s">
        <v>242</v>
      </c>
    </row>
    <row r="7" spans="1:14" x14ac:dyDescent="0.3">
      <c r="B7" s="68" t="s">
        <v>243</v>
      </c>
      <c r="C7" s="69">
        <v>1</v>
      </c>
      <c r="D7" s="68">
        <v>2</v>
      </c>
      <c r="E7" s="68">
        <v>2</v>
      </c>
      <c r="F7" s="69">
        <v>1</v>
      </c>
      <c r="G7" s="68">
        <v>2</v>
      </c>
      <c r="H7" s="68">
        <f t="shared" si="1"/>
        <v>2</v>
      </c>
      <c r="I7" s="69" t="s">
        <v>244</v>
      </c>
      <c r="J7" s="68" t="s">
        <v>238</v>
      </c>
      <c r="K7" s="68"/>
      <c r="L7" s="68">
        <v>216521</v>
      </c>
      <c r="M7" s="68" t="s">
        <v>242</v>
      </c>
    </row>
    <row r="8" spans="1:14" x14ac:dyDescent="0.3">
      <c r="B8" s="68" t="s">
        <v>245</v>
      </c>
      <c r="C8" s="69">
        <v>1</v>
      </c>
      <c r="D8" s="68">
        <v>2</v>
      </c>
      <c r="E8" s="68">
        <v>2</v>
      </c>
      <c r="F8" s="69"/>
      <c r="G8" s="68"/>
      <c r="H8" s="68"/>
      <c r="I8" s="69"/>
      <c r="J8" s="68"/>
      <c r="K8" s="68"/>
      <c r="L8" s="68"/>
      <c r="M8" s="68" t="s">
        <v>242</v>
      </c>
    </row>
    <row r="9" spans="1:14" x14ac:dyDescent="0.3">
      <c r="B9" s="68" t="s">
        <v>246</v>
      </c>
      <c r="C9" s="69">
        <v>1</v>
      </c>
      <c r="D9" s="68">
        <v>2</v>
      </c>
      <c r="E9" s="68">
        <f t="shared" si="0"/>
        <v>2</v>
      </c>
      <c r="F9" s="69">
        <v>1</v>
      </c>
      <c r="G9" s="68">
        <v>2</v>
      </c>
      <c r="H9" s="68">
        <f t="shared" si="1"/>
        <v>2</v>
      </c>
      <c r="I9" s="69" t="s">
        <v>247</v>
      </c>
      <c r="J9" s="70" t="s">
        <v>248</v>
      </c>
      <c r="K9" s="68" t="s">
        <v>249</v>
      </c>
      <c r="L9" s="68">
        <v>215770</v>
      </c>
      <c r="M9" s="68" t="s">
        <v>152</v>
      </c>
    </row>
    <row r="10" spans="1:14" x14ac:dyDescent="0.3">
      <c r="B10" s="68" t="s">
        <v>250</v>
      </c>
      <c r="C10" s="69">
        <v>1</v>
      </c>
      <c r="D10" s="68">
        <v>4</v>
      </c>
      <c r="E10" s="68">
        <f t="shared" si="0"/>
        <v>4</v>
      </c>
      <c r="F10" s="69">
        <v>1</v>
      </c>
      <c r="G10" s="68">
        <v>2</v>
      </c>
      <c r="H10" s="68">
        <f t="shared" si="1"/>
        <v>2</v>
      </c>
      <c r="I10" s="69" t="s">
        <v>251</v>
      </c>
      <c r="J10" s="68" t="s">
        <v>238</v>
      </c>
      <c r="K10" s="68"/>
      <c r="L10" s="68">
        <v>214660</v>
      </c>
      <c r="M10" s="68" t="s">
        <v>252</v>
      </c>
    </row>
    <row r="11" spans="1:14" x14ac:dyDescent="0.3">
      <c r="B11" s="68" t="s">
        <v>143</v>
      </c>
      <c r="C11" s="69">
        <v>2</v>
      </c>
      <c r="D11" s="68">
        <v>4</v>
      </c>
      <c r="E11" s="68">
        <f t="shared" si="0"/>
        <v>8</v>
      </c>
      <c r="F11" s="69">
        <v>2</v>
      </c>
      <c r="G11" s="68">
        <v>3</v>
      </c>
      <c r="H11" s="68">
        <f t="shared" si="1"/>
        <v>6</v>
      </c>
      <c r="I11" s="69" t="s">
        <v>253</v>
      </c>
      <c r="J11" s="68" t="s">
        <v>238</v>
      </c>
      <c r="K11" s="68"/>
      <c r="L11" s="68" t="s">
        <v>254</v>
      </c>
      <c r="M11" s="68" t="s">
        <v>255</v>
      </c>
    </row>
    <row r="12" spans="1:14" x14ac:dyDescent="0.3">
      <c r="B12" s="68" t="s">
        <v>256</v>
      </c>
      <c r="C12" s="69">
        <v>2</v>
      </c>
      <c r="D12" s="68">
        <v>4</v>
      </c>
      <c r="E12" s="68">
        <f t="shared" si="0"/>
        <v>8</v>
      </c>
      <c r="F12" s="69">
        <v>2</v>
      </c>
      <c r="G12" s="68">
        <v>3</v>
      </c>
      <c r="H12" s="68">
        <f t="shared" si="1"/>
        <v>6</v>
      </c>
      <c r="I12" s="69" t="s">
        <v>257</v>
      </c>
      <c r="J12" s="68" t="s">
        <v>238</v>
      </c>
      <c r="K12" s="68"/>
      <c r="L12" s="68">
        <v>214525</v>
      </c>
      <c r="M12" s="68" t="s">
        <v>258</v>
      </c>
    </row>
    <row r="13" spans="1:14" x14ac:dyDescent="0.3">
      <c r="B13" s="68" t="s">
        <v>259</v>
      </c>
      <c r="C13" s="69">
        <v>2</v>
      </c>
      <c r="D13" s="68">
        <v>4</v>
      </c>
      <c r="E13" s="68">
        <f t="shared" si="0"/>
        <v>8</v>
      </c>
      <c r="F13" s="69">
        <v>2</v>
      </c>
      <c r="G13" s="68">
        <v>3</v>
      </c>
      <c r="H13" s="68">
        <f t="shared" si="1"/>
        <v>6</v>
      </c>
      <c r="I13" s="69" t="s">
        <v>260</v>
      </c>
      <c r="J13" s="68" t="s">
        <v>238</v>
      </c>
      <c r="K13" s="68"/>
      <c r="L13" s="68">
        <v>214618</v>
      </c>
      <c r="M13" s="68" t="s">
        <v>261</v>
      </c>
    </row>
    <row r="14" spans="1:14" x14ac:dyDescent="0.3">
      <c r="B14" s="68"/>
      <c r="C14" s="69"/>
      <c r="D14" s="68"/>
      <c r="E14" s="68"/>
      <c r="F14" s="69"/>
      <c r="G14" s="68"/>
      <c r="H14" s="68"/>
      <c r="I14" s="69"/>
      <c r="J14" s="68"/>
      <c r="K14" s="68"/>
      <c r="L14" s="68"/>
      <c r="M14" s="68"/>
    </row>
    <row r="15" spans="1:14" x14ac:dyDescent="0.3">
      <c r="A15" t="s">
        <v>262</v>
      </c>
      <c r="B15" s="68" t="s">
        <v>151</v>
      </c>
      <c r="C15" s="69">
        <v>4</v>
      </c>
      <c r="D15" s="68">
        <v>4</v>
      </c>
      <c r="E15" s="68">
        <f t="shared" si="0"/>
        <v>16</v>
      </c>
      <c r="F15" s="69">
        <v>3</v>
      </c>
      <c r="G15" s="68">
        <v>4</v>
      </c>
      <c r="H15" s="68">
        <f t="shared" si="1"/>
        <v>12</v>
      </c>
      <c r="I15" s="69" t="s">
        <v>237</v>
      </c>
      <c r="J15" s="68" t="s">
        <v>238</v>
      </c>
      <c r="K15" s="68"/>
      <c r="L15" s="68">
        <v>216554</v>
      </c>
      <c r="M15" s="68" t="s">
        <v>263</v>
      </c>
    </row>
    <row r="16" spans="1:14" x14ac:dyDescent="0.3">
      <c r="B16" s="68" t="s">
        <v>264</v>
      </c>
      <c r="C16" s="69">
        <v>1</v>
      </c>
      <c r="D16" s="68">
        <v>8</v>
      </c>
      <c r="E16" s="68">
        <f t="shared" si="0"/>
        <v>8</v>
      </c>
      <c r="F16" s="69">
        <v>1</v>
      </c>
      <c r="G16" s="68">
        <v>6</v>
      </c>
      <c r="H16" s="68">
        <f t="shared" si="1"/>
        <v>6</v>
      </c>
      <c r="I16" s="69" t="s">
        <v>241</v>
      </c>
      <c r="J16" s="68" t="s">
        <v>238</v>
      </c>
      <c r="K16" s="68"/>
      <c r="L16" s="68">
        <v>216565</v>
      </c>
      <c r="M16" s="68" t="s">
        <v>242</v>
      </c>
    </row>
    <row r="17" spans="1:14" x14ac:dyDescent="0.3">
      <c r="B17" s="68" t="s">
        <v>265</v>
      </c>
      <c r="C17" s="69">
        <v>1</v>
      </c>
      <c r="D17" s="68">
        <v>8</v>
      </c>
      <c r="E17" s="68">
        <f t="shared" si="0"/>
        <v>8</v>
      </c>
      <c r="F17" s="69">
        <v>1</v>
      </c>
      <c r="G17" s="68">
        <v>6</v>
      </c>
      <c r="H17" s="68">
        <f t="shared" si="1"/>
        <v>6</v>
      </c>
      <c r="I17" s="69" t="s">
        <v>266</v>
      </c>
      <c r="J17" s="68" t="s">
        <v>238</v>
      </c>
      <c r="K17" s="68"/>
      <c r="L17" s="68" t="s">
        <v>267</v>
      </c>
      <c r="M17" s="68" t="s">
        <v>242</v>
      </c>
    </row>
    <row r="18" spans="1:14" x14ac:dyDescent="0.3">
      <c r="B18" s="68" t="s">
        <v>246</v>
      </c>
      <c r="C18" s="69">
        <v>1</v>
      </c>
      <c r="D18" s="68">
        <v>2</v>
      </c>
      <c r="E18" s="68">
        <f t="shared" si="0"/>
        <v>2</v>
      </c>
      <c r="F18" s="69">
        <v>1</v>
      </c>
      <c r="G18" s="68">
        <v>2</v>
      </c>
      <c r="H18" s="68">
        <f t="shared" si="1"/>
        <v>2</v>
      </c>
      <c r="I18" s="69" t="s">
        <v>247</v>
      </c>
      <c r="J18" s="68" t="s">
        <v>238</v>
      </c>
      <c r="K18" s="68"/>
      <c r="L18" s="68" t="s">
        <v>268</v>
      </c>
      <c r="M18" s="68" t="s">
        <v>152</v>
      </c>
    </row>
    <row r="19" spans="1:14" x14ac:dyDescent="0.3">
      <c r="B19" s="68" t="s">
        <v>250</v>
      </c>
      <c r="C19" s="69">
        <v>1</v>
      </c>
      <c r="D19" s="68">
        <v>4</v>
      </c>
      <c r="E19" s="68">
        <f t="shared" si="0"/>
        <v>4</v>
      </c>
      <c r="F19" s="69">
        <v>1</v>
      </c>
      <c r="G19" s="68">
        <v>3</v>
      </c>
      <c r="H19" s="68">
        <f t="shared" si="1"/>
        <v>3</v>
      </c>
      <c r="I19" s="69" t="s">
        <v>269</v>
      </c>
      <c r="J19" s="68" t="s">
        <v>238</v>
      </c>
      <c r="K19" s="68"/>
      <c r="L19" s="68" t="s">
        <v>270</v>
      </c>
      <c r="M19" s="68" t="s">
        <v>252</v>
      </c>
    </row>
    <row r="20" spans="1:14" x14ac:dyDescent="0.3">
      <c r="B20" s="68" t="s">
        <v>143</v>
      </c>
      <c r="C20" s="69">
        <v>2</v>
      </c>
      <c r="D20" s="68">
        <v>4</v>
      </c>
      <c r="E20" s="68">
        <f t="shared" si="0"/>
        <v>8</v>
      </c>
      <c r="F20" s="69">
        <v>2</v>
      </c>
      <c r="G20" s="68">
        <v>3</v>
      </c>
      <c r="H20" s="68">
        <f t="shared" si="1"/>
        <v>6</v>
      </c>
      <c r="I20" s="69" t="s">
        <v>253</v>
      </c>
      <c r="J20" s="68" t="s">
        <v>238</v>
      </c>
      <c r="K20" s="68"/>
      <c r="L20" s="68" t="s">
        <v>254</v>
      </c>
      <c r="M20" s="68" t="s">
        <v>271</v>
      </c>
    </row>
    <row r="21" spans="1:14" x14ac:dyDescent="0.3">
      <c r="B21" s="68" t="s">
        <v>272</v>
      </c>
      <c r="C21" s="69">
        <v>4</v>
      </c>
      <c r="D21" s="68">
        <v>4</v>
      </c>
      <c r="E21" s="68">
        <f t="shared" si="0"/>
        <v>16</v>
      </c>
      <c r="F21" s="69">
        <v>3</v>
      </c>
      <c r="G21" s="68">
        <v>4</v>
      </c>
      <c r="H21" s="68">
        <f t="shared" si="1"/>
        <v>12</v>
      </c>
      <c r="I21" s="69" t="s">
        <v>273</v>
      </c>
      <c r="J21" s="68" t="s">
        <v>238</v>
      </c>
      <c r="K21" s="68"/>
      <c r="L21" s="68">
        <v>214551</v>
      </c>
      <c r="M21" s="68" t="s">
        <v>274</v>
      </c>
      <c r="N21" s="85" t="s">
        <v>338</v>
      </c>
    </row>
    <row r="22" spans="1:14" x14ac:dyDescent="0.3">
      <c r="B22" s="68" t="s">
        <v>275</v>
      </c>
      <c r="C22" s="69">
        <v>1</v>
      </c>
      <c r="D22" s="68">
        <v>2</v>
      </c>
      <c r="E22" s="68">
        <f t="shared" si="0"/>
        <v>2</v>
      </c>
      <c r="F22" s="69">
        <v>1</v>
      </c>
      <c r="G22" s="68">
        <v>2</v>
      </c>
      <c r="H22" s="68">
        <f t="shared" si="1"/>
        <v>2</v>
      </c>
      <c r="I22" s="69" t="s">
        <v>276</v>
      </c>
      <c r="J22" s="68" t="s">
        <v>238</v>
      </c>
      <c r="K22" s="68"/>
      <c r="L22" s="68">
        <v>214475</v>
      </c>
      <c r="M22" s="68" t="s">
        <v>277</v>
      </c>
    </row>
    <row r="23" spans="1:14" x14ac:dyDescent="0.3">
      <c r="B23" s="68" t="s">
        <v>278</v>
      </c>
      <c r="C23" s="69">
        <v>1</v>
      </c>
      <c r="D23" s="68">
        <v>2</v>
      </c>
      <c r="E23" s="68">
        <f t="shared" si="0"/>
        <v>2</v>
      </c>
      <c r="F23" s="69">
        <v>1</v>
      </c>
      <c r="G23" s="68">
        <v>2</v>
      </c>
      <c r="H23" s="68">
        <f t="shared" si="1"/>
        <v>2</v>
      </c>
      <c r="I23" s="69" t="s">
        <v>276</v>
      </c>
      <c r="J23" s="68" t="s">
        <v>238</v>
      </c>
      <c r="K23" s="68"/>
      <c r="L23" s="68">
        <v>214464</v>
      </c>
      <c r="M23" s="68" t="s">
        <v>277</v>
      </c>
    </row>
    <row r="24" spans="1:14" x14ac:dyDescent="0.3">
      <c r="B24" s="68" t="s">
        <v>279</v>
      </c>
      <c r="C24" s="69">
        <v>1</v>
      </c>
      <c r="D24" s="68">
        <v>2</v>
      </c>
      <c r="E24" s="68">
        <f t="shared" si="0"/>
        <v>2</v>
      </c>
      <c r="F24" s="69">
        <v>1</v>
      </c>
      <c r="G24" s="68">
        <v>2</v>
      </c>
      <c r="H24" s="68">
        <f t="shared" si="1"/>
        <v>2</v>
      </c>
      <c r="I24" s="69" t="s">
        <v>280</v>
      </c>
      <c r="J24" s="70" t="s">
        <v>248</v>
      </c>
      <c r="K24" s="68"/>
      <c r="L24" s="68"/>
      <c r="M24" s="68" t="s">
        <v>277</v>
      </c>
    </row>
    <row r="25" spans="1:14" x14ac:dyDescent="0.3">
      <c r="B25" s="68" t="s">
        <v>281</v>
      </c>
      <c r="C25" s="69">
        <v>1</v>
      </c>
      <c r="D25" s="68">
        <v>2</v>
      </c>
      <c r="E25" s="68">
        <f t="shared" si="0"/>
        <v>2</v>
      </c>
      <c r="F25" s="69">
        <v>1</v>
      </c>
      <c r="G25" s="68">
        <v>2</v>
      </c>
      <c r="H25" s="68">
        <f t="shared" si="1"/>
        <v>2</v>
      </c>
      <c r="I25" s="69" t="s">
        <v>280</v>
      </c>
      <c r="J25" s="70" t="s">
        <v>248</v>
      </c>
      <c r="K25" s="68"/>
      <c r="L25" s="68"/>
      <c r="M25" s="68" t="s">
        <v>277</v>
      </c>
    </row>
    <row r="26" spans="1:14" x14ac:dyDescent="0.3">
      <c r="B26" s="68" t="s">
        <v>282</v>
      </c>
      <c r="C26" s="69">
        <v>1</v>
      </c>
      <c r="D26" s="68">
        <v>2</v>
      </c>
      <c r="E26" s="68">
        <f t="shared" si="0"/>
        <v>2</v>
      </c>
      <c r="F26" s="69">
        <v>1</v>
      </c>
      <c r="G26" s="68">
        <v>2</v>
      </c>
      <c r="H26" s="68">
        <f t="shared" si="1"/>
        <v>2</v>
      </c>
      <c r="I26" s="69" t="s">
        <v>280</v>
      </c>
      <c r="J26" s="68" t="s">
        <v>238</v>
      </c>
      <c r="K26" s="68"/>
      <c r="L26" s="68">
        <v>214419</v>
      </c>
      <c r="M26" s="68" t="s">
        <v>283</v>
      </c>
    </row>
    <row r="27" spans="1:14" x14ac:dyDescent="0.3">
      <c r="B27" s="68" t="s">
        <v>210</v>
      </c>
      <c r="C27" s="69">
        <v>1</v>
      </c>
      <c r="D27" s="68">
        <v>2</v>
      </c>
      <c r="E27" s="68">
        <f t="shared" si="0"/>
        <v>2</v>
      </c>
      <c r="F27" s="69">
        <v>1</v>
      </c>
      <c r="G27" s="68">
        <v>2</v>
      </c>
      <c r="H27" s="68">
        <f t="shared" si="1"/>
        <v>2</v>
      </c>
      <c r="I27" s="69" t="s">
        <v>280</v>
      </c>
      <c r="J27" s="70" t="s">
        <v>248</v>
      </c>
      <c r="K27" s="68"/>
      <c r="L27" s="68"/>
      <c r="M27" s="68" t="s">
        <v>283</v>
      </c>
    </row>
    <row r="28" spans="1:14" hidden="1" x14ac:dyDescent="0.3">
      <c r="B28" s="68"/>
      <c r="C28" s="69"/>
      <c r="D28" s="68"/>
      <c r="E28" s="68"/>
      <c r="F28" s="69"/>
      <c r="G28" s="68"/>
      <c r="H28" s="68"/>
      <c r="I28" s="69"/>
      <c r="J28" s="68"/>
      <c r="K28" s="68"/>
      <c r="L28" s="68"/>
      <c r="M28" s="68"/>
    </row>
    <row r="29" spans="1:14" hidden="1" x14ac:dyDescent="0.3">
      <c r="A29" t="s">
        <v>284</v>
      </c>
      <c r="B29" s="68" t="s">
        <v>151</v>
      </c>
      <c r="C29" s="69">
        <v>4</v>
      </c>
      <c r="D29" s="68">
        <v>4</v>
      </c>
      <c r="E29" s="68">
        <f t="shared" si="0"/>
        <v>16</v>
      </c>
      <c r="F29" s="69">
        <v>3</v>
      </c>
      <c r="G29" s="68">
        <v>4</v>
      </c>
      <c r="H29" s="68">
        <f t="shared" si="1"/>
        <v>12</v>
      </c>
      <c r="I29" s="69" t="s">
        <v>237</v>
      </c>
      <c r="J29" s="68" t="s">
        <v>238</v>
      </c>
      <c r="K29" s="68"/>
      <c r="L29" s="68">
        <v>216562</v>
      </c>
      <c r="M29" s="68" t="s">
        <v>285</v>
      </c>
    </row>
    <row r="30" spans="1:14" hidden="1" x14ac:dyDescent="0.3">
      <c r="B30" s="68" t="s">
        <v>286</v>
      </c>
      <c r="C30" s="69">
        <v>1</v>
      </c>
      <c r="D30" s="68">
        <v>8</v>
      </c>
      <c r="E30" s="68">
        <f t="shared" si="0"/>
        <v>8</v>
      </c>
      <c r="F30" s="69">
        <v>1</v>
      </c>
      <c r="G30" s="68">
        <v>6</v>
      </c>
      <c r="H30" s="68">
        <f t="shared" si="1"/>
        <v>6</v>
      </c>
      <c r="I30" s="69" t="s">
        <v>241</v>
      </c>
      <c r="J30" s="68" t="s">
        <v>238</v>
      </c>
      <c r="K30" s="68"/>
      <c r="L30" s="68">
        <v>216565</v>
      </c>
      <c r="M30" s="68" t="s">
        <v>242</v>
      </c>
    </row>
    <row r="31" spans="1:14" hidden="1" x14ac:dyDescent="0.3">
      <c r="B31" s="68" t="s">
        <v>246</v>
      </c>
      <c r="C31" s="69">
        <v>1</v>
      </c>
      <c r="D31" s="68">
        <v>2</v>
      </c>
      <c r="E31" s="68">
        <f t="shared" si="0"/>
        <v>2</v>
      </c>
      <c r="F31" s="69">
        <v>1</v>
      </c>
      <c r="G31" s="68">
        <v>2</v>
      </c>
      <c r="H31" s="68">
        <f t="shared" si="1"/>
        <v>2</v>
      </c>
      <c r="I31" s="69" t="s">
        <v>247</v>
      </c>
      <c r="J31" s="70" t="s">
        <v>248</v>
      </c>
      <c r="K31" s="68" t="s">
        <v>249</v>
      </c>
      <c r="L31" s="68">
        <v>215770</v>
      </c>
      <c r="M31" s="68" t="s">
        <v>152</v>
      </c>
    </row>
    <row r="32" spans="1:14" hidden="1" x14ac:dyDescent="0.3">
      <c r="B32" s="68" t="s">
        <v>250</v>
      </c>
      <c r="C32" s="69">
        <v>1</v>
      </c>
      <c r="D32" s="68">
        <v>4</v>
      </c>
      <c r="E32" s="68">
        <f t="shared" si="0"/>
        <v>4</v>
      </c>
      <c r="F32" s="69">
        <v>1</v>
      </c>
      <c r="G32" s="68">
        <v>2</v>
      </c>
      <c r="H32" s="68">
        <f t="shared" si="1"/>
        <v>2</v>
      </c>
      <c r="I32" s="69" t="s">
        <v>269</v>
      </c>
      <c r="J32" s="70" t="s">
        <v>248</v>
      </c>
      <c r="K32" s="68"/>
      <c r="L32" s="68"/>
      <c r="M32" s="68" t="s">
        <v>252</v>
      </c>
    </row>
    <row r="33" spans="1:14" hidden="1" x14ac:dyDescent="0.3">
      <c r="B33" s="68" t="s">
        <v>143</v>
      </c>
      <c r="C33" s="69">
        <v>2</v>
      </c>
      <c r="D33" s="68">
        <v>4</v>
      </c>
      <c r="E33" s="68">
        <f t="shared" si="0"/>
        <v>8</v>
      </c>
      <c r="F33" s="69">
        <v>2</v>
      </c>
      <c r="G33" s="68">
        <v>3</v>
      </c>
      <c r="H33" s="68">
        <f t="shared" si="1"/>
        <v>6</v>
      </c>
      <c r="I33" s="69" t="s">
        <v>253</v>
      </c>
      <c r="J33" s="68" t="s">
        <v>238</v>
      </c>
      <c r="K33" s="68"/>
      <c r="L33" s="68" t="s">
        <v>254</v>
      </c>
      <c r="M33" s="68" t="s">
        <v>271</v>
      </c>
    </row>
    <row r="34" spans="1:14" hidden="1" x14ac:dyDescent="0.3">
      <c r="B34" s="68" t="s">
        <v>256</v>
      </c>
      <c r="C34" s="69">
        <v>2</v>
      </c>
      <c r="D34" s="68">
        <v>4</v>
      </c>
      <c r="E34" s="68">
        <f t="shared" si="0"/>
        <v>8</v>
      </c>
      <c r="F34" s="69">
        <v>2</v>
      </c>
      <c r="G34" s="68">
        <v>3</v>
      </c>
      <c r="H34" s="68">
        <f t="shared" si="1"/>
        <v>6</v>
      </c>
      <c r="I34" s="69" t="s">
        <v>257</v>
      </c>
      <c r="J34" s="68" t="s">
        <v>238</v>
      </c>
      <c r="K34" s="68"/>
      <c r="L34" s="68">
        <v>214588</v>
      </c>
      <c r="M34" s="68" t="s">
        <v>258</v>
      </c>
    </row>
    <row r="35" spans="1:14" x14ac:dyDescent="0.3">
      <c r="B35" s="68"/>
      <c r="C35" s="69"/>
      <c r="D35" s="68"/>
      <c r="E35" s="68"/>
      <c r="F35" s="69"/>
      <c r="G35" s="68"/>
      <c r="H35" s="68"/>
      <c r="I35" s="69"/>
      <c r="J35" s="68"/>
      <c r="K35" s="68"/>
      <c r="L35" s="68"/>
      <c r="M35" s="68"/>
    </row>
    <row r="36" spans="1:14" x14ac:dyDescent="0.3">
      <c r="A36" t="s">
        <v>287</v>
      </c>
      <c r="B36" s="68" t="s">
        <v>208</v>
      </c>
      <c r="C36" s="69">
        <v>2</v>
      </c>
      <c r="D36" s="68">
        <v>4</v>
      </c>
      <c r="E36" s="68">
        <f t="shared" si="0"/>
        <v>8</v>
      </c>
      <c r="F36" s="69">
        <v>1</v>
      </c>
      <c r="G36" s="68">
        <v>4</v>
      </c>
      <c r="H36" s="68">
        <f t="shared" si="1"/>
        <v>4</v>
      </c>
      <c r="I36" s="69" t="s">
        <v>288</v>
      </c>
      <c r="J36" s="68" t="s">
        <v>238</v>
      </c>
      <c r="K36" s="71" t="s">
        <v>289</v>
      </c>
      <c r="L36" s="68">
        <v>214341</v>
      </c>
      <c r="M36" s="68" t="s">
        <v>290</v>
      </c>
    </row>
    <row r="37" spans="1:14" x14ac:dyDescent="0.3">
      <c r="B37" s="68" t="s">
        <v>209</v>
      </c>
      <c r="C37" s="69">
        <v>3</v>
      </c>
      <c r="D37" s="68">
        <v>4</v>
      </c>
      <c r="E37" s="68">
        <f t="shared" si="0"/>
        <v>12</v>
      </c>
      <c r="F37" s="69">
        <v>2</v>
      </c>
      <c r="G37" s="68">
        <v>4</v>
      </c>
      <c r="H37" s="68">
        <f t="shared" si="1"/>
        <v>8</v>
      </c>
      <c r="I37" s="69" t="s">
        <v>291</v>
      </c>
      <c r="J37" s="68" t="s">
        <v>238</v>
      </c>
      <c r="K37" s="68"/>
      <c r="L37" s="68">
        <v>215595</v>
      </c>
      <c r="M37" s="68" t="s">
        <v>290</v>
      </c>
    </row>
    <row r="38" spans="1:14" x14ac:dyDescent="0.3">
      <c r="B38" s="68" t="s">
        <v>150</v>
      </c>
      <c r="C38" s="69">
        <v>1</v>
      </c>
      <c r="D38" s="68">
        <v>4</v>
      </c>
      <c r="E38" s="68">
        <f t="shared" si="0"/>
        <v>4</v>
      </c>
      <c r="F38" s="69">
        <v>1</v>
      </c>
      <c r="G38" s="68">
        <v>2</v>
      </c>
      <c r="H38" s="68">
        <f t="shared" si="1"/>
        <v>2</v>
      </c>
      <c r="I38" s="69" t="s">
        <v>292</v>
      </c>
      <c r="J38" s="68" t="s">
        <v>238</v>
      </c>
      <c r="K38" s="68"/>
      <c r="L38" s="68">
        <v>214347</v>
      </c>
      <c r="M38" s="68" t="s">
        <v>293</v>
      </c>
    </row>
    <row r="39" spans="1:14" x14ac:dyDescent="0.3">
      <c r="B39" s="68" t="s">
        <v>294</v>
      </c>
      <c r="C39" s="69">
        <v>2</v>
      </c>
      <c r="D39" s="68">
        <v>4</v>
      </c>
      <c r="E39" s="68">
        <f t="shared" si="0"/>
        <v>8</v>
      </c>
      <c r="F39" s="69">
        <v>1</v>
      </c>
      <c r="G39" s="68">
        <v>3</v>
      </c>
      <c r="H39" s="68">
        <f t="shared" si="1"/>
        <v>3</v>
      </c>
      <c r="I39" s="69" t="s">
        <v>295</v>
      </c>
      <c r="J39" s="68" t="s">
        <v>238</v>
      </c>
      <c r="K39" s="68" t="s">
        <v>289</v>
      </c>
      <c r="L39" s="68">
        <v>214329</v>
      </c>
      <c r="M39" s="68" t="s">
        <v>296</v>
      </c>
    </row>
    <row r="40" spans="1:14" x14ac:dyDescent="0.3">
      <c r="B40" s="68" t="s">
        <v>148</v>
      </c>
      <c r="C40" s="69">
        <v>1</v>
      </c>
      <c r="D40" s="68">
        <v>3</v>
      </c>
      <c r="E40" s="68">
        <f t="shared" si="0"/>
        <v>3</v>
      </c>
      <c r="F40" s="69">
        <v>1</v>
      </c>
      <c r="G40" s="68">
        <v>3</v>
      </c>
      <c r="H40" s="68">
        <f t="shared" si="1"/>
        <v>3</v>
      </c>
      <c r="I40" s="69" t="s">
        <v>297</v>
      </c>
      <c r="J40" s="70" t="s">
        <v>248</v>
      </c>
      <c r="K40" s="68" t="s">
        <v>298</v>
      </c>
      <c r="L40" s="68">
        <v>214687</v>
      </c>
      <c r="M40" s="68" t="s">
        <v>299</v>
      </c>
    </row>
    <row r="41" spans="1:14" x14ac:dyDescent="0.3">
      <c r="A41" s="72" t="s">
        <v>300</v>
      </c>
      <c r="B41" s="68"/>
      <c r="C41" s="73"/>
      <c r="D41" s="68"/>
      <c r="E41" s="68"/>
      <c r="F41" s="73"/>
      <c r="G41" s="68"/>
      <c r="H41" s="68"/>
      <c r="I41" s="73"/>
      <c r="J41" s="71"/>
      <c r="K41" s="68"/>
      <c r="L41" s="68"/>
      <c r="M41" s="68"/>
    </row>
    <row r="42" spans="1:14" x14ac:dyDescent="0.3">
      <c r="A42" s="74" t="s">
        <v>301</v>
      </c>
      <c r="B42" s="75"/>
      <c r="C42" s="68"/>
      <c r="D42" s="68"/>
      <c r="E42" s="68"/>
      <c r="F42" s="68"/>
      <c r="G42" s="68"/>
      <c r="H42" s="68"/>
      <c r="N42" s="86" t="s">
        <v>339</v>
      </c>
    </row>
    <row r="43" spans="1:14" x14ac:dyDescent="0.3">
      <c r="A43" t="s">
        <v>302</v>
      </c>
      <c r="B43" s="76" t="s">
        <v>303</v>
      </c>
      <c r="C43" s="77">
        <v>4</v>
      </c>
      <c r="D43" s="68">
        <v>8</v>
      </c>
      <c r="E43" s="78">
        <f t="shared" ref="E43:E63" si="2">C43*D43</f>
        <v>32</v>
      </c>
      <c r="F43" s="77">
        <v>4</v>
      </c>
      <c r="G43" s="68">
        <v>8</v>
      </c>
      <c r="H43" s="78">
        <f t="shared" ref="H43:H47" si="3">F43*G43</f>
        <v>32</v>
      </c>
      <c r="I43" s="48" t="s">
        <v>304</v>
      </c>
      <c r="J43" s="71" t="s">
        <v>238</v>
      </c>
      <c r="L43" s="68">
        <v>214840</v>
      </c>
      <c r="M43" s="68" t="s">
        <v>305</v>
      </c>
    </row>
    <row r="44" spans="1:14" x14ac:dyDescent="0.3">
      <c r="B44" s="76" t="s">
        <v>306</v>
      </c>
      <c r="C44" s="77">
        <v>4</v>
      </c>
      <c r="D44" s="68">
        <v>8</v>
      </c>
      <c r="E44" s="78">
        <f t="shared" si="2"/>
        <v>32</v>
      </c>
      <c r="F44" s="77">
        <v>4</v>
      </c>
      <c r="G44" s="68">
        <v>8</v>
      </c>
      <c r="H44" s="78">
        <f t="shared" si="3"/>
        <v>32</v>
      </c>
      <c r="I44" s="48" t="s">
        <v>307</v>
      </c>
      <c r="J44" s="71" t="s">
        <v>238</v>
      </c>
      <c r="L44" t="s">
        <v>308</v>
      </c>
      <c r="M44" s="68" t="s">
        <v>309</v>
      </c>
      <c r="N44" t="s">
        <v>310</v>
      </c>
    </row>
    <row r="45" spans="1:14" x14ac:dyDescent="0.3">
      <c r="B45" s="76" t="s">
        <v>211</v>
      </c>
      <c r="C45" s="77">
        <v>1</v>
      </c>
      <c r="D45" s="68">
        <v>8</v>
      </c>
      <c r="E45" s="78">
        <f t="shared" si="2"/>
        <v>8</v>
      </c>
      <c r="F45" s="77">
        <v>1</v>
      </c>
      <c r="G45" s="68">
        <v>8</v>
      </c>
      <c r="H45" s="78">
        <f t="shared" si="3"/>
        <v>8</v>
      </c>
      <c r="I45" s="48" t="s">
        <v>311</v>
      </c>
      <c r="J45" s="71" t="s">
        <v>238</v>
      </c>
      <c r="L45" s="68">
        <v>214835</v>
      </c>
      <c r="M45" s="68" t="s">
        <v>312</v>
      </c>
    </row>
    <row r="46" spans="1:14" x14ac:dyDescent="0.3">
      <c r="B46" s="76" t="s">
        <v>212</v>
      </c>
      <c r="C46" s="77">
        <v>2</v>
      </c>
      <c r="D46" s="68">
        <v>8</v>
      </c>
      <c r="E46" s="78">
        <f t="shared" si="2"/>
        <v>16</v>
      </c>
      <c r="F46" s="77">
        <v>2</v>
      </c>
      <c r="G46" s="68">
        <v>8</v>
      </c>
      <c r="H46" s="78">
        <f t="shared" si="3"/>
        <v>16</v>
      </c>
      <c r="I46" s="48" t="s">
        <v>313</v>
      </c>
      <c r="J46" s="68" t="s">
        <v>238</v>
      </c>
      <c r="L46" t="s">
        <v>314</v>
      </c>
      <c r="M46" s="68" t="s">
        <v>312</v>
      </c>
    </row>
    <row r="47" spans="1:14" x14ac:dyDescent="0.3">
      <c r="B47" s="76" t="s">
        <v>213</v>
      </c>
      <c r="C47" s="77">
        <v>2</v>
      </c>
      <c r="D47" s="68">
        <v>16</v>
      </c>
      <c r="E47" s="78">
        <f t="shared" si="2"/>
        <v>32</v>
      </c>
      <c r="F47" s="77">
        <v>2</v>
      </c>
      <c r="G47" s="68">
        <v>16</v>
      </c>
      <c r="H47" s="78">
        <f t="shared" si="3"/>
        <v>32</v>
      </c>
      <c r="J47" s="84" t="s">
        <v>315</v>
      </c>
      <c r="M47" s="68" t="s">
        <v>312</v>
      </c>
    </row>
    <row r="48" spans="1:14" x14ac:dyDescent="0.3">
      <c r="A48" s="79" t="s">
        <v>316</v>
      </c>
      <c r="B48" s="80"/>
      <c r="L48" s="68"/>
    </row>
    <row r="49" spans="1:13" x14ac:dyDescent="0.3">
      <c r="A49" t="s">
        <v>236</v>
      </c>
      <c r="B49" s="76" t="s">
        <v>151</v>
      </c>
      <c r="C49" s="77">
        <v>2</v>
      </c>
      <c r="D49" s="73">
        <v>1</v>
      </c>
      <c r="E49" s="78">
        <f t="shared" si="2"/>
        <v>2</v>
      </c>
      <c r="F49" s="77">
        <v>2</v>
      </c>
      <c r="G49" s="73">
        <v>1</v>
      </c>
      <c r="H49" s="78">
        <f t="shared" ref="H49:H63" si="4">F49*G49</f>
        <v>2</v>
      </c>
      <c r="J49" s="68" t="s">
        <v>238</v>
      </c>
      <c r="L49" s="68">
        <v>216515</v>
      </c>
      <c r="M49" s="68" t="s">
        <v>317</v>
      </c>
    </row>
    <row r="50" spans="1:13" x14ac:dyDescent="0.3">
      <c r="B50" s="76" t="s">
        <v>318</v>
      </c>
      <c r="C50" s="77">
        <v>2</v>
      </c>
      <c r="D50" s="73">
        <v>1</v>
      </c>
      <c r="E50" s="78">
        <f t="shared" si="2"/>
        <v>2</v>
      </c>
      <c r="F50" s="77">
        <v>2</v>
      </c>
      <c r="G50" s="73">
        <v>1</v>
      </c>
      <c r="H50" s="78">
        <f t="shared" si="4"/>
        <v>2</v>
      </c>
      <c r="J50" s="68" t="s">
        <v>238</v>
      </c>
      <c r="L50" s="68">
        <v>216545</v>
      </c>
      <c r="M50" s="68" t="s">
        <v>319</v>
      </c>
    </row>
    <row r="51" spans="1:13" x14ac:dyDescent="0.3">
      <c r="B51" s="76" t="s">
        <v>23</v>
      </c>
      <c r="C51" s="77">
        <v>1</v>
      </c>
      <c r="D51" s="73">
        <v>3</v>
      </c>
      <c r="E51" s="78">
        <f t="shared" si="2"/>
        <v>3</v>
      </c>
      <c r="F51" s="77">
        <v>1</v>
      </c>
      <c r="G51" s="73">
        <v>3</v>
      </c>
      <c r="H51" s="78">
        <f t="shared" si="4"/>
        <v>3</v>
      </c>
      <c r="J51" s="68" t="s">
        <v>238</v>
      </c>
      <c r="L51" s="68">
        <v>215823</v>
      </c>
      <c r="M51" s="68" t="s">
        <v>320</v>
      </c>
    </row>
    <row r="52" spans="1:13" x14ac:dyDescent="0.3">
      <c r="B52" s="76" t="s">
        <v>321</v>
      </c>
      <c r="C52" s="81">
        <v>1</v>
      </c>
      <c r="D52" s="82">
        <v>1</v>
      </c>
      <c r="E52" s="83">
        <f t="shared" si="2"/>
        <v>1</v>
      </c>
      <c r="F52" s="77">
        <v>1</v>
      </c>
      <c r="G52" s="73">
        <v>1</v>
      </c>
      <c r="H52" s="78">
        <f t="shared" si="4"/>
        <v>1</v>
      </c>
      <c r="J52" s="68" t="s">
        <v>238</v>
      </c>
      <c r="L52" s="68">
        <v>215942</v>
      </c>
      <c r="M52" s="68" t="s">
        <v>322</v>
      </c>
    </row>
    <row r="53" spans="1:13" x14ac:dyDescent="0.3">
      <c r="B53" s="76" t="s">
        <v>323</v>
      </c>
      <c r="C53" s="81">
        <v>1</v>
      </c>
      <c r="D53" s="82">
        <v>1</v>
      </c>
      <c r="E53" s="83">
        <v>1</v>
      </c>
      <c r="F53" s="77"/>
      <c r="G53" s="73"/>
      <c r="H53" s="78"/>
      <c r="J53" s="68" t="s">
        <v>238</v>
      </c>
      <c r="L53" s="68">
        <v>214823</v>
      </c>
      <c r="M53" s="68" t="s">
        <v>322</v>
      </c>
    </row>
    <row r="54" spans="1:13" x14ac:dyDescent="0.3">
      <c r="A54" t="s">
        <v>262</v>
      </c>
      <c r="B54" s="76" t="s">
        <v>151</v>
      </c>
      <c r="C54" s="77">
        <v>2</v>
      </c>
      <c r="D54" s="73">
        <v>1</v>
      </c>
      <c r="E54" s="78">
        <f t="shared" si="2"/>
        <v>2</v>
      </c>
      <c r="F54" s="77">
        <v>2</v>
      </c>
      <c r="G54" s="73">
        <v>1</v>
      </c>
      <c r="H54" s="78">
        <f t="shared" si="4"/>
        <v>2</v>
      </c>
      <c r="J54" s="68" t="s">
        <v>238</v>
      </c>
      <c r="L54" s="68">
        <v>216552</v>
      </c>
      <c r="M54" s="68" t="s">
        <v>317</v>
      </c>
    </row>
    <row r="55" spans="1:13" x14ac:dyDescent="0.3">
      <c r="B55" s="76" t="s">
        <v>143</v>
      </c>
      <c r="C55" s="77">
        <v>1</v>
      </c>
      <c r="D55" s="73">
        <v>3</v>
      </c>
      <c r="E55" s="78">
        <f t="shared" si="2"/>
        <v>3</v>
      </c>
      <c r="F55" s="77">
        <v>1</v>
      </c>
      <c r="G55" s="73">
        <v>3</v>
      </c>
      <c r="H55" s="78">
        <f t="shared" si="4"/>
        <v>3</v>
      </c>
      <c r="J55" s="68" t="s">
        <v>238</v>
      </c>
      <c r="L55" s="68">
        <v>215961</v>
      </c>
      <c r="M55" s="68" t="s">
        <v>324</v>
      </c>
    </row>
    <row r="56" spans="1:13" x14ac:dyDescent="0.3">
      <c r="B56" s="76" t="s">
        <v>321</v>
      </c>
      <c r="C56" s="81">
        <v>1</v>
      </c>
      <c r="D56" s="82">
        <v>1</v>
      </c>
      <c r="E56" s="83">
        <f t="shared" si="2"/>
        <v>1</v>
      </c>
      <c r="F56" s="77">
        <v>1</v>
      </c>
      <c r="G56" s="73">
        <v>1</v>
      </c>
      <c r="H56" s="78">
        <f t="shared" si="4"/>
        <v>1</v>
      </c>
      <c r="J56" s="68" t="s">
        <v>238</v>
      </c>
      <c r="L56" s="68">
        <v>215942</v>
      </c>
      <c r="M56" s="68" t="s">
        <v>325</v>
      </c>
    </row>
    <row r="57" spans="1:13" x14ac:dyDescent="0.3">
      <c r="B57" s="76" t="s">
        <v>326</v>
      </c>
      <c r="C57" s="77">
        <v>1</v>
      </c>
      <c r="D57" s="73">
        <v>1</v>
      </c>
      <c r="E57" s="78">
        <f t="shared" si="2"/>
        <v>1</v>
      </c>
      <c r="F57" s="77">
        <v>1</v>
      </c>
      <c r="G57" s="73">
        <v>1</v>
      </c>
      <c r="H57" s="78">
        <f t="shared" si="4"/>
        <v>1</v>
      </c>
      <c r="J57" s="68" t="s">
        <v>238</v>
      </c>
      <c r="L57" s="68">
        <v>214828</v>
      </c>
      <c r="M57" s="68" t="s">
        <v>327</v>
      </c>
    </row>
    <row r="58" spans="1:13" x14ac:dyDescent="0.3">
      <c r="B58" s="76" t="s">
        <v>256</v>
      </c>
      <c r="C58" s="77">
        <v>1</v>
      </c>
      <c r="D58" s="73">
        <v>2</v>
      </c>
      <c r="E58" s="78">
        <f t="shared" si="2"/>
        <v>2</v>
      </c>
      <c r="F58" s="77">
        <v>1</v>
      </c>
      <c r="G58" s="73">
        <v>2</v>
      </c>
      <c r="H58" s="78">
        <f t="shared" si="4"/>
        <v>2</v>
      </c>
      <c r="J58" s="68" t="s">
        <v>238</v>
      </c>
      <c r="L58" s="68" t="s">
        <v>328</v>
      </c>
      <c r="M58" s="68" t="s">
        <v>329</v>
      </c>
    </row>
    <row r="59" spans="1:13" x14ac:dyDescent="0.3">
      <c r="A59" t="s">
        <v>287</v>
      </c>
      <c r="B59" s="76" t="s">
        <v>330</v>
      </c>
      <c r="C59" s="77">
        <v>2</v>
      </c>
      <c r="D59" s="73">
        <v>1</v>
      </c>
      <c r="E59" s="78">
        <f t="shared" si="2"/>
        <v>2</v>
      </c>
      <c r="F59" s="77">
        <v>2</v>
      </c>
      <c r="G59" s="73">
        <v>1</v>
      </c>
      <c r="H59" s="78">
        <f t="shared" si="4"/>
        <v>2</v>
      </c>
      <c r="J59" s="68" t="s">
        <v>238</v>
      </c>
      <c r="L59" s="68">
        <v>214338</v>
      </c>
      <c r="M59" s="68" t="s">
        <v>290</v>
      </c>
    </row>
    <row r="60" spans="1:13" x14ac:dyDescent="0.3">
      <c r="A60" t="s">
        <v>331</v>
      </c>
      <c r="B60" s="76" t="s">
        <v>206</v>
      </c>
      <c r="C60" s="77">
        <v>1</v>
      </c>
      <c r="D60" s="73">
        <v>2</v>
      </c>
      <c r="E60" s="78">
        <f t="shared" si="2"/>
        <v>2</v>
      </c>
      <c r="F60" s="77">
        <v>1</v>
      </c>
      <c r="G60" s="73">
        <v>1.5</v>
      </c>
      <c r="H60" s="78">
        <f t="shared" si="4"/>
        <v>1.5</v>
      </c>
      <c r="J60" s="68" t="s">
        <v>238</v>
      </c>
      <c r="L60" s="68">
        <v>214337</v>
      </c>
      <c r="M60" s="68" t="s">
        <v>332</v>
      </c>
    </row>
    <row r="61" spans="1:13" x14ac:dyDescent="0.3">
      <c r="A61" t="s">
        <v>333</v>
      </c>
      <c r="B61" s="76" t="s">
        <v>209</v>
      </c>
      <c r="C61" s="77">
        <v>4</v>
      </c>
      <c r="D61" s="73">
        <v>1</v>
      </c>
      <c r="E61" s="78">
        <f t="shared" si="2"/>
        <v>4</v>
      </c>
      <c r="F61" s="77">
        <v>4</v>
      </c>
      <c r="G61" s="73">
        <v>1</v>
      </c>
      <c r="H61" s="78">
        <f t="shared" si="4"/>
        <v>4</v>
      </c>
      <c r="J61" s="68" t="s">
        <v>238</v>
      </c>
      <c r="L61" s="68">
        <v>215600</v>
      </c>
      <c r="M61" s="68" t="s">
        <v>290</v>
      </c>
    </row>
    <row r="62" spans="1:13" x14ac:dyDescent="0.3">
      <c r="B62" s="76" t="s">
        <v>207</v>
      </c>
      <c r="C62" s="77">
        <v>1</v>
      </c>
      <c r="D62" s="73">
        <v>1.5</v>
      </c>
      <c r="E62" s="78">
        <f t="shared" si="2"/>
        <v>1.5</v>
      </c>
      <c r="F62" s="77">
        <v>1</v>
      </c>
      <c r="G62" s="73">
        <v>1.5</v>
      </c>
      <c r="H62" s="78">
        <f t="shared" si="4"/>
        <v>1.5</v>
      </c>
      <c r="J62" s="68" t="s">
        <v>238</v>
      </c>
      <c r="L62" s="68">
        <v>216567</v>
      </c>
      <c r="M62" s="68" t="s">
        <v>332</v>
      </c>
    </row>
    <row r="63" spans="1:13" x14ac:dyDescent="0.3">
      <c r="B63" s="76" t="s">
        <v>32</v>
      </c>
      <c r="C63" s="77">
        <v>1</v>
      </c>
      <c r="D63" s="73">
        <v>1</v>
      </c>
      <c r="E63" s="78">
        <f t="shared" si="2"/>
        <v>1</v>
      </c>
      <c r="F63" s="77">
        <v>1</v>
      </c>
      <c r="G63" s="73">
        <v>1</v>
      </c>
      <c r="H63" s="78">
        <f t="shared" si="4"/>
        <v>1</v>
      </c>
      <c r="J63" s="68" t="s">
        <v>238</v>
      </c>
      <c r="L63" s="68" t="s">
        <v>334</v>
      </c>
      <c r="M63" s="68" t="s">
        <v>335</v>
      </c>
    </row>
    <row r="64" spans="1:13" x14ac:dyDescent="0.3">
      <c r="A64" s="72" t="s">
        <v>336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2022-09-11T23:34:30Z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