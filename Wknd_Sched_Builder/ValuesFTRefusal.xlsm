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 userName="David D." algorithmName="SHA-512" hashValue="GYe1rT8xSGAXDRe8RjvgbFMb0ZeVcE1UKcL3BUoDz4aarvTWW3WkVkh0zDbfckH1EvVhJglwZ17Q9myKZl1VhQ==" saltValue="sDFeWU5lF6ZtPrXSS6djCw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0001_{04B7C2C9-0E40-47E9-B50C-222C514D92A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OT'!$A$2:$DV$146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6" i="1" l="1"/>
  <c r="BI6" i="1"/>
  <c r="BN6" i="1"/>
  <c r="BS6" i="1"/>
  <c r="BX6" i="1"/>
  <c r="CC6" i="1"/>
  <c r="CG6" i="1"/>
  <c r="CK6" i="1"/>
  <c r="CO6" i="1"/>
  <c r="BD7" i="1"/>
  <c r="BI7" i="1"/>
  <c r="BN7" i="1"/>
  <c r="BS7" i="1"/>
  <c r="BX7" i="1"/>
  <c r="CC7" i="1"/>
  <c r="CG7" i="1"/>
  <c r="CK7" i="1"/>
  <c r="CO7" i="1"/>
  <c r="BD8" i="1"/>
  <c r="BI8" i="1"/>
  <c r="BN8" i="1"/>
  <c r="BS8" i="1"/>
  <c r="BX8" i="1"/>
  <c r="CC8" i="1"/>
  <c r="CG8" i="1"/>
  <c r="CK8" i="1"/>
  <c r="CO8" i="1"/>
  <c r="BD9" i="1"/>
  <c r="BI9" i="1"/>
  <c r="BN9" i="1"/>
  <c r="BS9" i="1"/>
  <c r="BX9" i="1"/>
  <c r="CC9" i="1"/>
  <c r="CG9" i="1"/>
  <c r="CK9" i="1"/>
  <c r="CO9" i="1"/>
  <c r="BD10" i="1"/>
  <c r="BI10" i="1"/>
  <c r="BN10" i="1"/>
  <c r="BS10" i="1"/>
  <c r="BX10" i="1"/>
  <c r="CC10" i="1"/>
  <c r="CG10" i="1"/>
  <c r="CK10" i="1"/>
  <c r="CO10" i="1"/>
  <c r="BD11" i="1"/>
  <c r="BI11" i="1"/>
  <c r="BN11" i="1"/>
  <c r="BS11" i="1"/>
  <c r="BX11" i="1"/>
  <c r="CC11" i="1"/>
  <c r="CG11" i="1"/>
  <c r="CK11" i="1"/>
  <c r="CO11" i="1"/>
  <c r="BD12" i="1"/>
  <c r="BI12" i="1"/>
  <c r="BN12" i="1"/>
  <c r="BS12" i="1"/>
  <c r="BX12" i="1"/>
  <c r="CC12" i="1"/>
  <c r="CG12" i="1"/>
  <c r="CK12" i="1"/>
  <c r="CO12" i="1"/>
  <c r="BD13" i="1"/>
  <c r="BI13" i="1"/>
  <c r="BN13" i="1"/>
  <c r="BS13" i="1"/>
  <c r="BX13" i="1"/>
  <c r="CC13" i="1"/>
  <c r="CG13" i="1"/>
  <c r="CK13" i="1"/>
  <c r="CO13" i="1"/>
  <c r="BD14" i="1"/>
  <c r="BI14" i="1"/>
  <c r="BN14" i="1"/>
  <c r="BS14" i="1"/>
  <c r="BX14" i="1"/>
  <c r="CC14" i="1"/>
  <c r="CG14" i="1"/>
  <c r="CK14" i="1"/>
  <c r="CO14" i="1"/>
  <c r="BD15" i="1"/>
  <c r="BI15" i="1"/>
  <c r="BN15" i="1"/>
  <c r="BS15" i="1"/>
  <c r="BX15" i="1"/>
  <c r="CC15" i="1"/>
  <c r="CG15" i="1"/>
  <c r="CK15" i="1"/>
  <c r="CO15" i="1"/>
  <c r="BD16" i="1"/>
  <c r="BI16" i="1"/>
  <c r="BN16" i="1"/>
  <c r="BS16" i="1"/>
  <c r="BX16" i="1"/>
  <c r="CC16" i="1"/>
  <c r="CG16" i="1"/>
  <c r="CK16" i="1"/>
  <c r="CO16" i="1"/>
  <c r="BD17" i="1"/>
  <c r="BI17" i="1"/>
  <c r="BN17" i="1"/>
  <c r="BS17" i="1"/>
  <c r="BX17" i="1"/>
  <c r="CC17" i="1"/>
  <c r="CG17" i="1"/>
  <c r="CK17" i="1"/>
  <c r="CO17" i="1"/>
  <c r="BD18" i="1"/>
  <c r="BI18" i="1"/>
  <c r="BN18" i="1"/>
  <c r="BS18" i="1"/>
  <c r="BX18" i="1"/>
  <c r="CC18" i="1"/>
  <c r="CG18" i="1"/>
  <c r="CK18" i="1"/>
  <c r="CO18" i="1"/>
  <c r="BD19" i="1"/>
  <c r="BI19" i="1"/>
  <c r="BN19" i="1"/>
  <c r="BS19" i="1"/>
  <c r="BX19" i="1"/>
  <c r="CC19" i="1"/>
  <c r="CG19" i="1"/>
  <c r="CK19" i="1"/>
  <c r="CO19" i="1"/>
  <c r="BD20" i="1"/>
  <c r="BI20" i="1"/>
  <c r="BN20" i="1"/>
  <c r="BS20" i="1"/>
  <c r="BX20" i="1"/>
  <c r="CC20" i="1"/>
  <c r="CG20" i="1"/>
  <c r="CK20" i="1"/>
  <c r="CO20" i="1"/>
  <c r="BD21" i="1"/>
  <c r="BI21" i="1"/>
  <c r="BN21" i="1"/>
  <c r="BS21" i="1"/>
  <c r="BX21" i="1"/>
  <c r="CC21" i="1"/>
  <c r="CG21" i="1"/>
  <c r="CK21" i="1"/>
  <c r="CO21" i="1"/>
  <c r="BD22" i="1"/>
  <c r="BI22" i="1"/>
  <c r="BN22" i="1"/>
  <c r="BS22" i="1"/>
  <c r="BX22" i="1"/>
  <c r="CC22" i="1"/>
  <c r="CG22" i="1"/>
  <c r="CK22" i="1"/>
  <c r="CO22" i="1"/>
  <c r="BD23" i="1"/>
  <c r="BI23" i="1"/>
  <c r="BN23" i="1"/>
  <c r="BS23" i="1"/>
  <c r="BX23" i="1"/>
  <c r="CC23" i="1"/>
  <c r="CG23" i="1"/>
  <c r="CK23" i="1"/>
  <c r="CO23" i="1"/>
  <c r="BD24" i="1"/>
  <c r="BI24" i="1"/>
  <c r="BN24" i="1"/>
  <c r="BS24" i="1"/>
  <c r="BX24" i="1"/>
  <c r="CC24" i="1"/>
  <c r="CG24" i="1"/>
  <c r="CK24" i="1"/>
  <c r="CO24" i="1"/>
  <c r="BD25" i="1"/>
  <c r="BI25" i="1"/>
  <c r="BN25" i="1"/>
  <c r="BS25" i="1"/>
  <c r="BX25" i="1"/>
  <c r="CC25" i="1"/>
  <c r="CG25" i="1"/>
  <c r="CK25" i="1"/>
  <c r="CO25" i="1"/>
  <c r="BD26" i="1"/>
  <c r="BI26" i="1"/>
  <c r="BN26" i="1"/>
  <c r="BS26" i="1"/>
  <c r="BX26" i="1"/>
  <c r="CC26" i="1"/>
  <c r="CG26" i="1"/>
  <c r="CK26" i="1"/>
  <c r="CO26" i="1"/>
  <c r="BD27" i="1"/>
  <c r="BI27" i="1"/>
  <c r="BN27" i="1"/>
  <c r="BS27" i="1"/>
  <c r="BX27" i="1"/>
  <c r="CC27" i="1"/>
  <c r="CG27" i="1"/>
  <c r="CK27" i="1"/>
  <c r="CO27" i="1"/>
  <c r="BD28" i="1"/>
  <c r="BI28" i="1"/>
  <c r="BN28" i="1"/>
  <c r="BS28" i="1"/>
  <c r="BX28" i="1"/>
  <c r="CC28" i="1"/>
  <c r="CG28" i="1"/>
  <c r="CK28" i="1"/>
  <c r="CO28" i="1"/>
  <c r="BD29" i="1"/>
  <c r="BI29" i="1"/>
  <c r="BN29" i="1"/>
  <c r="BS29" i="1"/>
  <c r="BX29" i="1"/>
  <c r="CC29" i="1"/>
  <c r="CG29" i="1"/>
  <c r="CK29" i="1"/>
  <c r="CO29" i="1"/>
  <c r="BD30" i="1"/>
  <c r="BI30" i="1"/>
  <c r="BN30" i="1"/>
  <c r="BS30" i="1"/>
  <c r="BX30" i="1"/>
  <c r="CC30" i="1"/>
  <c r="CG30" i="1"/>
  <c r="CK30" i="1"/>
  <c r="CO30" i="1"/>
  <c r="BD31" i="1"/>
  <c r="BI31" i="1"/>
  <c r="BN31" i="1"/>
  <c r="BS31" i="1"/>
  <c r="BX31" i="1"/>
  <c r="CC31" i="1"/>
  <c r="CG31" i="1"/>
  <c r="CK31" i="1"/>
  <c r="CO31" i="1"/>
  <c r="BD32" i="1"/>
  <c r="BI32" i="1"/>
  <c r="BN32" i="1"/>
  <c r="BS32" i="1"/>
  <c r="BX32" i="1"/>
  <c r="CC32" i="1"/>
  <c r="CG32" i="1"/>
  <c r="CK32" i="1"/>
  <c r="CO32" i="1"/>
  <c r="BD33" i="1"/>
  <c r="BI33" i="1"/>
  <c r="BN33" i="1"/>
  <c r="BS33" i="1"/>
  <c r="BX33" i="1"/>
  <c r="CC33" i="1"/>
  <c r="CG33" i="1"/>
  <c r="CK33" i="1"/>
  <c r="CO33" i="1"/>
  <c r="BD34" i="1"/>
  <c r="BI34" i="1"/>
  <c r="BN34" i="1"/>
  <c r="BS34" i="1"/>
  <c r="BX34" i="1"/>
  <c r="CC34" i="1"/>
  <c r="CG34" i="1"/>
  <c r="CK34" i="1"/>
  <c r="CO34" i="1"/>
  <c r="BD35" i="1"/>
  <c r="BI35" i="1"/>
  <c r="BN35" i="1"/>
  <c r="BS35" i="1"/>
  <c r="BX35" i="1"/>
  <c r="CC35" i="1"/>
  <c r="CG35" i="1"/>
  <c r="CK35" i="1"/>
  <c r="CO35" i="1"/>
  <c r="BD36" i="1"/>
  <c r="BI36" i="1"/>
  <c r="BN36" i="1"/>
  <c r="BS36" i="1"/>
  <c r="BX36" i="1"/>
  <c r="CC36" i="1"/>
  <c r="CG36" i="1"/>
  <c r="CK36" i="1"/>
  <c r="CO36" i="1"/>
  <c r="BD37" i="1"/>
  <c r="BI37" i="1"/>
  <c r="BN37" i="1"/>
  <c r="BS37" i="1"/>
  <c r="BX37" i="1"/>
  <c r="CC37" i="1"/>
  <c r="CG37" i="1"/>
  <c r="CK37" i="1"/>
  <c r="CO37" i="1"/>
  <c r="BD38" i="1"/>
  <c r="BI38" i="1"/>
  <c r="BN38" i="1"/>
  <c r="BS38" i="1"/>
  <c r="BX38" i="1"/>
  <c r="CC38" i="1"/>
  <c r="CG38" i="1"/>
  <c r="CK38" i="1"/>
  <c r="CO38" i="1"/>
  <c r="BD39" i="1"/>
  <c r="BI39" i="1"/>
  <c r="BN39" i="1"/>
  <c r="BS39" i="1"/>
  <c r="BX39" i="1"/>
  <c r="CC39" i="1"/>
  <c r="CG39" i="1"/>
  <c r="CK39" i="1"/>
  <c r="CO39" i="1"/>
  <c r="BD40" i="1"/>
  <c r="BI40" i="1"/>
  <c r="BN40" i="1"/>
  <c r="BS40" i="1"/>
  <c r="BX40" i="1"/>
  <c r="CC40" i="1"/>
  <c r="CG40" i="1"/>
  <c r="CK40" i="1"/>
  <c r="CO40" i="1"/>
  <c r="BD41" i="1"/>
  <c r="BI41" i="1"/>
  <c r="BN41" i="1"/>
  <c r="BS41" i="1"/>
  <c r="BX41" i="1"/>
  <c r="CC41" i="1"/>
  <c r="CG41" i="1"/>
  <c r="CK41" i="1"/>
  <c r="CO41" i="1"/>
  <c r="BD42" i="1"/>
  <c r="BI42" i="1"/>
  <c r="BN42" i="1"/>
  <c r="BS42" i="1"/>
  <c r="BX42" i="1"/>
  <c r="CC42" i="1"/>
  <c r="CG42" i="1"/>
  <c r="CK42" i="1"/>
  <c r="CO42" i="1"/>
  <c r="BD43" i="1"/>
  <c r="BI43" i="1"/>
  <c r="BN43" i="1"/>
  <c r="BS43" i="1"/>
  <c r="BX43" i="1"/>
  <c r="CC43" i="1"/>
  <c r="CG43" i="1"/>
  <c r="CK43" i="1"/>
  <c r="CO43" i="1"/>
  <c r="BD44" i="1"/>
  <c r="BI44" i="1"/>
  <c r="BN44" i="1"/>
  <c r="BS44" i="1"/>
  <c r="BX44" i="1"/>
  <c r="CC44" i="1"/>
  <c r="CG44" i="1"/>
  <c r="CK44" i="1"/>
  <c r="CO44" i="1"/>
  <c r="BD45" i="1"/>
  <c r="BI45" i="1"/>
  <c r="BN45" i="1"/>
  <c r="BS45" i="1"/>
  <c r="BX45" i="1"/>
  <c r="CC45" i="1"/>
  <c r="CG45" i="1"/>
  <c r="CK45" i="1"/>
  <c r="CO45" i="1"/>
  <c r="BD46" i="1"/>
  <c r="BI46" i="1"/>
  <c r="BN46" i="1"/>
  <c r="BS46" i="1"/>
  <c r="BX46" i="1"/>
  <c r="CC46" i="1"/>
  <c r="CG46" i="1"/>
  <c r="CK46" i="1"/>
  <c r="CO46" i="1"/>
  <c r="BD47" i="1"/>
  <c r="BI47" i="1"/>
  <c r="BN47" i="1"/>
  <c r="BS47" i="1"/>
  <c r="BX47" i="1"/>
  <c r="CC47" i="1"/>
  <c r="CG47" i="1"/>
  <c r="CK47" i="1"/>
  <c r="CO47" i="1"/>
  <c r="BD48" i="1"/>
  <c r="BI48" i="1"/>
  <c r="BN48" i="1"/>
  <c r="BS48" i="1"/>
  <c r="BX48" i="1"/>
  <c r="CC48" i="1"/>
  <c r="CG48" i="1"/>
  <c r="CK48" i="1"/>
  <c r="CO48" i="1"/>
  <c r="BD49" i="1"/>
  <c r="BI49" i="1"/>
  <c r="BN49" i="1"/>
  <c r="BS49" i="1"/>
  <c r="BX49" i="1"/>
  <c r="CC49" i="1"/>
  <c r="CG49" i="1"/>
  <c r="CK49" i="1"/>
  <c r="CO49" i="1"/>
  <c r="BD50" i="1"/>
  <c r="BI50" i="1"/>
  <c r="BN50" i="1"/>
  <c r="BS50" i="1"/>
  <c r="BX50" i="1"/>
  <c r="CC50" i="1"/>
  <c r="CG50" i="1"/>
  <c r="CK50" i="1"/>
  <c r="CO50" i="1"/>
  <c r="BD51" i="1"/>
  <c r="BI51" i="1"/>
  <c r="BN51" i="1"/>
  <c r="BS51" i="1"/>
  <c r="BX51" i="1"/>
  <c r="CC51" i="1"/>
  <c r="CG51" i="1"/>
  <c r="CK51" i="1"/>
  <c r="CO51" i="1"/>
  <c r="BD52" i="1"/>
  <c r="BI52" i="1"/>
  <c r="BN52" i="1"/>
  <c r="BS52" i="1"/>
  <c r="BX52" i="1"/>
  <c r="CC52" i="1"/>
  <c r="CG52" i="1"/>
  <c r="CK52" i="1"/>
  <c r="CO52" i="1"/>
  <c r="BD53" i="1"/>
  <c r="BI53" i="1"/>
  <c r="BN53" i="1"/>
  <c r="BS53" i="1"/>
  <c r="BX53" i="1"/>
  <c r="CC53" i="1"/>
  <c r="CG53" i="1"/>
  <c r="CK53" i="1"/>
  <c r="CO53" i="1"/>
  <c r="BD54" i="1"/>
  <c r="BI54" i="1"/>
  <c r="BN54" i="1"/>
  <c r="BS54" i="1"/>
  <c r="BX54" i="1"/>
  <c r="CC54" i="1"/>
  <c r="CG54" i="1"/>
  <c r="CK54" i="1"/>
  <c r="CO54" i="1"/>
  <c r="BD55" i="1"/>
  <c r="BI55" i="1"/>
  <c r="BN55" i="1"/>
  <c r="BS55" i="1"/>
  <c r="BX55" i="1"/>
  <c r="CC55" i="1"/>
  <c r="CG55" i="1"/>
  <c r="CK55" i="1"/>
  <c r="CO55" i="1"/>
  <c r="BD56" i="1"/>
  <c r="BI56" i="1"/>
  <c r="BN56" i="1"/>
  <c r="BS56" i="1"/>
  <c r="BX56" i="1"/>
  <c r="CC56" i="1"/>
  <c r="CG56" i="1"/>
  <c r="CK56" i="1"/>
  <c r="CO56" i="1"/>
  <c r="BD57" i="1"/>
  <c r="BI57" i="1"/>
  <c r="BN57" i="1"/>
  <c r="BS57" i="1"/>
  <c r="BX57" i="1"/>
  <c r="CC57" i="1"/>
  <c r="CG57" i="1"/>
  <c r="CK57" i="1"/>
  <c r="CO57" i="1"/>
  <c r="BD58" i="1"/>
  <c r="BI58" i="1"/>
  <c r="BN58" i="1"/>
  <c r="BS58" i="1"/>
  <c r="BX58" i="1"/>
  <c r="CC58" i="1"/>
  <c r="CG58" i="1"/>
  <c r="CK58" i="1"/>
  <c r="CO58" i="1"/>
  <c r="BD59" i="1"/>
  <c r="BI59" i="1"/>
  <c r="BN59" i="1"/>
  <c r="BS59" i="1"/>
  <c r="BX59" i="1"/>
  <c r="CC59" i="1"/>
  <c r="CG59" i="1"/>
  <c r="CK59" i="1"/>
  <c r="CO59" i="1"/>
  <c r="BD60" i="1"/>
  <c r="BI60" i="1"/>
  <c r="BN60" i="1"/>
  <c r="BS60" i="1"/>
  <c r="BX60" i="1"/>
  <c r="CC60" i="1"/>
  <c r="CG60" i="1"/>
  <c r="CK60" i="1"/>
  <c r="CO60" i="1"/>
  <c r="BD61" i="1"/>
  <c r="BI61" i="1"/>
  <c r="BN61" i="1"/>
  <c r="BS61" i="1"/>
  <c r="BX61" i="1"/>
  <c r="CC61" i="1"/>
  <c r="CG61" i="1"/>
  <c r="CK61" i="1"/>
  <c r="CO61" i="1"/>
  <c r="BD62" i="1"/>
  <c r="BI62" i="1"/>
  <c r="BN62" i="1"/>
  <c r="BS62" i="1"/>
  <c r="BX62" i="1"/>
  <c r="CC62" i="1"/>
  <c r="CG62" i="1"/>
  <c r="CK62" i="1"/>
  <c r="CO62" i="1"/>
  <c r="BD63" i="1"/>
  <c r="BI63" i="1"/>
  <c r="BN63" i="1"/>
  <c r="BS63" i="1"/>
  <c r="BX63" i="1"/>
  <c r="CC63" i="1"/>
  <c r="CG63" i="1"/>
  <c r="CK63" i="1"/>
  <c r="CO63" i="1"/>
  <c r="BD64" i="1"/>
  <c r="BI64" i="1"/>
  <c r="BN64" i="1"/>
  <c r="BS64" i="1"/>
  <c r="BX64" i="1"/>
  <c r="CC64" i="1"/>
  <c r="CG64" i="1"/>
  <c r="CK64" i="1"/>
  <c r="CO64" i="1"/>
  <c r="BD65" i="1"/>
  <c r="BI65" i="1"/>
  <c r="BN65" i="1"/>
  <c r="BS65" i="1"/>
  <c r="BX65" i="1"/>
  <c r="CC65" i="1"/>
  <c r="CG65" i="1"/>
  <c r="CK65" i="1"/>
  <c r="CO65" i="1"/>
  <c r="BD66" i="1"/>
  <c r="BI66" i="1"/>
  <c r="BN66" i="1"/>
  <c r="BS66" i="1"/>
  <c r="BX66" i="1"/>
  <c r="CC66" i="1"/>
  <c r="CG66" i="1"/>
  <c r="CK66" i="1"/>
  <c r="CO66" i="1"/>
  <c r="BD67" i="1"/>
  <c r="BI67" i="1"/>
  <c r="BN67" i="1"/>
  <c r="BS67" i="1"/>
  <c r="BX67" i="1"/>
  <c r="CC67" i="1"/>
  <c r="CG67" i="1"/>
  <c r="CK67" i="1"/>
  <c r="CO67" i="1"/>
  <c r="BD68" i="1"/>
  <c r="BI68" i="1"/>
  <c r="BN68" i="1"/>
  <c r="BS68" i="1"/>
  <c r="BX68" i="1"/>
  <c r="CC68" i="1"/>
  <c r="CG68" i="1"/>
  <c r="CK68" i="1"/>
  <c r="CO68" i="1"/>
  <c r="BD69" i="1"/>
  <c r="BI69" i="1"/>
  <c r="BN69" i="1"/>
  <c r="BS69" i="1"/>
  <c r="BX69" i="1"/>
  <c r="CC69" i="1"/>
  <c r="CG69" i="1"/>
  <c r="CK69" i="1"/>
  <c r="CO69" i="1"/>
  <c r="BD70" i="1"/>
  <c r="BI70" i="1"/>
  <c r="BN70" i="1"/>
  <c r="BS70" i="1"/>
  <c r="BX70" i="1"/>
  <c r="CC70" i="1"/>
  <c r="CG70" i="1"/>
  <c r="CK70" i="1"/>
  <c r="CO70" i="1"/>
  <c r="BD71" i="1"/>
  <c r="BI71" i="1"/>
  <c r="BN71" i="1"/>
  <c r="BS71" i="1"/>
  <c r="BX71" i="1"/>
  <c r="CC71" i="1"/>
  <c r="CG71" i="1"/>
  <c r="CK71" i="1"/>
  <c r="CO71" i="1"/>
  <c r="BD72" i="1"/>
  <c r="BI72" i="1"/>
  <c r="BN72" i="1"/>
  <c r="BS72" i="1"/>
  <c r="BX72" i="1"/>
  <c r="CC72" i="1"/>
  <c r="CG72" i="1"/>
  <c r="CK72" i="1"/>
  <c r="CO72" i="1"/>
  <c r="BD73" i="1"/>
  <c r="BI73" i="1"/>
  <c r="BN73" i="1"/>
  <c r="BS73" i="1"/>
  <c r="BX73" i="1"/>
  <c r="CC73" i="1"/>
  <c r="CG73" i="1"/>
  <c r="CK73" i="1"/>
  <c r="CO73" i="1"/>
  <c r="BD74" i="1"/>
  <c r="BI74" i="1"/>
  <c r="BN74" i="1"/>
  <c r="BS74" i="1"/>
  <c r="BX74" i="1"/>
  <c r="CC74" i="1"/>
  <c r="CG74" i="1"/>
  <c r="CK74" i="1"/>
  <c r="CO74" i="1"/>
  <c r="BD75" i="1"/>
  <c r="BI75" i="1"/>
  <c r="BN75" i="1"/>
  <c r="BS75" i="1"/>
  <c r="BX75" i="1"/>
  <c r="CC75" i="1"/>
  <c r="CG75" i="1"/>
  <c r="CK75" i="1"/>
  <c r="CO75" i="1"/>
  <c r="BD76" i="1"/>
  <c r="BI76" i="1"/>
  <c r="BN76" i="1"/>
  <c r="BS76" i="1"/>
  <c r="BX76" i="1"/>
  <c r="CC76" i="1"/>
  <c r="CG76" i="1"/>
  <c r="CK76" i="1"/>
  <c r="CO76" i="1"/>
  <c r="BD77" i="1"/>
  <c r="BI77" i="1"/>
  <c r="BN77" i="1"/>
  <c r="BS77" i="1"/>
  <c r="BX77" i="1"/>
  <c r="CC77" i="1"/>
  <c r="CG77" i="1"/>
  <c r="CK77" i="1"/>
  <c r="CO77" i="1"/>
  <c r="BD78" i="1"/>
  <c r="BI78" i="1"/>
  <c r="BN78" i="1"/>
  <c r="BS78" i="1"/>
  <c r="BX78" i="1"/>
  <c r="CC78" i="1"/>
  <c r="CG78" i="1"/>
  <c r="CK78" i="1"/>
  <c r="CO78" i="1"/>
  <c r="BD79" i="1"/>
  <c r="BI79" i="1"/>
  <c r="BN79" i="1"/>
  <c r="BS79" i="1"/>
  <c r="BX79" i="1"/>
  <c r="CC79" i="1"/>
  <c r="CG79" i="1"/>
  <c r="CK79" i="1"/>
  <c r="CO79" i="1"/>
  <c r="BD80" i="1"/>
  <c r="BI80" i="1"/>
  <c r="BN80" i="1"/>
  <c r="BS80" i="1"/>
  <c r="BX80" i="1"/>
  <c r="CC80" i="1"/>
  <c r="CG80" i="1"/>
  <c r="CK80" i="1"/>
  <c r="CO80" i="1"/>
  <c r="BD81" i="1"/>
  <c r="BI81" i="1"/>
  <c r="BN81" i="1"/>
  <c r="BS81" i="1"/>
  <c r="BX81" i="1"/>
  <c r="CC81" i="1"/>
  <c r="CG81" i="1"/>
  <c r="CK81" i="1"/>
  <c r="CO81" i="1"/>
  <c r="BD82" i="1"/>
  <c r="BI82" i="1"/>
  <c r="BN82" i="1"/>
  <c r="BS82" i="1"/>
  <c r="BX82" i="1"/>
  <c r="CC82" i="1"/>
  <c r="CG82" i="1"/>
  <c r="CK82" i="1"/>
  <c r="CO82" i="1"/>
  <c r="BD83" i="1"/>
  <c r="BI83" i="1"/>
  <c r="BN83" i="1"/>
  <c r="BS83" i="1"/>
  <c r="BX83" i="1"/>
  <c r="CC83" i="1"/>
  <c r="CG83" i="1"/>
  <c r="CK83" i="1"/>
  <c r="CO83" i="1"/>
  <c r="BD84" i="1"/>
  <c r="BI84" i="1"/>
  <c r="BN84" i="1"/>
  <c r="BS84" i="1"/>
  <c r="BX84" i="1"/>
  <c r="CC84" i="1"/>
  <c r="CG84" i="1"/>
  <c r="CK84" i="1"/>
  <c r="CO84" i="1"/>
  <c r="BD85" i="1"/>
  <c r="BI85" i="1"/>
  <c r="BN85" i="1"/>
  <c r="BS85" i="1"/>
  <c r="BX85" i="1"/>
  <c r="CC85" i="1"/>
  <c r="CG85" i="1"/>
  <c r="CK85" i="1"/>
  <c r="CO85" i="1"/>
  <c r="BD86" i="1"/>
  <c r="BI86" i="1"/>
  <c r="BN86" i="1"/>
  <c r="BS86" i="1"/>
  <c r="BX86" i="1"/>
  <c r="CC86" i="1"/>
  <c r="CG86" i="1"/>
  <c r="CK86" i="1"/>
  <c r="CO86" i="1"/>
  <c r="BD87" i="1"/>
  <c r="BI87" i="1"/>
  <c r="BN87" i="1"/>
  <c r="BS87" i="1"/>
  <c r="BX87" i="1"/>
  <c r="CC87" i="1"/>
  <c r="CG87" i="1"/>
  <c r="CK87" i="1"/>
  <c r="CO87" i="1"/>
  <c r="BD88" i="1"/>
  <c r="BI88" i="1"/>
  <c r="BN88" i="1"/>
  <c r="BS88" i="1"/>
  <c r="BX88" i="1"/>
  <c r="CC88" i="1"/>
  <c r="CG88" i="1"/>
  <c r="CK88" i="1"/>
  <c r="CO88" i="1"/>
  <c r="BD89" i="1"/>
  <c r="BI89" i="1"/>
  <c r="BN89" i="1"/>
  <c r="BS89" i="1"/>
  <c r="BX89" i="1"/>
  <c r="CC89" i="1"/>
  <c r="CG89" i="1"/>
  <c r="CK89" i="1"/>
  <c r="CO89" i="1"/>
  <c r="BD90" i="1"/>
  <c r="BI90" i="1"/>
  <c r="BN90" i="1"/>
  <c r="BS90" i="1"/>
  <c r="BX90" i="1"/>
  <c r="CC90" i="1"/>
  <c r="CG90" i="1"/>
  <c r="CK90" i="1"/>
  <c r="CO90" i="1"/>
  <c r="BD91" i="1"/>
  <c r="BI91" i="1"/>
  <c r="BN91" i="1"/>
  <c r="BS91" i="1"/>
  <c r="BX91" i="1"/>
  <c r="CC91" i="1"/>
  <c r="CG91" i="1"/>
  <c r="CK91" i="1"/>
  <c r="CO91" i="1"/>
  <c r="BD92" i="1"/>
  <c r="BI92" i="1"/>
  <c r="BN92" i="1"/>
  <c r="BS92" i="1"/>
  <c r="BX92" i="1"/>
  <c r="CC92" i="1"/>
  <c r="CG92" i="1"/>
  <c r="CK92" i="1"/>
  <c r="CO92" i="1"/>
  <c r="BD93" i="1"/>
  <c r="BI93" i="1"/>
  <c r="BN93" i="1"/>
  <c r="BS93" i="1"/>
  <c r="BX93" i="1"/>
  <c r="CC93" i="1"/>
  <c r="CG93" i="1"/>
  <c r="CK93" i="1"/>
  <c r="CO93" i="1"/>
  <c r="BD94" i="1"/>
  <c r="BI94" i="1"/>
  <c r="BN94" i="1"/>
  <c r="BS94" i="1"/>
  <c r="BX94" i="1"/>
  <c r="CC94" i="1"/>
  <c r="CG94" i="1"/>
  <c r="CK94" i="1"/>
  <c r="CO94" i="1"/>
  <c r="BD95" i="1"/>
  <c r="BI95" i="1"/>
  <c r="BN95" i="1"/>
  <c r="BS95" i="1"/>
  <c r="BX95" i="1"/>
  <c r="CC95" i="1"/>
  <c r="CG95" i="1"/>
  <c r="CK95" i="1"/>
  <c r="CO95" i="1"/>
  <c r="BD96" i="1"/>
  <c r="BI96" i="1"/>
  <c r="BN96" i="1"/>
  <c r="BS96" i="1"/>
  <c r="BX96" i="1"/>
  <c r="CC96" i="1"/>
  <c r="CG96" i="1"/>
  <c r="CK96" i="1"/>
  <c r="CO96" i="1"/>
  <c r="BD97" i="1"/>
  <c r="BI97" i="1"/>
  <c r="BN97" i="1"/>
  <c r="BS97" i="1"/>
  <c r="BX97" i="1"/>
  <c r="CC97" i="1"/>
  <c r="CG97" i="1"/>
  <c r="CK97" i="1"/>
  <c r="CO97" i="1"/>
  <c r="BD98" i="1"/>
  <c r="BI98" i="1"/>
  <c r="BN98" i="1"/>
  <c r="BS98" i="1"/>
  <c r="BX98" i="1"/>
  <c r="CC98" i="1"/>
  <c r="CG98" i="1"/>
  <c r="CK98" i="1"/>
  <c r="CO98" i="1"/>
  <c r="BD99" i="1"/>
  <c r="BI99" i="1"/>
  <c r="BN99" i="1"/>
  <c r="BS99" i="1"/>
  <c r="BX99" i="1"/>
  <c r="CC99" i="1"/>
  <c r="CG99" i="1"/>
  <c r="CK99" i="1"/>
  <c r="CO99" i="1"/>
  <c r="BD100" i="1"/>
  <c r="BI100" i="1"/>
  <c r="BN100" i="1"/>
  <c r="BS100" i="1"/>
  <c r="BX100" i="1"/>
  <c r="CC100" i="1"/>
  <c r="CG100" i="1"/>
  <c r="CK100" i="1"/>
  <c r="CO100" i="1"/>
  <c r="BD101" i="1"/>
  <c r="BI101" i="1"/>
  <c r="BN101" i="1"/>
  <c r="BS101" i="1"/>
  <c r="BX101" i="1"/>
  <c r="CC101" i="1"/>
  <c r="CG101" i="1"/>
  <c r="CK101" i="1"/>
  <c r="CO101" i="1"/>
  <c r="BD102" i="1"/>
  <c r="BI102" i="1"/>
  <c r="BN102" i="1"/>
  <c r="BS102" i="1"/>
  <c r="BX102" i="1"/>
  <c r="CC102" i="1"/>
  <c r="CG102" i="1"/>
  <c r="CK102" i="1"/>
  <c r="CO102" i="1"/>
  <c r="BD103" i="1"/>
  <c r="BI103" i="1"/>
  <c r="BN103" i="1"/>
  <c r="BS103" i="1"/>
  <c r="BX103" i="1"/>
  <c r="CC103" i="1"/>
  <c r="CG103" i="1"/>
  <c r="CK103" i="1"/>
  <c r="CO103" i="1"/>
  <c r="BD104" i="1"/>
  <c r="BI104" i="1"/>
  <c r="BN104" i="1"/>
  <c r="BS104" i="1"/>
  <c r="BX104" i="1"/>
  <c r="CC104" i="1"/>
  <c r="CG104" i="1"/>
  <c r="CK104" i="1"/>
  <c r="CO104" i="1"/>
  <c r="BD105" i="1"/>
  <c r="BI105" i="1"/>
  <c r="BN105" i="1"/>
  <c r="BS105" i="1"/>
  <c r="BX105" i="1"/>
  <c r="CC105" i="1"/>
  <c r="CG105" i="1"/>
  <c r="CK105" i="1"/>
  <c r="CO105" i="1"/>
  <c r="BD106" i="1"/>
  <c r="BI106" i="1"/>
  <c r="BN106" i="1"/>
  <c r="BS106" i="1"/>
  <c r="BX106" i="1"/>
  <c r="CC106" i="1"/>
  <c r="CG106" i="1"/>
  <c r="CK106" i="1"/>
  <c r="CO106" i="1"/>
  <c r="BD107" i="1"/>
  <c r="BI107" i="1"/>
  <c r="BN107" i="1"/>
  <c r="BS107" i="1"/>
  <c r="BX107" i="1"/>
  <c r="CC107" i="1"/>
  <c r="CG107" i="1"/>
  <c r="CK107" i="1"/>
  <c r="CO107" i="1"/>
  <c r="BD108" i="1"/>
  <c r="BI108" i="1"/>
  <c r="BN108" i="1"/>
  <c r="BS108" i="1"/>
  <c r="BX108" i="1"/>
  <c r="CC108" i="1"/>
  <c r="CG108" i="1"/>
  <c r="CK108" i="1"/>
  <c r="CO108" i="1"/>
  <c r="BD109" i="1"/>
  <c r="BI109" i="1"/>
  <c r="BN109" i="1"/>
  <c r="BS109" i="1"/>
  <c r="BX109" i="1"/>
  <c r="CC109" i="1"/>
  <c r="CG109" i="1"/>
  <c r="CK109" i="1"/>
  <c r="CO109" i="1"/>
  <c r="BD110" i="1"/>
  <c r="BI110" i="1"/>
  <c r="BN110" i="1"/>
  <c r="BS110" i="1"/>
  <c r="BX110" i="1"/>
  <c r="CC110" i="1"/>
  <c r="CG110" i="1"/>
  <c r="CK110" i="1"/>
  <c r="CO110" i="1"/>
  <c r="BD111" i="1"/>
  <c r="BI111" i="1"/>
  <c r="BN111" i="1"/>
  <c r="BS111" i="1"/>
  <c r="BX111" i="1"/>
  <c r="CC111" i="1"/>
  <c r="CG111" i="1"/>
  <c r="CK111" i="1"/>
  <c r="CO111" i="1"/>
  <c r="BD112" i="1"/>
  <c r="BI112" i="1"/>
  <c r="BN112" i="1"/>
  <c r="BS112" i="1"/>
  <c r="BX112" i="1"/>
  <c r="CC112" i="1"/>
  <c r="CG112" i="1"/>
  <c r="CK112" i="1"/>
  <c r="CO112" i="1"/>
  <c r="BD113" i="1"/>
  <c r="BI113" i="1"/>
  <c r="BN113" i="1"/>
  <c r="BS113" i="1"/>
  <c r="BX113" i="1"/>
  <c r="CC113" i="1"/>
  <c r="CG113" i="1"/>
  <c r="CK113" i="1"/>
  <c r="CO113" i="1"/>
  <c r="BD114" i="1"/>
  <c r="BI114" i="1"/>
  <c r="BN114" i="1"/>
  <c r="BS114" i="1"/>
  <c r="BX114" i="1"/>
  <c r="CC114" i="1"/>
  <c r="CG114" i="1"/>
  <c r="CK114" i="1"/>
  <c r="CO114" i="1"/>
  <c r="BD115" i="1"/>
  <c r="BI115" i="1"/>
  <c r="BN115" i="1"/>
  <c r="BS115" i="1"/>
  <c r="BX115" i="1"/>
  <c r="CC115" i="1"/>
  <c r="CG115" i="1"/>
  <c r="CK115" i="1"/>
  <c r="CO115" i="1"/>
  <c r="BD116" i="1"/>
  <c r="BI116" i="1"/>
  <c r="BN116" i="1"/>
  <c r="BS116" i="1"/>
  <c r="BX116" i="1"/>
  <c r="CC116" i="1"/>
  <c r="CG116" i="1"/>
  <c r="CK116" i="1"/>
  <c r="CO116" i="1"/>
  <c r="BD117" i="1"/>
  <c r="BI117" i="1"/>
  <c r="BN117" i="1"/>
  <c r="BS117" i="1"/>
  <c r="BX117" i="1"/>
  <c r="CC117" i="1"/>
  <c r="CG117" i="1"/>
  <c r="CK117" i="1"/>
  <c r="CO117" i="1"/>
  <c r="BD118" i="1"/>
  <c r="BI118" i="1"/>
  <c r="BN118" i="1"/>
  <c r="BS118" i="1"/>
  <c r="BX118" i="1"/>
  <c r="CC118" i="1"/>
  <c r="CG118" i="1"/>
  <c r="CK118" i="1"/>
  <c r="CO118" i="1"/>
  <c r="BD119" i="1"/>
  <c r="BI119" i="1"/>
  <c r="BN119" i="1"/>
  <c r="BS119" i="1"/>
  <c r="BX119" i="1"/>
  <c r="CC119" i="1"/>
  <c r="CG119" i="1"/>
  <c r="CK119" i="1"/>
  <c r="CO119" i="1"/>
  <c r="BD120" i="1"/>
  <c r="BI120" i="1"/>
  <c r="BN120" i="1"/>
  <c r="BS120" i="1"/>
  <c r="BX120" i="1"/>
  <c r="CC120" i="1"/>
  <c r="CG120" i="1"/>
  <c r="CK120" i="1"/>
  <c r="CO120" i="1"/>
  <c r="BD121" i="1"/>
  <c r="BI121" i="1"/>
  <c r="BN121" i="1"/>
  <c r="BS121" i="1"/>
  <c r="BX121" i="1"/>
  <c r="CC121" i="1"/>
  <c r="CG121" i="1"/>
  <c r="CK121" i="1"/>
  <c r="CO121" i="1"/>
  <c r="BD122" i="1"/>
  <c r="BI122" i="1"/>
  <c r="BN122" i="1"/>
  <c r="BS122" i="1"/>
  <c r="BX122" i="1"/>
  <c r="CC122" i="1"/>
  <c r="CG122" i="1"/>
  <c r="CK122" i="1"/>
  <c r="CO122" i="1"/>
  <c r="BD123" i="1"/>
  <c r="BI123" i="1"/>
  <c r="BN123" i="1"/>
  <c r="BS123" i="1"/>
  <c r="BX123" i="1"/>
  <c r="CC123" i="1"/>
  <c r="CG123" i="1"/>
  <c r="CK123" i="1"/>
  <c r="CO123" i="1"/>
  <c r="BD124" i="1"/>
  <c r="BI124" i="1"/>
  <c r="BN124" i="1"/>
  <c r="BS124" i="1"/>
  <c r="BX124" i="1"/>
  <c r="CC124" i="1"/>
  <c r="CG124" i="1"/>
  <c r="CK124" i="1"/>
  <c r="CO124" i="1"/>
  <c r="BD125" i="1"/>
  <c r="BI125" i="1"/>
  <c r="BN125" i="1"/>
  <c r="BS125" i="1"/>
  <c r="BX125" i="1"/>
  <c r="CC125" i="1"/>
  <c r="CG125" i="1"/>
  <c r="CK125" i="1"/>
  <c r="CO125" i="1"/>
  <c r="BD126" i="1"/>
  <c r="BI126" i="1"/>
  <c r="BN126" i="1"/>
  <c r="BS126" i="1"/>
  <c r="BX126" i="1"/>
  <c r="CC126" i="1"/>
  <c r="CG126" i="1"/>
  <c r="CK126" i="1"/>
  <c r="CO126" i="1"/>
  <c r="BD127" i="1"/>
  <c r="BI127" i="1"/>
  <c r="BN127" i="1"/>
  <c r="BS127" i="1"/>
  <c r="BX127" i="1"/>
  <c r="CC127" i="1"/>
  <c r="CG127" i="1"/>
  <c r="CK127" i="1"/>
  <c r="CO127" i="1"/>
  <c r="BD128" i="1"/>
  <c r="BI128" i="1"/>
  <c r="BN128" i="1"/>
  <c r="BS128" i="1"/>
  <c r="BX128" i="1"/>
  <c r="CC128" i="1"/>
  <c r="CG128" i="1"/>
  <c r="CK128" i="1"/>
  <c r="CO128" i="1"/>
  <c r="BD129" i="1"/>
  <c r="BI129" i="1"/>
  <c r="BN129" i="1"/>
  <c r="BS129" i="1"/>
  <c r="BX129" i="1"/>
  <c r="CC129" i="1"/>
  <c r="CG129" i="1"/>
  <c r="CK129" i="1"/>
  <c r="CO129" i="1"/>
  <c r="BD130" i="1"/>
  <c r="BI130" i="1"/>
  <c r="BN130" i="1"/>
  <c r="BS130" i="1"/>
  <c r="BX130" i="1"/>
  <c r="CC130" i="1"/>
  <c r="CG130" i="1"/>
  <c r="CK130" i="1"/>
  <c r="CO130" i="1"/>
  <c r="BD131" i="1"/>
  <c r="BI131" i="1"/>
  <c r="BN131" i="1"/>
  <c r="BS131" i="1"/>
  <c r="BX131" i="1"/>
  <c r="CC131" i="1"/>
  <c r="CG131" i="1"/>
  <c r="CK131" i="1"/>
  <c r="CO131" i="1"/>
  <c r="BD132" i="1"/>
  <c r="BI132" i="1"/>
  <c r="BN132" i="1"/>
  <c r="BS132" i="1"/>
  <c r="BX132" i="1"/>
  <c r="CC132" i="1"/>
  <c r="CG132" i="1"/>
  <c r="CK132" i="1"/>
  <c r="CO132" i="1"/>
  <c r="BD133" i="1"/>
  <c r="BI133" i="1"/>
  <c r="BN133" i="1"/>
  <c r="BS133" i="1"/>
  <c r="BX133" i="1"/>
  <c r="CC133" i="1"/>
  <c r="CG133" i="1"/>
  <c r="CK133" i="1"/>
  <c r="CO133" i="1"/>
  <c r="BD134" i="1"/>
  <c r="BI134" i="1"/>
  <c r="BN134" i="1"/>
  <c r="BS134" i="1"/>
  <c r="BX134" i="1"/>
  <c r="CC134" i="1"/>
  <c r="CG134" i="1"/>
  <c r="CK134" i="1"/>
  <c r="CO134" i="1"/>
  <c r="BD135" i="1"/>
  <c r="BI135" i="1"/>
  <c r="BN135" i="1"/>
  <c r="BS135" i="1"/>
  <c r="BX135" i="1"/>
  <c r="CC135" i="1"/>
  <c r="CG135" i="1"/>
  <c r="CK135" i="1"/>
  <c r="CO135" i="1"/>
  <c r="BD136" i="1"/>
  <c r="BI136" i="1"/>
  <c r="BN136" i="1"/>
  <c r="BS136" i="1"/>
  <c r="BX136" i="1"/>
  <c r="CC136" i="1"/>
  <c r="CG136" i="1"/>
  <c r="CK136" i="1"/>
  <c r="CO136" i="1"/>
  <c r="BD137" i="1"/>
  <c r="BI137" i="1"/>
  <c r="BN137" i="1"/>
  <c r="BS137" i="1"/>
  <c r="BX137" i="1"/>
  <c r="CC137" i="1"/>
  <c r="CG137" i="1"/>
  <c r="CK137" i="1"/>
  <c r="CO137" i="1"/>
  <c r="BD138" i="1"/>
  <c r="BI138" i="1"/>
  <c r="BN138" i="1"/>
  <c r="BS138" i="1"/>
  <c r="BX138" i="1"/>
  <c r="CC138" i="1"/>
  <c r="CG138" i="1"/>
  <c r="CK138" i="1"/>
  <c r="CO138" i="1"/>
  <c r="BD139" i="1"/>
  <c r="BI139" i="1"/>
  <c r="BN139" i="1"/>
  <c r="BS139" i="1"/>
  <c r="BX139" i="1"/>
  <c r="CC139" i="1"/>
  <c r="CG139" i="1"/>
  <c r="CK139" i="1"/>
  <c r="CO139" i="1"/>
  <c r="BD140" i="1"/>
  <c r="BI140" i="1"/>
  <c r="BN140" i="1"/>
  <c r="BS140" i="1"/>
  <c r="BX140" i="1"/>
  <c r="CC140" i="1"/>
  <c r="CG140" i="1"/>
  <c r="CK140" i="1"/>
  <c r="CO140" i="1"/>
  <c r="BD141" i="1"/>
  <c r="BI141" i="1"/>
  <c r="BN141" i="1"/>
  <c r="BS141" i="1"/>
  <c r="BX141" i="1"/>
  <c r="CC141" i="1"/>
  <c r="CG141" i="1"/>
  <c r="CK141" i="1"/>
  <c r="CO141" i="1"/>
  <c r="BD142" i="1"/>
  <c r="BI142" i="1"/>
  <c r="BN142" i="1"/>
  <c r="BS142" i="1"/>
  <c r="BX142" i="1"/>
  <c r="CC142" i="1"/>
  <c r="CG142" i="1"/>
  <c r="CK142" i="1"/>
  <c r="CO142" i="1"/>
  <c r="BD143" i="1"/>
  <c r="BI143" i="1"/>
  <c r="BN143" i="1"/>
  <c r="BS143" i="1"/>
  <c r="BX143" i="1"/>
  <c r="CC143" i="1"/>
  <c r="CG143" i="1"/>
  <c r="CK143" i="1"/>
  <c r="CO143" i="1"/>
  <c r="BD144" i="1"/>
  <c r="BI144" i="1"/>
  <c r="BN144" i="1"/>
  <c r="BS144" i="1"/>
  <c r="BX144" i="1"/>
  <c r="CC144" i="1"/>
  <c r="CG144" i="1"/>
  <c r="CK144" i="1"/>
  <c r="CO144" i="1"/>
  <c r="BD145" i="1"/>
  <c r="BI145" i="1"/>
  <c r="BN145" i="1"/>
  <c r="BS145" i="1"/>
  <c r="BX145" i="1"/>
  <c r="CC145" i="1"/>
  <c r="CG145" i="1"/>
  <c r="CK145" i="1"/>
  <c r="CO145" i="1"/>
  <c r="BD146" i="1"/>
  <c r="BI146" i="1"/>
  <c r="BN146" i="1"/>
  <c r="BS146" i="1"/>
  <c r="BX146" i="1"/>
  <c r="CC146" i="1"/>
  <c r="CG146" i="1"/>
  <c r="CK146" i="1"/>
  <c r="CO146" i="1"/>
  <c r="BD5" i="1" l="1"/>
  <c r="BI5" i="1"/>
  <c r="BN5" i="1"/>
  <c r="BS5" i="1"/>
  <c r="BX5" i="1"/>
  <c r="CC5" i="1"/>
  <c r="CG5" i="1"/>
  <c r="CK5" i="1"/>
  <c r="CO5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<sst xmlns="http://schemas.openxmlformats.org/spreadsheetml/2006/main" count="1272" uniqueCount="525">
  <si>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</si>
  <si>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</si>
  <si>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</si>
  <si>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</si>
  <si>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</si>
  <si>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</si>
  <si>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</si>
  <si>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</si>
  <si>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</si>
  <si>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</si>
  <si>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</si>
  <si>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</si>
  <si>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</si>
  <si>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</si>
  <si>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</si>
  <si>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</si>
  <si>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</si>
  <si>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</si>
  <si>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</si>
  <si>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</si>
  <si>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</si>
  <si>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</si>
  <si>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</si>
  <si>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</si>
  <si>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</si>
  <si>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</si>
  <si>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</si>
  <si>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</si>
  <si>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</si>
  <si>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</si>
  <si>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</si>
  <si>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</si>
  <si>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</si>
  <si>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</si>
  <si>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</si>
  <si>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</si>
  <si>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</si>
  <si>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</si>
  <si>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</si>
  <si>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</si>
  <si>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</si>
  <si>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</si>
  <si>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</si>
  <si>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</si>
  <si>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</si>
  <si>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</si>
  <si>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</si>
  <si>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</si>
  <si>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</si>
  <si>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</si>
  <si>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</si>
  <si>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</si>
  <si>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</si>
  <si>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</si>
  <si>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</si>
  <si>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</si>
  <si>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</si>
  <si>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</si>
  <si>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</si>
  <si>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</si>
  <si>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</si>
  <si>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</si>
  <si>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</si>
  <si>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</si>
  <si>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</si>
  <si>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</si>
  <si>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</si>
  <si>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</si>
  <si>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</si>
  <si>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</si>
  <si>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</si>
  <si>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</si>
  <si>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</si>
  <si>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</si>
  <si>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</si>
  <si>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</si>
  <si>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</si>
  <si>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</si>
  <si>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</si>
  <si>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</si>
  <si>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</si>
  <si>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</si>
  <si>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</si>
  <si>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</si>
  <si>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</si>
  <si>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</si>
  <si>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</si>
  <si>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</si>
  <si>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</si>
  <si>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</si>
  <si>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</si>
  <si>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</si>
  <si>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</si>
  <si>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</si>
  <si>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</si>
  <si>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</si>
  <si>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</si>
  <si>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</si>
  <si>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</si>
  <si>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</si>
  <si>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</si>
  <si>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</si>
  <si>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</si>
  <si>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</si>
  <si>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</si>
  <si>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</si>
  <si>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</si>
  <si>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</si>
  <si>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</si>
  <si>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</si>
  <si>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</si>
  <si>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</si>
  <si>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</si>
  <si>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</si>
  <si>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</si>
  <si>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</si>
  <si>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</si>
  <si>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</si>
  <si>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</si>
  <si>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</si>
  <si>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</si>
  <si>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</si>
  <si>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</si>
  <si>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</si>
  <si>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</si>
  <si>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</si>
  <si>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</si>
  <si>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</si>
  <si>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</si>
  <si>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</si>
  <si>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</si>
  <si>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</si>
  <si>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</si>
  <si>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</si>
  <si>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</si>
  <si>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</si>
  <si>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</si>
  <si>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</si>
  <si>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</si>
  <si>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</si>
  <si>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</si>
  <si>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</si>
  <si>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</si>
  <si>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</si>
  <si>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</si>
  <si>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</si>
  <si>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</si>
  <si>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</si>
  <si>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</si>
  <si>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</si>
  <si>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</si>
  <si>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</si>
  <si>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</si>
  <si>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</si>
  <si>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</si>
  <si>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</si>
  <si>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</si>
  <si>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</si>
  <si>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</si>
  <si>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</si>
  <si>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</si>
  <si>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</si>
  <si>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</si>
  <si>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</si>
  <si>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</si>
  <si>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</si>
  <si>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</si>
  <si>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</si>
  <si>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</si>
  <si>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</si>
  <si>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</si>
  <si>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</si>
  <si>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</si>
  <si>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</si>
  <si>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</si>
  <si>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</si>
  <si>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</si>
  <si>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</si>
  <si>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</si>
  <si>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</si>
  <si>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</si>
  <si>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</si>
  <si>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</si>
  <si>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</si>
  <si>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</si>
  <si>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</si>
  <si>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</si>
  <si>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</si>
  <si>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</si>
  <si>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</si>
  <si>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</si>
  <si>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</si>
  <si>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</si>
  <si>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</si>
  <si>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</si>
  <si>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</si>
  <si>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</si>
  <si>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</si>
  <si>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</si>
  <si>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</si>
  <si>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</si>
  <si>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</si>
  <si>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</si>
  <si>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</si>
  <si>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</si>
  <si>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</si>
  <si>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</si>
  <si>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</si>
  <si>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</si>
  <si>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</si>
  <si>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</si>
  <si>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</si>
  <si>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</si>
  <si>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</si>
  <si>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</si>
  <si>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</si>
  <si>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</si>
  <si>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</si>
  <si>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</si>
  <si>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</si>
  <si>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</si>
  <si>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</si>
  <si>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</si>
  <si>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</si>
  <si>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</si>
  <si>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</si>
  <si>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</si>
  <si>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</si>
  <si>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</si>
  <si>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</si>
  <si>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</si>
  <si>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</si>
  <si>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</si>
  <si>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</si>
  <si>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</si>
  <si>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</si>
  <si>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</si>
  <si>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</si>
  <si>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</si>
  <si>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</si>
  <si>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</si>
  <si>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</si>
  <si>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</si>
  <si>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</si>
  <si>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</si>
  <si>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</si>
  <si>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</si>
  <si>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</si>
  <si>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</si>
  <si>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</si>
  <si>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</si>
  <si>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</si>
  <si>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</si>
  <si>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</si>
  <si>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</si>
  <si>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</si>
  <si>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</si>
  <si>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</si>
  <si>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</si>
  <si>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</si>
  <si>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</si>
  <si>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</si>
  <si>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</si>
  <si>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</si>
  <si>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</si>
  <si>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</si>
  <si>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</si>
  <si>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</si>
  <si>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</si>
  <si>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</si>
  <si>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</si>
  <si>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</si>
  <si>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</si>
  <si>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</si>
  <si>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</si>
  <si>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</si>
  <si>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</si>
  <si>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</si>
  <si>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</si>
  <si>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</si>
  <si>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</si>
  <si>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</si>
  <si>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</si>
  <si>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</si>
  <si>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</si>
  <si>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</si>
  <si>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</si>
  <si>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</si>
  <si>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</si>
  <si>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</si>
  <si>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</si>
  <si>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</si>
  <si>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</si>
  <si>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</si>
  <si>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</si>
  <si>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</si>
  <si>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</si>
  <si>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</si>
  <si>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</si>
  <si>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</si>
  <si>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</si>
  <si>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</si>
  <si>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</si>
  <si>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</si>
  <si>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</si>
  <si>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</si>
  <si>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</si>
  <si>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</si>
  <si>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</si>
  <si>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</si>
  <si>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</si>
  <si>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</si>
  <si>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</si>
  <si>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</si>
  <si>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</si>
  <si>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</si>
  <si>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</si>
  <si>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</si>
  <si>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</si>
  <si>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</si>
  <si>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</si>
  <si>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</si>
  <si>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</si>
  <si>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</si>
  <si>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</si>
  <si>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</si>
  <si>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</si>
  <si>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</si>
  <si>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</si>
  <si>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</si>
  <si>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</si>
  <si>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</si>
  <si>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</si>
  <si>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</si>
  <si>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</si>
  <si>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</si>
  <si>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</si>
  <si>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</si>
  <si>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</si>
  <si>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</si>
  <si>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</si>
  <si>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</si>
  <si>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</si>
  <si>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</si>
  <si>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</si>
  <si>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</si>
  <si>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 xml:space="preserve">VarioPak 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</si>
  <si>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</si>
  <si>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</si>
  <si>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</si>
  <si>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</si>
  <si>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</si>
  <si>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</si>
  <si>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</si>
  <si>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</si>
  <si>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</si>
  <si>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</si>
  <si>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</si>
  <si>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</si>
  <si>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</si>
  <si>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</si>
  <si>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</si>
  <si>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</si>
  <si>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</si>
  <si>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</si>
  <si>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</si>
  <si>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</si>
  <si>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</si>
  <si>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</si>
  <si>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</si>
  <si>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</si>
  <si>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</si>
  <si>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</si>
  <si>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</si>
  <si>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</si>
  <si>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</si>
  <si>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</si>
  <si>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</si>
  <si>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</si>
  <si>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</si>
  <si>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</si>
  <si>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</si>
  <si>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</si>
  <si>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</si>
  <si>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</si>
  <si>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</si>
  <si>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</si>
  <si>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</si>
  <si>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</si>
  <si>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</si>
  <si>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</si>
  <si>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</si>
  <si>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</si>
  <si>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</si>
  <si>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</si>
  <si>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</si>
  <si>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</si>
  <si>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</si>
  <si>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</si>
  <si>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 xml:space="preserve">Week Of: 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</si>
  <si>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</si>
  <si>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</si>
  <si>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</si>
  <si>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</si>
  <si>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</si>
  <si>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</si>
  <si>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</si>
  <si>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</si>
  <si>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</si>
  <si>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</si>
  <si>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</si>
  <si>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</si>
  <si>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</si>
  <si>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</si>
  <si>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</si>
  <si>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</si>
  <si>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</si>
  <si>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</si>
  <si>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</si>
  <si>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</si>
  <si>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</si>
  <si>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</si>
  <si>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</si>
  <si>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</si>
  <si>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</si>
  <si>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</si>
  <si>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</si>
  <si>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</si>
  <si>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</si>
  <si>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</si>
  <si>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</si>
  <si>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</si>
  <si>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</si>
  <si>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</si>
  <si>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</si>
  <si>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</si>
  <si>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</si>
  <si>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</si>
  <si>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</si>
  <si>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</si>
  <si>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</si>
  <si>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</si>
  <si>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</si>
  <si>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</si>
  <si>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</si>
  <si>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</si>
  <si>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</si>
  <si>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</si>
  <si>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</si>
  <si>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</si>
  <si>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</si>
  <si>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</si>
  <si>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</si>
  <si>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</si>
  <si>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</si>
  <si>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New Hire2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</si>
  <si>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</si>
  <si>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</si>
  <si>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</si>
  <si>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</si>
  <si>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</si>
  <si>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</si>
  <si>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</si>
  <si>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</si>
  <si>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</si>
  <si>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</si>
  <si>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</si>
  <si>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</si>
  <si>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</si>
  <si>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</si>
  <si>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</si>
  <si>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</si>
  <si>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</si>
  <si>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</si>
  <si>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</si>
  <si>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</si>
  <si>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</si>
  <si>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</si>
  <si>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</si>
  <si>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</si>
  <si>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</si>
  <si>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</si>
  <si>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</si>
  <si>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</si>
  <si>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</si>
  <si>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</si>
  <si>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</si>
  <si>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</si>
  <si>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</si>
  <si>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</si>
  <si>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</si>
  <si>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</si>
  <si>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</si>
  <si>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</si>
  <si>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</si>
  <si>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</si>
  <si>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</si>
  <si>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</si>
  <si>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</si>
  <si>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</si>
  <si>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</si>
  <si>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</si>
  <si>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</si>
  <si>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</si>
  <si>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</si>
  <si>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</si>
  <si>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</si>
  <si>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</si>
  <si>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</si>
  <si>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</si>
  <si>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</si>
  <si>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</si>
  <si>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</si>
  <si>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</si>
  <si>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</si>
  <si>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</si>
  <si>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</si>
  <si>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</si>
  <si>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</si>
  <si>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</si>
  <si>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</si>
  <si>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New Hire3</t>
  </si>
  <si>
    <t>POUCH PACKER</t>
  </si>
  <si>
    <t>POUCH FILLER</t>
  </si>
  <si>
    <t>PROMO/PROMO 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</si>
</sst>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44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3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1" fontId="7" fillId="0" borderId="26" xfId="0" applyNumberFormat="1" applyFont="1" applyFill="1" applyBorder="1" applyAlignment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8" fillId="4" borderId="21" xfId="0" applyFont="1" applyFill="1" applyBorder="1" applyAlignment="1">
      <alignment horizontal="left"/>
    </xf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5" borderId="0" xfId="0" applyNumberFormat="1" applyFill="1"/>
    <xf numFmtId="0" fontId="2" fillId="15" borderId="10" xfId="0" applyNumberFormat="1" applyFont="1" applyFill="1" applyBorder="1" applyAlignment="1">
      <alignment horizontal="center" vertical="center" textRotation="255" wrapText="1"/>
    </xf>
    <xf numFmtId="0" fontId="2" fillId="15" borderId="18" xfId="0" applyNumberFormat="1" applyFont="1" applyFill="1" applyBorder="1" applyAlignment="1">
      <alignment horizontal="center" vertical="center" textRotation="255" wrapText="1"/>
    </xf>
    <xf numFmtId="0" fontId="2" fillId="15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0" fontId="1" fillId="0" borderId="1" xfId="0" applyFont="1" applyBorder="1" applyAlignment="1">
      <alignment vertical="center"/>
    </xf>
    <xf numFmtId="0" fontId="0" fillId="0" borderId="15" xfId="0" applyNumberFormat="1" applyBorder="1" applyAlignment="1">
      <alignment horizontal="center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3" fillId="6" borderId="9" xfId="0" applyNumberFormat="1" applyFont="1" applyFill="1" applyBorder="1" applyAlignment="1">
      <alignment horizontal="center" vertical="center" textRotation="255" wrapText="1"/>
    </xf>
    <xf numFmtId="0" fontId="3" fillId="6" borderId="17" xfId="0" applyNumberFormat="1" applyFont="1" applyFill="1" applyBorder="1" applyAlignment="1">
      <alignment horizontal="center" vertical="center" textRotation="255" wrapText="1"/>
    </xf>
    <xf numFmtId="0" fontId="3" fillId="6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/>
    </xf>
    <xf numFmtId="0" fontId="2" fillId="6" borderId="17" xfId="0" applyNumberFormat="1" applyFont="1" applyFill="1" applyBorder="1" applyAlignment="1">
      <alignment horizontal="center" vertical="center" textRotation="255"/>
    </xf>
    <xf numFmtId="0" fontId="2" fillId="6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6" borderId="10" xfId="0" applyNumberFormat="1" applyFont="1" applyFill="1" applyBorder="1" applyAlignment="1">
      <alignment horizontal="center" vertical="center" textRotation="255" wrapText="1"/>
    </xf>
    <xf numFmtId="0" fontId="2" fillId="6" borderId="18" xfId="0" applyNumberFormat="1" applyFont="1" applyFill="1" applyBorder="1" applyAlignment="1">
      <alignment horizontal="center" vertical="center" textRotation="255" wrapText="1"/>
    </xf>
    <xf numFmtId="0" fontId="2" fillId="6" borderId="33" xfId="0" applyNumberFormat="1" applyFont="1" applyFill="1" applyBorder="1" applyAlignment="1">
      <alignment horizontal="center" vertical="center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" fillId="7" borderId="9" xfId="0" applyNumberFormat="1" applyFont="1" applyFill="1" applyBorder="1" applyAlignment="1">
      <alignment horizontal="center" vertical="center" textRotation="255" wrapText="1"/>
    </xf>
    <xf numFmtId="0" fontId="2" fillId="7" borderId="17" xfId="0" applyNumberFormat="1" applyFont="1" applyFill="1" applyBorder="1" applyAlignment="1">
      <alignment horizontal="center" vertical="center" textRotation="255" wrapText="1"/>
    </xf>
    <xf numFmtId="0" fontId="2" fillId="7" borderId="32" xfId="0" applyNumberFormat="1" applyFont="1" applyFill="1" applyBorder="1" applyAlignment="1">
      <alignment horizontal="center" vertical="center" textRotation="255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1" fillId="11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22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199"/>
  <sheetViews>
    <sheetView tabSelected="1" zoomScale="74" zoomScaleNormal="70" workbookViewId="0">
      <pane ySplit="4" topLeftCell="A135" activePane="bottomLeft" state="frozen"/>
      <selection pane="bottomLeft" activeCell="F147" sqref="F147"/>
    </sheetView>
  </sheetViews>
  <sheetFormatPr defaultColWidth="9.109375" defaultRowHeight="14.4" outlineLevelCol="1" x14ac:dyDescent="0.3"/>
  <cols>
    <col min="1" max="1" width="11.88671875" style="19" customWidth="1"/>
    <col min="2" max="2" width="12" style="19" customWidth="1"/>
    <col min="3" max="3" width="10.33203125" style="21" customWidth="1"/>
    <col min="4" max="5" width="19.109375" style="22" customWidth="1"/>
    <col min="6" max="6" width="16.109375" style="22" customWidth="1"/>
    <col min="7" max="9" width="12.6640625" customWidth="1"/>
    <col min="10" max="10" width="13.33203125" customWidth="1"/>
    <col min="11" max="11" width="13" style="1" hidden="1" customWidth="1" outlineLevel="1"/>
    <col min="12" max="13" width="6.5546875" style="2" hidden="1" customWidth="1" outlineLevel="1"/>
    <col min="14" max="17" width="5.109375" style="2" hidden="1" customWidth="1" outlineLevel="1"/>
    <col min="18" max="18" width="7.5546875" style="2" hidden="1" customWidth="1" outlineLevel="1"/>
    <col min="19" max="29" width="5.109375" style="2" hidden="1" customWidth="1" outlineLevel="1"/>
    <col min="30" max="30" width="5.6640625" style="2" hidden="1" customWidth="1" outlineLevel="1"/>
    <col min="31" max="31" width="7.44140625" style="2" hidden="1" customWidth="1" outlineLevel="1"/>
    <col min="32" max="42" width="5.109375" style="2" hidden="1" customWidth="1" outlineLevel="1"/>
    <col min="43" max="49" width="5.109375" style="152" hidden="1" customWidth="1" outlineLevel="1"/>
    <col min="50" max="53" width="5.109375" style="2" hidden="1" customWidth="1" outlineLevel="1"/>
    <col min="54" max="54" width="9.109375" style="31" customWidth="1" collapsed="1"/>
    <col min="55" max="57" width="9.109375" style="31" hidden="1" customWidth="1" outlineLevel="1"/>
    <col min="58" max="58" width="9.109375" style="31" collapsed="1"/>
    <col min="59" max="59" width="9.109375" style="31"/>
    <col min="60" max="62" width="9.109375" style="31" hidden="1" customWidth="1" outlineLevel="1"/>
    <col min="63" max="63" width="9.109375" style="31" collapsed="1"/>
    <col min="64" max="64" width="9.109375" style="31"/>
    <col min="65" max="67" width="9.109375" style="31" hidden="1" customWidth="1" outlineLevel="1"/>
    <col min="68" max="68" width="9.109375" style="31" collapsed="1"/>
    <col min="69" max="69" width="9.109375" style="31"/>
    <col min="70" max="72" width="9.109375" style="31" hidden="1" customWidth="1" outlineLevel="1"/>
    <col min="73" max="73" width="9.109375" style="31" collapsed="1"/>
    <col min="74" max="74" width="9.109375" style="31"/>
    <col min="75" max="77" width="9.109375" style="31" hidden="1" customWidth="1" outlineLevel="1"/>
    <col min="78" max="78" width="9.109375" style="31" collapsed="1"/>
    <col min="79" max="79" width="9.109375" style="31"/>
    <col min="80" max="82" width="9.109375" style="31" hidden="1" customWidth="1" outlineLevel="1"/>
    <col min="83" max="83" width="9.109375" style="31" collapsed="1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66" t="s">
        <v>399</v>
      </c>
      <c r="B1" s="166"/>
      <c r="C1" s="166"/>
      <c r="D1" s="166"/>
      <c r="E1" s="166"/>
      <c r="F1" s="166"/>
      <c r="G1" s="166"/>
      <c r="H1" s="166"/>
      <c r="I1" s="166"/>
      <c r="J1" s="166"/>
      <c r="AQ1" s="156"/>
      <c r="AR1" s="156"/>
      <c r="AS1" s="156"/>
      <c r="AT1" s="156"/>
      <c r="AU1" s="156"/>
      <c r="AV1" s="156"/>
      <c r="AW1" s="156"/>
      <c r="BB1" s="198" t="s">
        <v>0</v>
      </c>
      <c r="BC1" s="199"/>
      <c r="BD1" s="199"/>
      <c r="BE1" s="200"/>
      <c r="BF1" s="201" t="s">
        <v>1</v>
      </c>
      <c r="BG1" s="202"/>
      <c r="BH1" s="202"/>
      <c r="BI1" s="202"/>
      <c r="BJ1" s="203"/>
      <c r="BK1" s="201" t="s">
        <v>2</v>
      </c>
      <c r="BL1" s="202"/>
      <c r="BM1" s="202"/>
      <c r="BN1" s="202"/>
      <c r="BO1" s="203"/>
      <c r="BP1" s="201" t="s">
        <v>3</v>
      </c>
      <c r="BQ1" s="202"/>
      <c r="BR1" s="202"/>
      <c r="BS1" s="202"/>
      <c r="BT1" s="203"/>
      <c r="BU1" s="198" t="s">
        <v>4</v>
      </c>
      <c r="BV1" s="199"/>
      <c r="BW1" s="199"/>
      <c r="BX1" s="199"/>
      <c r="BY1" s="200"/>
      <c r="BZ1" s="201" t="s">
        <v>5</v>
      </c>
      <c r="CA1" s="202"/>
      <c r="CB1" s="202"/>
      <c r="CC1" s="202"/>
      <c r="CD1" s="203"/>
      <c r="CE1" s="201" t="s">
        <v>6</v>
      </c>
      <c r="CF1" s="202"/>
      <c r="CG1" s="202"/>
      <c r="CH1" s="202"/>
      <c r="CI1" s="201" t="s">
        <v>7</v>
      </c>
      <c r="CJ1" s="202"/>
      <c r="CK1" s="202"/>
      <c r="CL1" s="202"/>
      <c r="CM1" s="201" t="s">
        <v>8</v>
      </c>
      <c r="CN1" s="202"/>
      <c r="CO1" s="202"/>
      <c r="CP1" s="202"/>
      <c r="CQ1" s="3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</row>
    <row r="2" spans="1:126" ht="131.25" customHeight="1" thickBot="1" x14ac:dyDescent="0.35">
      <c r="A2" s="204" t="s">
        <v>9</v>
      </c>
      <c r="B2" s="207" t="s">
        <v>10</v>
      </c>
      <c r="C2" s="210" t="s">
        <v>11</v>
      </c>
      <c r="D2" s="213" t="s">
        <v>12</v>
      </c>
      <c r="E2" s="213" t="s">
        <v>13</v>
      </c>
      <c r="F2" s="177" t="s">
        <v>14</v>
      </c>
      <c r="G2" s="219" t="s">
        <v>15</v>
      </c>
      <c r="H2" s="222" t="s">
        <v>16</v>
      </c>
      <c r="I2" s="225" t="s">
        <v>17</v>
      </c>
      <c r="J2" s="228" t="s">
        <v>18</v>
      </c>
      <c r="K2" s="216" t="s">
        <v>19</v>
      </c>
      <c r="L2" s="186" t="s">
        <v>20</v>
      </c>
      <c r="M2" s="186" t="s">
        <v>453</v>
      </c>
      <c r="N2" s="189" t="s">
        <v>21</v>
      </c>
      <c r="O2" s="180" t="s">
        <v>22</v>
      </c>
      <c r="P2" s="192" t="s">
        <v>24</v>
      </c>
      <c r="Q2" s="195" t="s">
        <v>25</v>
      </c>
      <c r="R2" s="192" t="s">
        <v>498</v>
      </c>
      <c r="S2" s="192" t="s">
        <v>26</v>
      </c>
      <c r="T2" s="149" t="s">
        <v>473</v>
      </c>
      <c r="U2" s="192" t="s">
        <v>27</v>
      </c>
      <c r="V2" s="180" t="s">
        <v>28</v>
      </c>
      <c r="W2" s="180" t="s">
        <v>29</v>
      </c>
      <c r="X2" s="183" t="s">
        <v>405</v>
      </c>
      <c r="Y2" s="183" t="s">
        <v>404</v>
      </c>
      <c r="Z2" s="180" t="s">
        <v>30</v>
      </c>
      <c r="AA2" s="146" t="s">
        <v>474</v>
      </c>
      <c r="AB2" s="180" t="s">
        <v>31</v>
      </c>
      <c r="AC2" s="180" t="s">
        <v>32</v>
      </c>
      <c r="AD2" s="180" t="s">
        <v>33</v>
      </c>
      <c r="AE2" s="183" t="s">
        <v>524</v>
      </c>
      <c r="AF2" s="183" t="s">
        <v>34</v>
      </c>
      <c r="AG2" s="237" t="s">
        <v>163</v>
      </c>
      <c r="AH2" s="237" t="s">
        <v>164</v>
      </c>
      <c r="AI2" s="237" t="s">
        <v>165</v>
      </c>
      <c r="AJ2" s="237" t="s">
        <v>166</v>
      </c>
      <c r="AK2" s="180" t="s">
        <v>475</v>
      </c>
      <c r="AL2" s="180" t="s">
        <v>476</v>
      </c>
      <c r="AM2" s="180" t="s">
        <v>346</v>
      </c>
      <c r="AN2" s="180" t="s">
        <v>477</v>
      </c>
      <c r="AO2" s="231" t="s">
        <v>478</v>
      </c>
      <c r="AP2" s="237" t="s">
        <v>167</v>
      </c>
      <c r="AQ2" s="153" t="s">
        <v>479</v>
      </c>
      <c r="AR2" s="153" t="s">
        <v>480</v>
      </c>
      <c r="AS2" s="153" t="s">
        <v>481</v>
      </c>
      <c r="AT2" s="153" t="s">
        <v>482</v>
      </c>
      <c r="AU2" s="153" t="s">
        <v>484</v>
      </c>
      <c r="AV2" s="153" t="s">
        <v>485</v>
      </c>
      <c r="AW2" s="153" t="s">
        <v>483</v>
      </c>
      <c r="AX2" s="234" t="s">
        <v>35</v>
      </c>
      <c r="AY2" s="234" t="s">
        <v>523</v>
      </c>
      <c r="AZ2" s="240" t="s">
        <v>493</v>
      </c>
      <c r="BA2" s="234" t="s">
        <v>522</v>
      </c>
      <c r="BB2" s="168" t="s">
        <v>36</v>
      </c>
      <c r="BC2" s="171" t="s">
        <v>37</v>
      </c>
      <c r="BD2" s="171" t="s">
        <v>38</v>
      </c>
      <c r="BE2" s="174" t="s">
        <v>39</v>
      </c>
      <c r="BF2" s="168" t="s">
        <v>40</v>
      </c>
      <c r="BG2" s="171" t="s">
        <v>41</v>
      </c>
      <c r="BH2" s="171" t="s">
        <v>37</v>
      </c>
      <c r="BI2" s="171" t="s">
        <v>38</v>
      </c>
      <c r="BJ2" s="174" t="s">
        <v>39</v>
      </c>
      <c r="BK2" s="168" t="s">
        <v>40</v>
      </c>
      <c r="BL2" s="171" t="s">
        <v>41</v>
      </c>
      <c r="BM2" s="171" t="s">
        <v>37</v>
      </c>
      <c r="BN2" s="171" t="s">
        <v>38</v>
      </c>
      <c r="BO2" s="174" t="s">
        <v>39</v>
      </c>
      <c r="BP2" s="168" t="s">
        <v>40</v>
      </c>
      <c r="BQ2" s="171" t="s">
        <v>41</v>
      </c>
      <c r="BR2" s="171" t="s">
        <v>37</v>
      </c>
      <c r="BS2" s="171" t="s">
        <v>38</v>
      </c>
      <c r="BT2" s="174" t="s">
        <v>39</v>
      </c>
      <c r="BU2" s="168" t="s">
        <v>40</v>
      </c>
      <c r="BV2" s="171" t="s">
        <v>41</v>
      </c>
      <c r="BW2" s="171" t="s">
        <v>37</v>
      </c>
      <c r="BX2" s="171" t="s">
        <v>38</v>
      </c>
      <c r="BY2" s="174" t="s">
        <v>39</v>
      </c>
      <c r="BZ2" s="168" t="s">
        <v>40</v>
      </c>
      <c r="CA2" s="171" t="s">
        <v>41</v>
      </c>
      <c r="CB2" s="171" t="s">
        <v>37</v>
      </c>
      <c r="CC2" s="171" t="s">
        <v>38</v>
      </c>
      <c r="CD2" s="174" t="s">
        <v>39</v>
      </c>
      <c r="CE2" s="168" t="s">
        <v>36</v>
      </c>
      <c r="CF2" s="171" t="s">
        <v>37</v>
      </c>
      <c r="CG2" s="171" t="s">
        <v>38</v>
      </c>
      <c r="CH2" s="171" t="s">
        <v>39</v>
      </c>
      <c r="CI2" s="168" t="s">
        <v>36</v>
      </c>
      <c r="CJ2" s="171" t="s">
        <v>37</v>
      </c>
      <c r="CK2" s="171" t="s">
        <v>38</v>
      </c>
      <c r="CL2" s="171" t="s">
        <v>39</v>
      </c>
      <c r="CM2" s="168" t="s">
        <v>36</v>
      </c>
      <c r="CN2" s="171" t="s">
        <v>37</v>
      </c>
      <c r="CO2" s="171" t="s">
        <v>38</v>
      </c>
      <c r="CP2" s="171" t="s">
        <v>39</v>
      </c>
      <c r="CQ2" s="4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</row>
    <row r="3" spans="1:126" ht="24.75" customHeight="1" x14ac:dyDescent="0.3">
      <c r="A3" s="205"/>
      <c r="B3" s="208"/>
      <c r="C3" s="211"/>
      <c r="D3" s="214"/>
      <c r="E3" s="214"/>
      <c r="F3" s="178"/>
      <c r="G3" s="220"/>
      <c r="H3" s="223"/>
      <c r="I3" s="226"/>
      <c r="J3" s="229"/>
      <c r="K3" s="217"/>
      <c r="L3" s="187"/>
      <c r="M3" s="187"/>
      <c r="N3" s="190"/>
      <c r="O3" s="181"/>
      <c r="P3" s="193"/>
      <c r="Q3" s="196"/>
      <c r="R3" s="193"/>
      <c r="S3" s="193"/>
      <c r="T3" s="150"/>
      <c r="U3" s="193"/>
      <c r="V3" s="181"/>
      <c r="W3" s="181"/>
      <c r="X3" s="184"/>
      <c r="Y3" s="184"/>
      <c r="Z3" s="181"/>
      <c r="AA3" s="147"/>
      <c r="AB3" s="181"/>
      <c r="AC3" s="181"/>
      <c r="AD3" s="181"/>
      <c r="AE3" s="184"/>
      <c r="AF3" s="184"/>
      <c r="AG3" s="238"/>
      <c r="AH3" s="238"/>
      <c r="AI3" s="238"/>
      <c r="AJ3" s="238"/>
      <c r="AK3" s="181"/>
      <c r="AL3" s="181"/>
      <c r="AM3" s="181"/>
      <c r="AN3" s="181"/>
      <c r="AO3" s="232"/>
      <c r="AP3" s="238"/>
      <c r="AQ3" s="154"/>
      <c r="AR3" s="154"/>
      <c r="AS3" s="154"/>
      <c r="AT3" s="154"/>
      <c r="AU3" s="154"/>
      <c r="AV3" s="154"/>
      <c r="AW3" s="154"/>
      <c r="AX3" s="235"/>
      <c r="AY3" s="235"/>
      <c r="AZ3" s="241"/>
      <c r="BA3" s="235"/>
      <c r="BB3" s="169"/>
      <c r="BC3" s="172"/>
      <c r="BD3" s="172"/>
      <c r="BE3" s="175"/>
      <c r="BF3" s="169"/>
      <c r="BG3" s="172"/>
      <c r="BH3" s="172"/>
      <c r="BI3" s="172"/>
      <c r="BJ3" s="175"/>
      <c r="BK3" s="169"/>
      <c r="BL3" s="172"/>
      <c r="BM3" s="172"/>
      <c r="BN3" s="172"/>
      <c r="BO3" s="175"/>
      <c r="BP3" s="169"/>
      <c r="BQ3" s="172"/>
      <c r="BR3" s="172"/>
      <c r="BS3" s="172"/>
      <c r="BT3" s="175"/>
      <c r="BU3" s="169"/>
      <c r="BV3" s="172"/>
      <c r="BW3" s="172"/>
      <c r="BX3" s="172"/>
      <c r="BY3" s="175"/>
      <c r="BZ3" s="169"/>
      <c r="CA3" s="172"/>
      <c r="CB3" s="172"/>
      <c r="CC3" s="172"/>
      <c r="CD3" s="175"/>
      <c r="CE3" s="169"/>
      <c r="CF3" s="172"/>
      <c r="CG3" s="172"/>
      <c r="CH3" s="172"/>
      <c r="CI3" s="169"/>
      <c r="CJ3" s="172"/>
      <c r="CK3" s="172"/>
      <c r="CL3" s="172"/>
      <c r="CM3" s="169"/>
      <c r="CN3" s="172"/>
      <c r="CO3" s="172"/>
      <c r="CP3" s="172"/>
      <c r="CQ3" s="62"/>
    </row>
    <row r="4" spans="1:126" ht="13.5" customHeight="1" thickBot="1" x14ac:dyDescent="0.35">
      <c r="A4" s="206"/>
      <c r="B4" s="209"/>
      <c r="C4" s="212"/>
      <c r="D4" s="215"/>
      <c r="E4" s="215"/>
      <c r="F4" s="179"/>
      <c r="G4" s="221"/>
      <c r="H4" s="224"/>
      <c r="I4" s="227"/>
      <c r="J4" s="230"/>
      <c r="K4" s="218"/>
      <c r="L4" s="188"/>
      <c r="M4" s="188"/>
      <c r="N4" s="191"/>
      <c r="O4" s="182"/>
      <c r="P4" s="194"/>
      <c r="Q4" s="197"/>
      <c r="R4" s="194"/>
      <c r="S4" s="194"/>
      <c r="T4" s="151"/>
      <c r="U4" s="194"/>
      <c r="V4" s="182"/>
      <c r="W4" s="182"/>
      <c r="X4" s="185"/>
      <c r="Y4" s="185"/>
      <c r="Z4" s="182"/>
      <c r="AA4" s="148"/>
      <c r="AB4" s="182"/>
      <c r="AC4" s="182"/>
      <c r="AD4" s="182"/>
      <c r="AE4" s="185"/>
      <c r="AF4" s="185"/>
      <c r="AG4" s="239"/>
      <c r="AH4" s="239"/>
      <c r="AI4" s="239"/>
      <c r="AJ4" s="239"/>
      <c r="AK4" s="182"/>
      <c r="AL4" s="182"/>
      <c r="AM4" s="182"/>
      <c r="AN4" s="182"/>
      <c r="AO4" s="233"/>
      <c r="AP4" s="239"/>
      <c r="AQ4" s="155"/>
      <c r="AR4" s="155"/>
      <c r="AS4" s="155"/>
      <c r="AT4" s="155"/>
      <c r="AU4" s="155"/>
      <c r="AV4" s="155"/>
      <c r="AW4" s="155"/>
      <c r="AX4" s="236"/>
      <c r="AY4" s="236"/>
      <c r="AZ4" s="242"/>
      <c r="BA4" s="236"/>
      <c r="BB4" s="170"/>
      <c r="BC4" s="173"/>
      <c r="BD4" s="173"/>
      <c r="BE4" s="176"/>
      <c r="BF4" s="170"/>
      <c r="BG4" s="173"/>
      <c r="BH4" s="173"/>
      <c r="BI4" s="173"/>
      <c r="BJ4" s="176"/>
      <c r="BK4" s="170"/>
      <c r="BL4" s="173"/>
      <c r="BM4" s="173"/>
      <c r="BN4" s="173"/>
      <c r="BO4" s="176"/>
      <c r="BP4" s="170"/>
      <c r="BQ4" s="173"/>
      <c r="BR4" s="173"/>
      <c r="BS4" s="173"/>
      <c r="BT4" s="176"/>
      <c r="BU4" s="170"/>
      <c r="BV4" s="173"/>
      <c r="BW4" s="173"/>
      <c r="BX4" s="173"/>
      <c r="BY4" s="176"/>
      <c r="BZ4" s="170"/>
      <c r="CA4" s="173"/>
      <c r="CB4" s="173"/>
      <c r="CC4" s="173"/>
      <c r="CD4" s="176"/>
      <c r="CE4" s="170"/>
      <c r="CF4" s="173"/>
      <c r="CG4" s="173"/>
      <c r="CH4" s="173"/>
      <c r="CI4" s="170"/>
      <c r="CJ4" s="173"/>
      <c r="CK4" s="173"/>
      <c r="CL4" s="173"/>
      <c r="CM4" s="170"/>
      <c r="CN4" s="173"/>
      <c r="CO4" s="173"/>
      <c r="CP4" s="173"/>
      <c r="CQ4" s="62"/>
    </row>
    <row r="5" spans="1:126" s="7" customFormat="1" ht="15" customHeight="1" x14ac:dyDescent="0.3">
      <c r="A5" s="134">
        <v>80</v>
      </c>
      <c r="B5" s="123" t="s">
        <v>43</v>
      </c>
      <c r="C5" s="14">
        <v>7096688</v>
      </c>
      <c r="D5" s="14" t="s">
        <v>205</v>
      </c>
      <c r="E5" s="15" t="s">
        <v>206</v>
      </c>
      <c r="F5" s="167">
        <v>1</v>
      </c>
      <c r="G5" s="25">
        <v>0</v>
      </c>
      <c r="H5" s="9">
        <v>0</v>
      </c>
      <c r="I5" s="26">
        <v>2</v>
      </c>
      <c r="J5" s="30">
        <v>0</v>
      </c>
      <c r="K5" s="29">
        <v>0</v>
      </c>
      <c r="L5" s="29">
        <v>0</v>
      </c>
      <c r="M5" s="29">
        <v>0</v>
      </c>
      <c r="N5" s="29">
        <v>1</v>
      </c>
      <c r="O5" s="29">
        <v>1</v>
      </c>
      <c r="P5" s="158">
        <v>1</v>
      </c>
      <c r="Q5" s="158">
        <v>1</v>
      </c>
      <c r="R5" s="158">
        <v>0</v>
      </c>
      <c r="S5" s="158">
        <v>0</v>
      </c>
      <c r="T5" s="158">
        <v>0</v>
      </c>
      <c r="U5" s="158">
        <v>0</v>
      </c>
      <c r="V5" s="29">
        <v>0</v>
      </c>
      <c r="W5" s="29">
        <v>0</v>
      </c>
      <c r="X5" s="159">
        <v>0</v>
      </c>
      <c r="Y5" s="159">
        <v>0</v>
      </c>
      <c r="Z5" s="29">
        <v>0</v>
      </c>
      <c r="AA5" s="29">
        <v>0</v>
      </c>
      <c r="AB5" s="29">
        <v>0</v>
      </c>
      <c r="AC5" s="29">
        <v>0</v>
      </c>
      <c r="AD5" s="29">
        <v>0</v>
      </c>
      <c r="AE5" s="159">
        <v>1</v>
      </c>
      <c r="AF5" s="159">
        <v>1</v>
      </c>
      <c r="AG5" s="160">
        <v>0</v>
      </c>
      <c r="AH5" s="160">
        <v>0</v>
      </c>
      <c r="AI5" s="160">
        <v>0</v>
      </c>
      <c r="AJ5" s="160">
        <v>0</v>
      </c>
      <c r="AK5" s="29">
        <v>0</v>
      </c>
      <c r="AL5" s="29">
        <v>0</v>
      </c>
      <c r="AM5" s="29">
        <v>0</v>
      </c>
      <c r="AN5" s="29">
        <v>0</v>
      </c>
      <c r="AO5" s="29">
        <v>0</v>
      </c>
      <c r="AP5" s="160">
        <v>0</v>
      </c>
      <c r="AQ5" s="161">
        <v>0</v>
      </c>
      <c r="AR5" s="161">
        <v>0</v>
      </c>
      <c r="AS5" s="161">
        <v>0</v>
      </c>
      <c r="AT5" s="161">
        <v>0</v>
      </c>
      <c r="AU5" s="161">
        <v>0</v>
      </c>
      <c r="AV5" s="161">
        <v>0</v>
      </c>
      <c r="AW5" s="161">
        <v>0</v>
      </c>
      <c r="AX5" s="162">
        <v>0</v>
      </c>
      <c r="AY5" s="162">
        <v>0</v>
      </c>
      <c r="AZ5" s="162">
        <v>0</v>
      </c>
      <c r="BA5" s="162">
        <v>0</v>
      </c>
      <c r="BB5" s="32"/>
      <c r="BC5" s="63"/>
      <c r="BD5" s="63">
        <f t="shared" ref="BD5" si="0">BC5*2.5</f>
        <v>0</v>
      </c>
      <c r="BE5" s="63"/>
      <c r="BF5" s="32"/>
      <c r="BG5" s="32"/>
      <c r="BH5" s="63"/>
      <c r="BI5" s="64">
        <f t="shared" ref="BI5" si="1">IF(BH5&lt;4,BH5*1.5,BH5*1.625)</f>
        <v>0</v>
      </c>
      <c r="BJ5" s="63"/>
      <c r="BK5" s="32"/>
      <c r="BL5" s="32"/>
      <c r="BM5" s="33"/>
      <c r="BN5" s="33">
        <f t="shared" ref="BN5" si="2">IF(BM5&lt;4,BM5*1.5,BM5*1.625)</f>
        <v>0</v>
      </c>
      <c r="BO5" s="33"/>
      <c r="BP5" s="32"/>
      <c r="BQ5" s="32"/>
      <c r="BR5" s="33"/>
      <c r="BS5" s="33">
        <f t="shared" ref="BS5" si="3">IF(BR5&lt;4,BR5*1.5,BR5*1.625)</f>
        <v>0</v>
      </c>
      <c r="BT5" s="33"/>
      <c r="BU5" s="32"/>
      <c r="BV5" s="32"/>
      <c r="BW5" s="63"/>
      <c r="BX5" s="63">
        <f t="shared" ref="BX5" si="4">IF(BW5&lt;4,BW5*1.5,BW5*1.625)</f>
        <v>0</v>
      </c>
      <c r="BY5" s="63"/>
      <c r="BZ5" s="32"/>
      <c r="CA5" s="32"/>
      <c r="CB5" s="33"/>
      <c r="CC5" s="33">
        <f t="shared" ref="CC5" si="5">IF(CB5&lt;4,CB5*1.5,CB5*1.625)</f>
        <v>0</v>
      </c>
      <c r="CD5" s="33"/>
      <c r="CE5" s="32"/>
      <c r="CF5" s="33"/>
      <c r="CG5" s="33">
        <f t="shared" ref="CG5" si="6">IF(CF5&lt;4,CF5*1.5,CF5*1.625)</f>
        <v>0</v>
      </c>
      <c r="CH5" s="33"/>
      <c r="CI5" s="32"/>
      <c r="CJ5" s="33"/>
      <c r="CK5" s="33">
        <f t="shared" ref="CK5" si="7">IF(CJ5&gt;4,CJ5*1.5,CJ5*1.625)</f>
        <v>0</v>
      </c>
      <c r="CL5" s="33"/>
      <c r="CM5" s="32"/>
      <c r="CN5" s="23"/>
      <c r="CO5" s="5">
        <f t="shared" ref="CO5" si="8">CN5*2.5</f>
        <v>0</v>
      </c>
      <c r="CP5" s="10"/>
      <c r="CQ5" s="6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</row>
    <row r="6" spans="1:126" s="7" customFormat="1" ht="15" customHeight="1" x14ac:dyDescent="0.3">
      <c r="A6" s="134">
        <v>79</v>
      </c>
      <c r="B6" s="123" t="s">
        <v>43</v>
      </c>
      <c r="C6" s="14">
        <v>7096314</v>
      </c>
      <c r="D6" s="14" t="s">
        <v>207</v>
      </c>
      <c r="E6" s="15" t="s">
        <v>133</v>
      </c>
      <c r="F6" s="167">
        <v>2</v>
      </c>
      <c r="G6" s="25">
        <v>0</v>
      </c>
      <c r="H6" s="9">
        <v>0</v>
      </c>
      <c r="I6" s="26">
        <v>0</v>
      </c>
      <c r="J6" s="30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158">
        <v>0</v>
      </c>
      <c r="Q6" s="158">
        <v>1</v>
      </c>
      <c r="R6" s="158">
        <v>1</v>
      </c>
      <c r="S6" s="158">
        <v>1</v>
      </c>
      <c r="T6" s="158">
        <v>0</v>
      </c>
      <c r="U6" s="158">
        <v>0</v>
      </c>
      <c r="V6" s="29">
        <v>1</v>
      </c>
      <c r="W6" s="29">
        <v>1</v>
      </c>
      <c r="X6" s="159">
        <v>1</v>
      </c>
      <c r="Y6" s="159">
        <v>1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159">
        <v>1</v>
      </c>
      <c r="AF6" s="159">
        <v>1</v>
      </c>
      <c r="AG6" s="160">
        <v>0</v>
      </c>
      <c r="AH6" s="160">
        <v>0</v>
      </c>
      <c r="AI6" s="160">
        <v>0</v>
      </c>
      <c r="AJ6" s="160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160">
        <v>0</v>
      </c>
      <c r="AQ6" s="161">
        <v>0</v>
      </c>
      <c r="AR6" s="161">
        <v>0</v>
      </c>
      <c r="AS6" s="161">
        <v>0</v>
      </c>
      <c r="AT6" s="161">
        <v>0</v>
      </c>
      <c r="AU6" s="161">
        <v>0</v>
      </c>
      <c r="AV6" s="161">
        <v>0</v>
      </c>
      <c r="AW6" s="161">
        <v>0</v>
      </c>
      <c r="AX6" s="162">
        <v>0</v>
      </c>
      <c r="AY6" s="162">
        <v>0</v>
      </c>
      <c r="AZ6" s="162">
        <v>0</v>
      </c>
      <c r="BA6" s="162">
        <v>1</v>
      </c>
      <c r="BB6" s="32"/>
      <c r="BC6" s="63"/>
      <c r="BD6" s="63">
        <f t="shared" ref="BD6:BD69" si="9">BC6*2.5</f>
        <v>0</v>
      </c>
      <c r="BE6" s="63"/>
      <c r="BF6" s="32"/>
      <c r="BG6" s="32"/>
      <c r="BH6" s="63"/>
      <c r="BI6" s="64">
        <f t="shared" ref="BI6:BI69" si="10">IF(BH6&lt;4,BH6*1.5,BH6*1.625)</f>
        <v>0</v>
      </c>
      <c r="BJ6" s="63"/>
      <c r="BK6" s="32"/>
      <c r="BL6" s="32"/>
      <c r="BM6" s="33"/>
      <c r="BN6" s="33">
        <f t="shared" ref="BN6:BN69" si="11">IF(BM6&lt;4,BM6*1.5,BM6*1.625)</f>
        <v>0</v>
      </c>
      <c r="BO6" s="33"/>
      <c r="BP6" s="32"/>
      <c r="BQ6" s="32"/>
      <c r="BR6" s="33"/>
      <c r="BS6" s="33">
        <f t="shared" ref="BS6:BS69" si="12">IF(BR6&lt;4,BR6*1.5,BR6*1.625)</f>
        <v>0</v>
      </c>
      <c r="BT6" s="33"/>
      <c r="BU6" s="32"/>
      <c r="BV6" s="32"/>
      <c r="BW6" s="63"/>
      <c r="BX6" s="63">
        <f t="shared" ref="BX6:BX69" si="13">IF(BW6&lt;4,BW6*1.5,BW6*1.625)</f>
        <v>0</v>
      </c>
      <c r="BY6" s="63"/>
      <c r="BZ6" s="32"/>
      <c r="CA6" s="32"/>
      <c r="CB6" s="33"/>
      <c r="CC6" s="33">
        <f t="shared" ref="CC6:CC69" si="14">IF(CB6&lt;4,CB6*1.5,CB6*1.625)</f>
        <v>0</v>
      </c>
      <c r="CD6" s="33"/>
      <c r="CE6" s="32"/>
      <c r="CF6" s="33"/>
      <c r="CG6" s="33">
        <f t="shared" ref="CG6:CG69" si="15">IF(CF6&lt;4,CF6*1.5,CF6*1.625)</f>
        <v>0</v>
      </c>
      <c r="CH6" s="33"/>
      <c r="CI6" s="32"/>
      <c r="CJ6" s="33"/>
      <c r="CK6" s="33">
        <f t="shared" ref="CK6:CK69" si="16">IF(CJ6&gt;4,CJ6*1.5,CJ6*1.625)</f>
        <v>0</v>
      </c>
      <c r="CL6" s="33"/>
      <c r="CM6" s="32"/>
      <c r="CN6" s="23"/>
      <c r="CO6" s="5">
        <f t="shared" ref="CO6:CO69" si="17">CN6*2.5</f>
        <v>0</v>
      </c>
      <c r="CP6" s="10"/>
      <c r="CQ6" s="6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</row>
    <row r="7" spans="1:126" s="7" customFormat="1" ht="15" customHeight="1" x14ac:dyDescent="0.3">
      <c r="A7" s="43">
        <v>268</v>
      </c>
      <c r="B7" s="38" t="s">
        <v>521</v>
      </c>
      <c r="C7" s="36">
        <v>7104132</v>
      </c>
      <c r="D7" s="36" t="s">
        <v>503</v>
      </c>
      <c r="E7" s="137" t="s">
        <v>504</v>
      </c>
      <c r="F7" s="167">
        <v>3</v>
      </c>
      <c r="G7" s="25">
        <v>0</v>
      </c>
      <c r="H7" s="9">
        <v>0</v>
      </c>
      <c r="I7" s="26">
        <v>0</v>
      </c>
      <c r="J7" s="30">
        <v>0</v>
      </c>
      <c r="K7" s="29">
        <v>1</v>
      </c>
      <c r="L7" s="29">
        <v>0</v>
      </c>
      <c r="M7" s="29">
        <v>0</v>
      </c>
      <c r="N7" s="29">
        <v>0</v>
      </c>
      <c r="O7" s="29">
        <v>0</v>
      </c>
      <c r="P7" s="158">
        <v>0</v>
      </c>
      <c r="Q7" s="158">
        <v>1</v>
      </c>
      <c r="R7" s="158">
        <v>1</v>
      </c>
      <c r="S7" s="158">
        <v>0</v>
      </c>
      <c r="T7" s="158">
        <v>0</v>
      </c>
      <c r="U7" s="158">
        <v>0</v>
      </c>
      <c r="V7" s="29">
        <v>0</v>
      </c>
      <c r="W7" s="29">
        <v>0</v>
      </c>
      <c r="X7" s="159">
        <v>0</v>
      </c>
      <c r="Y7" s="15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159">
        <v>0</v>
      </c>
      <c r="AF7" s="159">
        <v>0</v>
      </c>
      <c r="AG7" s="160">
        <v>0</v>
      </c>
      <c r="AH7" s="160">
        <v>0</v>
      </c>
      <c r="AI7" s="160">
        <v>0</v>
      </c>
      <c r="AJ7" s="160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160">
        <v>0</v>
      </c>
      <c r="AQ7" s="161">
        <v>0</v>
      </c>
      <c r="AR7" s="161">
        <v>0</v>
      </c>
      <c r="AS7" s="161">
        <v>0</v>
      </c>
      <c r="AT7" s="161">
        <v>0</v>
      </c>
      <c r="AU7" s="161">
        <v>0</v>
      </c>
      <c r="AV7" s="161">
        <v>0</v>
      </c>
      <c r="AW7" s="161">
        <v>0</v>
      </c>
      <c r="AX7" s="162">
        <v>0</v>
      </c>
      <c r="AY7" s="162">
        <v>0</v>
      </c>
      <c r="AZ7" s="162">
        <v>0</v>
      </c>
      <c r="BA7" s="162">
        <v>0</v>
      </c>
      <c r="BB7" s="32"/>
      <c r="BC7" s="63"/>
      <c r="BD7" s="63">
        <f t="shared" si="9"/>
        <v>0</v>
      </c>
      <c r="BE7" s="63"/>
      <c r="BF7" s="32"/>
      <c r="BG7" s="32"/>
      <c r="BH7" s="63"/>
      <c r="BI7" s="64">
        <f t="shared" si="10"/>
        <v>0</v>
      </c>
      <c r="BJ7" s="63"/>
      <c r="BK7" s="32"/>
      <c r="BL7" s="32"/>
      <c r="BM7" s="33"/>
      <c r="BN7" s="33">
        <f t="shared" si="11"/>
        <v>0</v>
      </c>
      <c r="BO7" s="33"/>
      <c r="BP7" s="32"/>
      <c r="BQ7" s="32"/>
      <c r="BR7" s="33"/>
      <c r="BS7" s="33">
        <f t="shared" si="12"/>
        <v>0</v>
      </c>
      <c r="BT7" s="33"/>
      <c r="BU7" s="32"/>
      <c r="BV7" s="32"/>
      <c r="BW7" s="63"/>
      <c r="BX7" s="63">
        <f t="shared" si="13"/>
        <v>0</v>
      </c>
      <c r="BY7" s="63"/>
      <c r="BZ7" s="32"/>
      <c r="CA7" s="32"/>
      <c r="CB7" s="33"/>
      <c r="CC7" s="33">
        <f t="shared" si="14"/>
        <v>0</v>
      </c>
      <c r="CD7" s="33"/>
      <c r="CE7" s="32"/>
      <c r="CF7" s="33"/>
      <c r="CG7" s="33">
        <f t="shared" si="15"/>
        <v>0</v>
      </c>
      <c r="CH7" s="33"/>
      <c r="CI7" s="32"/>
      <c r="CJ7" s="33"/>
      <c r="CK7" s="33">
        <f t="shared" si="16"/>
        <v>0</v>
      </c>
      <c r="CL7" s="33"/>
      <c r="CM7" s="32"/>
      <c r="CN7" s="23"/>
      <c r="CO7" s="5">
        <f t="shared" si="17"/>
        <v>0</v>
      </c>
      <c r="CP7" s="10"/>
      <c r="CQ7" s="6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</row>
    <row r="8" spans="1:126" s="7" customFormat="1" ht="15" customHeight="1" x14ac:dyDescent="0.3">
      <c r="A8" s="138">
        <v>128</v>
      </c>
      <c r="B8" s="35" t="s">
        <v>200</v>
      </c>
      <c r="C8" s="14">
        <v>7402422</v>
      </c>
      <c r="D8" s="14" t="s">
        <v>438</v>
      </c>
      <c r="E8" s="163" t="s">
        <v>439</v>
      </c>
      <c r="F8" s="167">
        <v>4</v>
      </c>
      <c r="G8" s="25">
        <v>0</v>
      </c>
      <c r="H8" s="9">
        <v>0</v>
      </c>
      <c r="I8" s="26">
        <v>0</v>
      </c>
      <c r="J8" s="30">
        <v>0</v>
      </c>
      <c r="K8" s="29">
        <v>1</v>
      </c>
      <c r="L8" s="29">
        <v>0</v>
      </c>
      <c r="M8" s="29">
        <v>1</v>
      </c>
      <c r="N8" s="29">
        <v>0</v>
      </c>
      <c r="O8" s="29">
        <v>0</v>
      </c>
      <c r="P8" s="158">
        <v>0</v>
      </c>
      <c r="Q8" s="158">
        <v>0</v>
      </c>
      <c r="R8" s="158">
        <v>0</v>
      </c>
      <c r="S8" s="158">
        <v>0</v>
      </c>
      <c r="T8" s="158">
        <v>0</v>
      </c>
      <c r="U8" s="158">
        <v>0</v>
      </c>
      <c r="V8" s="29">
        <v>0</v>
      </c>
      <c r="W8" s="29">
        <v>0</v>
      </c>
      <c r="X8" s="159">
        <v>0</v>
      </c>
      <c r="Y8" s="159">
        <v>0</v>
      </c>
      <c r="Z8" s="29">
        <v>0</v>
      </c>
      <c r="AA8" s="29">
        <v>0</v>
      </c>
      <c r="AB8" s="29">
        <v>1</v>
      </c>
      <c r="AC8" s="29">
        <v>0</v>
      </c>
      <c r="AD8" s="29">
        <v>0</v>
      </c>
      <c r="AE8" s="159">
        <v>1</v>
      </c>
      <c r="AF8" s="159">
        <v>1</v>
      </c>
      <c r="AG8" s="160">
        <v>0</v>
      </c>
      <c r="AH8" s="160">
        <v>0</v>
      </c>
      <c r="AI8" s="160">
        <v>0</v>
      </c>
      <c r="AJ8" s="160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160">
        <v>0</v>
      </c>
      <c r="AQ8" s="161">
        <v>0</v>
      </c>
      <c r="AR8" s="161">
        <v>0</v>
      </c>
      <c r="AS8" s="161">
        <v>0</v>
      </c>
      <c r="AT8" s="161">
        <v>0</v>
      </c>
      <c r="AU8" s="161">
        <v>0</v>
      </c>
      <c r="AV8" s="161">
        <v>0</v>
      </c>
      <c r="AW8" s="161">
        <v>0</v>
      </c>
      <c r="AX8" s="162">
        <v>0</v>
      </c>
      <c r="AY8" s="162">
        <v>0</v>
      </c>
      <c r="AZ8" s="162">
        <v>0</v>
      </c>
      <c r="BA8" s="162">
        <v>1</v>
      </c>
      <c r="BB8" s="32"/>
      <c r="BC8" s="63"/>
      <c r="BD8" s="63">
        <f t="shared" si="9"/>
        <v>0</v>
      </c>
      <c r="BE8" s="63"/>
      <c r="BF8" s="32"/>
      <c r="BG8" s="32"/>
      <c r="BH8" s="63"/>
      <c r="BI8" s="64">
        <f t="shared" si="10"/>
        <v>0</v>
      </c>
      <c r="BJ8" s="63"/>
      <c r="BK8" s="32"/>
      <c r="BL8" s="32"/>
      <c r="BM8" s="33"/>
      <c r="BN8" s="33">
        <f t="shared" si="11"/>
        <v>0</v>
      </c>
      <c r="BO8" s="33"/>
      <c r="BP8" s="32"/>
      <c r="BQ8" s="32"/>
      <c r="BR8" s="33"/>
      <c r="BS8" s="33">
        <f t="shared" si="12"/>
        <v>0</v>
      </c>
      <c r="BT8" s="33"/>
      <c r="BU8" s="32"/>
      <c r="BV8" s="32"/>
      <c r="BW8" s="63"/>
      <c r="BX8" s="63">
        <f t="shared" si="13"/>
        <v>0</v>
      </c>
      <c r="BY8" s="63"/>
      <c r="BZ8" s="32"/>
      <c r="CA8" s="32"/>
      <c r="CB8" s="33"/>
      <c r="CC8" s="33">
        <f t="shared" si="14"/>
        <v>0</v>
      </c>
      <c r="CD8" s="33"/>
      <c r="CE8" s="32"/>
      <c r="CF8" s="33"/>
      <c r="CG8" s="33">
        <f t="shared" si="15"/>
        <v>0</v>
      </c>
      <c r="CH8" s="33"/>
      <c r="CI8" s="32"/>
      <c r="CJ8" s="33"/>
      <c r="CK8" s="33">
        <f t="shared" si="16"/>
        <v>0</v>
      </c>
      <c r="CL8" s="33"/>
      <c r="CM8" s="32"/>
      <c r="CN8" s="23"/>
      <c r="CO8" s="5">
        <f t="shared" si="17"/>
        <v>0</v>
      </c>
      <c r="CP8" s="10"/>
      <c r="CQ8" s="6"/>
      <c r="CR8" s="31"/>
      <c r="CS8" s="124"/>
      <c r="CT8" s="124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</row>
    <row r="9" spans="1:126" s="7" customFormat="1" ht="15" customHeight="1" x14ac:dyDescent="0.3">
      <c r="A9" s="43">
        <v>142</v>
      </c>
      <c r="B9" s="38" t="s">
        <v>455</v>
      </c>
      <c r="C9" s="36">
        <v>7402042</v>
      </c>
      <c r="D9" s="36" t="s">
        <v>456</v>
      </c>
      <c r="E9" s="137" t="s">
        <v>457</v>
      </c>
      <c r="F9" s="167">
        <v>5</v>
      </c>
      <c r="G9" s="25">
        <v>0</v>
      </c>
      <c r="H9" s="9">
        <v>0</v>
      </c>
      <c r="I9" s="26">
        <v>0</v>
      </c>
      <c r="J9" s="30">
        <v>0</v>
      </c>
      <c r="K9" s="29">
        <v>1</v>
      </c>
      <c r="L9" s="29">
        <v>0</v>
      </c>
      <c r="M9" s="29">
        <v>1</v>
      </c>
      <c r="N9" s="29">
        <v>0</v>
      </c>
      <c r="O9" s="29">
        <v>0</v>
      </c>
      <c r="P9" s="158">
        <v>0</v>
      </c>
      <c r="Q9" s="158">
        <v>1</v>
      </c>
      <c r="R9" s="158">
        <v>0</v>
      </c>
      <c r="S9" s="158">
        <v>0</v>
      </c>
      <c r="T9" s="158">
        <v>0</v>
      </c>
      <c r="U9" s="158">
        <v>0</v>
      </c>
      <c r="V9" s="29">
        <v>0</v>
      </c>
      <c r="W9" s="29">
        <v>0</v>
      </c>
      <c r="X9" s="159">
        <v>1</v>
      </c>
      <c r="Y9" s="159">
        <v>1</v>
      </c>
      <c r="Z9" s="29">
        <v>0</v>
      </c>
      <c r="AA9" s="29">
        <v>0</v>
      </c>
      <c r="AB9" s="29">
        <v>0</v>
      </c>
      <c r="AC9" s="29">
        <v>0</v>
      </c>
      <c r="AD9" s="29">
        <v>0</v>
      </c>
      <c r="AE9" s="159">
        <v>0</v>
      </c>
      <c r="AF9" s="159">
        <v>1</v>
      </c>
      <c r="AG9" s="160">
        <v>0</v>
      </c>
      <c r="AH9" s="160">
        <v>0</v>
      </c>
      <c r="AI9" s="160">
        <v>0</v>
      </c>
      <c r="AJ9" s="160">
        <v>0</v>
      </c>
      <c r="AK9" s="29">
        <v>0</v>
      </c>
      <c r="AL9" s="29">
        <v>0</v>
      </c>
      <c r="AM9" s="29">
        <v>0</v>
      </c>
      <c r="AN9" s="29">
        <v>0</v>
      </c>
      <c r="AO9" s="29">
        <v>0</v>
      </c>
      <c r="AP9" s="160">
        <v>0</v>
      </c>
      <c r="AQ9" s="161">
        <v>0</v>
      </c>
      <c r="AR9" s="161">
        <v>0</v>
      </c>
      <c r="AS9" s="161">
        <v>1</v>
      </c>
      <c r="AT9" s="161">
        <v>0</v>
      </c>
      <c r="AU9" s="161">
        <v>0</v>
      </c>
      <c r="AV9" s="161">
        <v>0</v>
      </c>
      <c r="AW9" s="161">
        <v>0</v>
      </c>
      <c r="AX9" s="162">
        <v>0</v>
      </c>
      <c r="AY9" s="162">
        <v>0</v>
      </c>
      <c r="AZ9" s="162">
        <v>0</v>
      </c>
      <c r="BA9" s="162">
        <v>1</v>
      </c>
      <c r="BB9" s="32"/>
      <c r="BC9" s="63"/>
      <c r="BD9" s="63">
        <f t="shared" si="9"/>
        <v>0</v>
      </c>
      <c r="BE9" s="63"/>
      <c r="BF9" s="32"/>
      <c r="BG9" s="32"/>
      <c r="BH9" s="63"/>
      <c r="BI9" s="64">
        <f t="shared" si="10"/>
        <v>0</v>
      </c>
      <c r="BJ9" s="63"/>
      <c r="BK9" s="32"/>
      <c r="BL9" s="32"/>
      <c r="BM9" s="33"/>
      <c r="BN9" s="33">
        <f t="shared" si="11"/>
        <v>0</v>
      </c>
      <c r="BO9" s="33"/>
      <c r="BP9" s="32"/>
      <c r="BQ9" s="32"/>
      <c r="BR9" s="33"/>
      <c r="BS9" s="33">
        <f t="shared" si="12"/>
        <v>0</v>
      </c>
      <c r="BT9" s="33"/>
      <c r="BU9" s="32"/>
      <c r="BV9" s="32"/>
      <c r="BW9" s="63"/>
      <c r="BX9" s="63">
        <f t="shared" si="13"/>
        <v>0</v>
      </c>
      <c r="BY9" s="63"/>
      <c r="BZ9" s="32"/>
      <c r="CA9" s="32"/>
      <c r="CB9" s="33"/>
      <c r="CC9" s="33">
        <f t="shared" si="14"/>
        <v>0</v>
      </c>
      <c r="CD9" s="33"/>
      <c r="CE9" s="32"/>
      <c r="CF9" s="33"/>
      <c r="CG9" s="33">
        <f t="shared" si="15"/>
        <v>0</v>
      </c>
      <c r="CH9" s="33"/>
      <c r="CI9" s="32"/>
      <c r="CJ9" s="33"/>
      <c r="CK9" s="33">
        <f t="shared" si="16"/>
        <v>0</v>
      </c>
      <c r="CL9" s="33"/>
      <c r="CM9" s="32"/>
      <c r="CN9" s="23"/>
      <c r="CO9" s="5">
        <f t="shared" si="17"/>
        <v>0</v>
      </c>
      <c r="CP9" s="10"/>
      <c r="CQ9" s="6"/>
      <c r="CR9" s="31"/>
      <c r="CS9" s="124"/>
      <c r="CT9" s="124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</row>
    <row r="10" spans="1:126" s="7" customFormat="1" ht="15" customHeight="1" x14ac:dyDescent="0.3">
      <c r="A10" s="134">
        <v>48</v>
      </c>
      <c r="B10" s="123" t="s">
        <v>43</v>
      </c>
      <c r="C10" s="12">
        <v>7093513</v>
      </c>
      <c r="D10" s="13" t="s">
        <v>44</v>
      </c>
      <c r="E10" s="13" t="s">
        <v>45</v>
      </c>
      <c r="F10" s="167">
        <v>6</v>
      </c>
      <c r="G10" s="25">
        <v>0</v>
      </c>
      <c r="H10" s="9">
        <v>0</v>
      </c>
      <c r="I10" s="26">
        <v>0</v>
      </c>
      <c r="J10" s="30">
        <v>0</v>
      </c>
      <c r="K10" s="29">
        <v>1</v>
      </c>
      <c r="L10" s="29">
        <v>0</v>
      </c>
      <c r="M10" s="29">
        <v>0</v>
      </c>
      <c r="N10" s="29">
        <v>1</v>
      </c>
      <c r="O10" s="29">
        <v>0</v>
      </c>
      <c r="P10" s="158">
        <v>0</v>
      </c>
      <c r="Q10" s="158">
        <v>1</v>
      </c>
      <c r="R10" s="158">
        <v>0</v>
      </c>
      <c r="S10" s="158">
        <v>0</v>
      </c>
      <c r="T10" s="158">
        <v>0</v>
      </c>
      <c r="U10" s="158">
        <v>1</v>
      </c>
      <c r="V10" s="29">
        <v>0</v>
      </c>
      <c r="W10" s="29">
        <v>0</v>
      </c>
      <c r="X10" s="159">
        <v>0</v>
      </c>
      <c r="Y10" s="15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159">
        <v>1</v>
      </c>
      <c r="AF10" s="159">
        <v>1</v>
      </c>
      <c r="AG10" s="160">
        <v>0</v>
      </c>
      <c r="AH10" s="160">
        <v>0</v>
      </c>
      <c r="AI10" s="160">
        <v>0</v>
      </c>
      <c r="AJ10" s="160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160">
        <v>0</v>
      </c>
      <c r="AQ10" s="161">
        <v>0</v>
      </c>
      <c r="AR10" s="161">
        <v>0</v>
      </c>
      <c r="AS10" s="161">
        <v>0</v>
      </c>
      <c r="AT10" s="161">
        <v>0</v>
      </c>
      <c r="AU10" s="161">
        <v>0</v>
      </c>
      <c r="AV10" s="161">
        <v>0</v>
      </c>
      <c r="AW10" s="161">
        <v>1</v>
      </c>
      <c r="AX10" s="162">
        <v>0</v>
      </c>
      <c r="AY10" s="162">
        <v>0</v>
      </c>
      <c r="AZ10" s="162">
        <v>0</v>
      </c>
      <c r="BA10" s="162">
        <v>1</v>
      </c>
      <c r="BB10" s="32"/>
      <c r="BC10" s="63"/>
      <c r="BD10" s="63">
        <f t="shared" si="9"/>
        <v>0</v>
      </c>
      <c r="BE10" s="63"/>
      <c r="BF10" s="32"/>
      <c r="BG10" s="32"/>
      <c r="BH10" s="63"/>
      <c r="BI10" s="64">
        <f t="shared" si="10"/>
        <v>0</v>
      </c>
      <c r="BJ10" s="63"/>
      <c r="BK10" s="32"/>
      <c r="BL10" s="32"/>
      <c r="BM10" s="33"/>
      <c r="BN10" s="33">
        <f t="shared" si="11"/>
        <v>0</v>
      </c>
      <c r="BO10" s="33"/>
      <c r="BP10" s="32"/>
      <c r="BQ10" s="32"/>
      <c r="BR10" s="33"/>
      <c r="BS10" s="33">
        <f t="shared" si="12"/>
        <v>0</v>
      </c>
      <c r="BT10" s="33"/>
      <c r="BU10" s="32"/>
      <c r="BV10" s="32"/>
      <c r="BW10" s="63"/>
      <c r="BX10" s="63">
        <f t="shared" si="13"/>
        <v>0</v>
      </c>
      <c r="BY10" s="63"/>
      <c r="BZ10" s="32"/>
      <c r="CA10" s="32"/>
      <c r="CB10" s="33"/>
      <c r="CC10" s="33">
        <f t="shared" si="14"/>
        <v>0</v>
      </c>
      <c r="CD10" s="33"/>
      <c r="CE10" s="32"/>
      <c r="CF10" s="33"/>
      <c r="CG10" s="33">
        <f t="shared" si="15"/>
        <v>0</v>
      </c>
      <c r="CH10" s="33"/>
      <c r="CI10" s="32"/>
      <c r="CJ10" s="33"/>
      <c r="CK10" s="33">
        <f t="shared" si="16"/>
        <v>0</v>
      </c>
      <c r="CL10" s="33"/>
      <c r="CM10" s="32"/>
      <c r="CN10" s="23"/>
      <c r="CO10" s="5">
        <f t="shared" si="17"/>
        <v>0</v>
      </c>
      <c r="CP10" s="10"/>
      <c r="CQ10" s="6"/>
      <c r="CR10" s="31"/>
      <c r="CS10" s="124"/>
      <c r="CT10" s="124"/>
      <c r="CU10" s="31"/>
      <c r="CV10" s="124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</row>
    <row r="11" spans="1:126" s="7" customFormat="1" ht="15" customHeight="1" x14ac:dyDescent="0.3">
      <c r="A11" s="134">
        <v>74</v>
      </c>
      <c r="B11" s="34" t="s">
        <v>343</v>
      </c>
      <c r="C11" s="14">
        <v>7092979</v>
      </c>
      <c r="D11" s="14" t="s">
        <v>203</v>
      </c>
      <c r="E11" s="15" t="s">
        <v>204</v>
      </c>
      <c r="F11" s="167">
        <v>7</v>
      </c>
      <c r="G11" s="25">
        <v>0</v>
      </c>
      <c r="H11" s="9">
        <v>0</v>
      </c>
      <c r="I11" s="26">
        <v>0</v>
      </c>
      <c r="J11" s="30">
        <v>0</v>
      </c>
      <c r="K11" s="29">
        <v>1</v>
      </c>
      <c r="L11" s="29">
        <v>0</v>
      </c>
      <c r="M11" s="29">
        <v>0</v>
      </c>
      <c r="N11" s="29">
        <v>1</v>
      </c>
      <c r="O11" s="29">
        <v>0</v>
      </c>
      <c r="P11" s="158">
        <v>0</v>
      </c>
      <c r="Q11" s="158">
        <v>0</v>
      </c>
      <c r="R11" s="158">
        <v>0</v>
      </c>
      <c r="S11" s="158">
        <v>0</v>
      </c>
      <c r="T11" s="158">
        <v>0</v>
      </c>
      <c r="U11" s="158">
        <v>0</v>
      </c>
      <c r="V11" s="29">
        <v>0</v>
      </c>
      <c r="W11" s="29">
        <v>0</v>
      </c>
      <c r="X11" s="159">
        <v>0</v>
      </c>
      <c r="Y11" s="159">
        <v>1</v>
      </c>
      <c r="Z11" s="29">
        <v>1</v>
      </c>
      <c r="AA11" s="29">
        <v>0</v>
      </c>
      <c r="AB11" s="29">
        <v>0</v>
      </c>
      <c r="AC11" s="29">
        <v>0</v>
      </c>
      <c r="AD11" s="29">
        <v>0</v>
      </c>
      <c r="AE11" s="159">
        <v>1</v>
      </c>
      <c r="AF11" s="159">
        <v>1</v>
      </c>
      <c r="AG11" s="160">
        <v>0</v>
      </c>
      <c r="AH11" s="160">
        <v>0</v>
      </c>
      <c r="AI11" s="160">
        <v>0</v>
      </c>
      <c r="AJ11" s="160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160">
        <v>0</v>
      </c>
      <c r="AQ11" s="161">
        <v>0</v>
      </c>
      <c r="AR11" s="161">
        <v>0</v>
      </c>
      <c r="AS11" s="161">
        <v>0</v>
      </c>
      <c r="AT11" s="161">
        <v>0</v>
      </c>
      <c r="AU11" s="161">
        <v>0</v>
      </c>
      <c r="AV11" s="161">
        <v>0</v>
      </c>
      <c r="AW11" s="161">
        <v>0</v>
      </c>
      <c r="AX11" s="162">
        <v>0</v>
      </c>
      <c r="AY11" s="162">
        <v>0</v>
      </c>
      <c r="AZ11" s="162">
        <v>0</v>
      </c>
      <c r="BA11" s="162">
        <v>1</v>
      </c>
      <c r="BB11" s="32"/>
      <c r="BC11" s="63"/>
      <c r="BD11" s="63">
        <f t="shared" si="9"/>
        <v>0</v>
      </c>
      <c r="BE11" s="63"/>
      <c r="BF11" s="32"/>
      <c r="BG11" s="32"/>
      <c r="BH11" s="63"/>
      <c r="BI11" s="64">
        <f t="shared" si="10"/>
        <v>0</v>
      </c>
      <c r="BJ11" s="63"/>
      <c r="BK11" s="32"/>
      <c r="BL11" s="32"/>
      <c r="BM11" s="33"/>
      <c r="BN11" s="33">
        <f t="shared" si="11"/>
        <v>0</v>
      </c>
      <c r="BO11" s="33"/>
      <c r="BP11" s="32"/>
      <c r="BQ11" s="32"/>
      <c r="BR11" s="33"/>
      <c r="BS11" s="33">
        <f t="shared" si="12"/>
        <v>0</v>
      </c>
      <c r="BT11" s="33"/>
      <c r="BU11" s="32"/>
      <c r="BV11" s="32"/>
      <c r="BW11" s="63"/>
      <c r="BX11" s="63">
        <f t="shared" si="13"/>
        <v>0</v>
      </c>
      <c r="BY11" s="63"/>
      <c r="BZ11" s="32"/>
      <c r="CA11" s="32"/>
      <c r="CB11" s="33"/>
      <c r="CC11" s="33">
        <f t="shared" si="14"/>
        <v>0</v>
      </c>
      <c r="CD11" s="33"/>
      <c r="CE11" s="32"/>
      <c r="CF11" s="33"/>
      <c r="CG11" s="33">
        <f t="shared" si="15"/>
        <v>0</v>
      </c>
      <c r="CH11" s="33"/>
      <c r="CI11" s="32"/>
      <c r="CJ11" s="33"/>
      <c r="CK11" s="33">
        <f t="shared" si="16"/>
        <v>0</v>
      </c>
      <c r="CL11" s="33"/>
      <c r="CM11" s="32"/>
      <c r="CN11" s="23"/>
      <c r="CO11" s="5">
        <f t="shared" si="17"/>
        <v>0</v>
      </c>
      <c r="CP11" s="10"/>
      <c r="CQ11" s="6"/>
      <c r="CR11" s="31"/>
      <c r="CS11" s="124"/>
      <c r="CT11" s="124"/>
      <c r="CU11" s="31"/>
      <c r="CV11" s="124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</row>
    <row r="12" spans="1:126" s="7" customFormat="1" ht="15" customHeight="1" x14ac:dyDescent="0.3">
      <c r="A12" s="134">
        <v>5</v>
      </c>
      <c r="B12" s="42" t="s">
        <v>46</v>
      </c>
      <c r="C12" s="14">
        <v>7027489</v>
      </c>
      <c r="D12" s="16" t="s">
        <v>47</v>
      </c>
      <c r="E12" s="15" t="s">
        <v>48</v>
      </c>
      <c r="F12" s="167">
        <v>8</v>
      </c>
      <c r="G12" s="25">
        <v>0</v>
      </c>
      <c r="H12" s="9">
        <v>0</v>
      </c>
      <c r="I12" s="26">
        <v>0</v>
      </c>
      <c r="J12" s="30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158">
        <v>0</v>
      </c>
      <c r="Q12" s="158">
        <v>0</v>
      </c>
      <c r="R12" s="158">
        <v>0</v>
      </c>
      <c r="S12" s="158">
        <v>0</v>
      </c>
      <c r="T12" s="158">
        <v>0</v>
      </c>
      <c r="U12" s="158">
        <v>0</v>
      </c>
      <c r="V12" s="29">
        <v>0</v>
      </c>
      <c r="W12" s="29">
        <v>0</v>
      </c>
      <c r="X12" s="159">
        <v>0</v>
      </c>
      <c r="Y12" s="15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159">
        <v>0</v>
      </c>
      <c r="AF12" s="159">
        <v>0</v>
      </c>
      <c r="AG12" s="160">
        <v>0</v>
      </c>
      <c r="AH12" s="160">
        <v>0</v>
      </c>
      <c r="AI12" s="160">
        <v>0</v>
      </c>
      <c r="AJ12" s="160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160">
        <v>0</v>
      </c>
      <c r="AQ12" s="161">
        <v>0</v>
      </c>
      <c r="AR12" s="161">
        <v>0</v>
      </c>
      <c r="AS12" s="161">
        <v>0</v>
      </c>
      <c r="AT12" s="161">
        <v>0</v>
      </c>
      <c r="AU12" s="161">
        <v>0</v>
      </c>
      <c r="AV12" s="161">
        <v>0</v>
      </c>
      <c r="AW12" s="161">
        <v>0</v>
      </c>
      <c r="AX12" s="162">
        <v>0</v>
      </c>
      <c r="AY12" s="162">
        <v>0</v>
      </c>
      <c r="AZ12" s="162">
        <v>0</v>
      </c>
      <c r="BA12" s="162">
        <v>0</v>
      </c>
      <c r="BB12" s="32"/>
      <c r="BC12" s="63"/>
      <c r="BD12" s="63">
        <f t="shared" si="9"/>
        <v>0</v>
      </c>
      <c r="BE12" s="63"/>
      <c r="BF12" s="32"/>
      <c r="BG12" s="32"/>
      <c r="BH12" s="63"/>
      <c r="BI12" s="64">
        <f t="shared" si="10"/>
        <v>0</v>
      </c>
      <c r="BJ12" s="63"/>
      <c r="BK12" s="32"/>
      <c r="BL12" s="32"/>
      <c r="BM12" s="33"/>
      <c r="BN12" s="33">
        <f t="shared" si="11"/>
        <v>0</v>
      </c>
      <c r="BO12" s="33"/>
      <c r="BP12" s="32"/>
      <c r="BQ12" s="32"/>
      <c r="BR12" s="33"/>
      <c r="BS12" s="33">
        <f t="shared" si="12"/>
        <v>0</v>
      </c>
      <c r="BT12" s="33"/>
      <c r="BU12" s="32"/>
      <c r="BV12" s="32"/>
      <c r="BW12" s="63"/>
      <c r="BX12" s="63">
        <f t="shared" si="13"/>
        <v>0</v>
      </c>
      <c r="BY12" s="63"/>
      <c r="BZ12" s="32"/>
      <c r="CA12" s="32"/>
      <c r="CB12" s="33"/>
      <c r="CC12" s="33">
        <f t="shared" si="14"/>
        <v>0</v>
      </c>
      <c r="CD12" s="33"/>
      <c r="CE12" s="32"/>
      <c r="CF12" s="33"/>
      <c r="CG12" s="33">
        <f t="shared" si="15"/>
        <v>0</v>
      </c>
      <c r="CH12" s="33"/>
      <c r="CI12" s="32"/>
      <c r="CJ12" s="33"/>
      <c r="CK12" s="33">
        <f t="shared" si="16"/>
        <v>0</v>
      </c>
      <c r="CL12" s="33"/>
      <c r="CM12" s="32"/>
      <c r="CN12" s="23"/>
      <c r="CO12" s="5">
        <f t="shared" si="17"/>
        <v>0</v>
      </c>
      <c r="CP12" s="10"/>
      <c r="CQ12" s="6"/>
      <c r="CR12" s="31"/>
      <c r="CS12" s="124"/>
      <c r="CT12" s="124"/>
      <c r="CU12" s="31"/>
      <c r="CV12" s="124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</row>
    <row r="13" spans="1:126" s="7" customFormat="1" ht="15" customHeight="1" x14ac:dyDescent="0.3">
      <c r="A13" s="134">
        <v>104</v>
      </c>
      <c r="B13" s="34" t="s">
        <v>49</v>
      </c>
      <c r="C13" s="14">
        <v>7098023</v>
      </c>
      <c r="D13" s="14" t="s">
        <v>391</v>
      </c>
      <c r="E13" s="15" t="s">
        <v>392</v>
      </c>
      <c r="F13" s="167">
        <v>9</v>
      </c>
      <c r="G13" s="25">
        <v>0</v>
      </c>
      <c r="H13" s="9">
        <v>0</v>
      </c>
      <c r="I13" s="26">
        <v>0</v>
      </c>
      <c r="J13" s="30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158">
        <v>0</v>
      </c>
      <c r="Q13" s="158">
        <v>0</v>
      </c>
      <c r="R13" s="158">
        <v>0</v>
      </c>
      <c r="S13" s="158">
        <v>0</v>
      </c>
      <c r="T13" s="158">
        <v>0</v>
      </c>
      <c r="U13" s="158">
        <v>0</v>
      </c>
      <c r="V13" s="29">
        <v>0</v>
      </c>
      <c r="W13" s="29">
        <v>0</v>
      </c>
      <c r="X13" s="159">
        <v>0</v>
      </c>
      <c r="Y13" s="159">
        <v>0</v>
      </c>
      <c r="Z13" s="29">
        <v>1</v>
      </c>
      <c r="AA13" s="29">
        <v>0</v>
      </c>
      <c r="AB13" s="29">
        <v>0</v>
      </c>
      <c r="AC13" s="29">
        <v>0</v>
      </c>
      <c r="AD13" s="29">
        <v>0</v>
      </c>
      <c r="AE13" s="159">
        <v>1</v>
      </c>
      <c r="AF13" s="159">
        <v>1</v>
      </c>
      <c r="AG13" s="160">
        <v>0</v>
      </c>
      <c r="AH13" s="160">
        <v>0</v>
      </c>
      <c r="AI13" s="160">
        <v>0</v>
      </c>
      <c r="AJ13" s="160">
        <v>0</v>
      </c>
      <c r="AK13" s="29">
        <v>1</v>
      </c>
      <c r="AL13" s="29">
        <v>0</v>
      </c>
      <c r="AM13" s="29">
        <v>0</v>
      </c>
      <c r="AN13" s="29">
        <v>1</v>
      </c>
      <c r="AO13" s="29">
        <v>1</v>
      </c>
      <c r="AP13" s="160">
        <v>0</v>
      </c>
      <c r="AQ13" s="161">
        <v>0</v>
      </c>
      <c r="AR13" s="161">
        <v>0</v>
      </c>
      <c r="AS13" s="161">
        <v>0</v>
      </c>
      <c r="AT13" s="161">
        <v>0</v>
      </c>
      <c r="AU13" s="161">
        <v>0</v>
      </c>
      <c r="AV13" s="161">
        <v>0</v>
      </c>
      <c r="AW13" s="161">
        <v>0</v>
      </c>
      <c r="AX13" s="162">
        <v>1</v>
      </c>
      <c r="AY13" s="162">
        <v>1</v>
      </c>
      <c r="AZ13" s="162">
        <v>1</v>
      </c>
      <c r="BA13" s="162">
        <v>1</v>
      </c>
      <c r="BB13" s="32"/>
      <c r="BC13" s="63"/>
      <c r="BD13" s="63">
        <f t="shared" si="9"/>
        <v>0</v>
      </c>
      <c r="BE13" s="63"/>
      <c r="BF13" s="32"/>
      <c r="BG13" s="32"/>
      <c r="BH13" s="63"/>
      <c r="BI13" s="64">
        <f t="shared" si="10"/>
        <v>0</v>
      </c>
      <c r="BJ13" s="63"/>
      <c r="BK13" s="32"/>
      <c r="BL13" s="32"/>
      <c r="BM13" s="33"/>
      <c r="BN13" s="33">
        <f t="shared" si="11"/>
        <v>0</v>
      </c>
      <c r="BO13" s="33"/>
      <c r="BP13" s="32"/>
      <c r="BQ13" s="32"/>
      <c r="BR13" s="33"/>
      <c r="BS13" s="33">
        <f t="shared" si="12"/>
        <v>0</v>
      </c>
      <c r="BT13" s="33"/>
      <c r="BU13" s="32"/>
      <c r="BV13" s="32"/>
      <c r="BW13" s="63"/>
      <c r="BX13" s="63">
        <f t="shared" si="13"/>
        <v>0</v>
      </c>
      <c r="BY13" s="63"/>
      <c r="BZ13" s="32"/>
      <c r="CA13" s="32"/>
      <c r="CB13" s="33"/>
      <c r="CC13" s="33">
        <f t="shared" si="14"/>
        <v>0</v>
      </c>
      <c r="CD13" s="33"/>
      <c r="CE13" s="32"/>
      <c r="CF13" s="33"/>
      <c r="CG13" s="33">
        <f t="shared" si="15"/>
        <v>0</v>
      </c>
      <c r="CH13" s="33"/>
      <c r="CI13" s="32"/>
      <c r="CJ13" s="33"/>
      <c r="CK13" s="33">
        <f t="shared" si="16"/>
        <v>0</v>
      </c>
      <c r="CL13" s="33"/>
      <c r="CM13" s="32"/>
      <c r="CN13" s="23"/>
      <c r="CO13" s="5">
        <f t="shared" si="17"/>
        <v>0</v>
      </c>
      <c r="CP13" s="10"/>
      <c r="CQ13" s="6"/>
      <c r="CR13" s="31"/>
      <c r="CS13" s="124"/>
      <c r="CT13" s="124"/>
      <c r="CU13" s="31"/>
      <c r="CV13" s="124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</row>
    <row r="14" spans="1:126" s="7" customFormat="1" ht="15" customHeight="1" x14ac:dyDescent="0.3">
      <c r="A14" s="134">
        <v>62</v>
      </c>
      <c r="B14" s="123" t="s">
        <v>343</v>
      </c>
      <c r="C14" s="14">
        <v>7092320</v>
      </c>
      <c r="D14" s="14" t="s">
        <v>180</v>
      </c>
      <c r="E14" s="15" t="s">
        <v>131</v>
      </c>
      <c r="F14" s="167">
        <v>10</v>
      </c>
      <c r="G14" s="25">
        <v>0</v>
      </c>
      <c r="H14" s="9">
        <v>0</v>
      </c>
      <c r="I14" s="26">
        <v>0</v>
      </c>
      <c r="J14" s="30">
        <v>0</v>
      </c>
      <c r="K14" s="29">
        <v>1</v>
      </c>
      <c r="L14" s="29">
        <v>0</v>
      </c>
      <c r="M14" s="29">
        <v>0</v>
      </c>
      <c r="N14" s="29">
        <v>0</v>
      </c>
      <c r="O14" s="29">
        <v>0</v>
      </c>
      <c r="P14" s="158">
        <v>0</v>
      </c>
      <c r="Q14" s="158">
        <v>1</v>
      </c>
      <c r="R14" s="158">
        <v>1</v>
      </c>
      <c r="S14" s="158">
        <v>1</v>
      </c>
      <c r="T14" s="158">
        <v>0</v>
      </c>
      <c r="U14" s="158">
        <v>1</v>
      </c>
      <c r="V14" s="29">
        <v>0</v>
      </c>
      <c r="W14" s="29">
        <v>0</v>
      </c>
      <c r="X14" s="159">
        <v>0</v>
      </c>
      <c r="Y14" s="159">
        <v>0</v>
      </c>
      <c r="Z14" s="29">
        <v>0</v>
      </c>
      <c r="AA14" s="29">
        <v>0</v>
      </c>
      <c r="AB14" s="29">
        <v>0</v>
      </c>
      <c r="AC14" s="29">
        <v>1</v>
      </c>
      <c r="AD14" s="29">
        <v>0</v>
      </c>
      <c r="AE14" s="159">
        <v>1</v>
      </c>
      <c r="AF14" s="159">
        <v>1</v>
      </c>
      <c r="AG14" s="160">
        <v>0</v>
      </c>
      <c r="AH14" s="160">
        <v>0</v>
      </c>
      <c r="AI14" s="160">
        <v>0</v>
      </c>
      <c r="AJ14" s="160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160">
        <v>0</v>
      </c>
      <c r="AQ14" s="161">
        <v>0</v>
      </c>
      <c r="AR14" s="161">
        <v>0</v>
      </c>
      <c r="AS14" s="161">
        <v>0</v>
      </c>
      <c r="AT14" s="161">
        <v>0</v>
      </c>
      <c r="AU14" s="161">
        <v>0</v>
      </c>
      <c r="AV14" s="161">
        <v>0</v>
      </c>
      <c r="AW14" s="161">
        <v>0</v>
      </c>
      <c r="AX14" s="162">
        <v>0</v>
      </c>
      <c r="AY14" s="162">
        <v>0</v>
      </c>
      <c r="AZ14" s="162">
        <v>0</v>
      </c>
      <c r="BA14" s="162">
        <v>1</v>
      </c>
      <c r="BB14" s="32"/>
      <c r="BC14" s="63"/>
      <c r="BD14" s="63">
        <f t="shared" si="9"/>
        <v>0</v>
      </c>
      <c r="BE14" s="63"/>
      <c r="BF14" s="32"/>
      <c r="BG14" s="32"/>
      <c r="BH14" s="63"/>
      <c r="BI14" s="64">
        <f t="shared" si="10"/>
        <v>0</v>
      </c>
      <c r="BJ14" s="63"/>
      <c r="BK14" s="32"/>
      <c r="BL14" s="32"/>
      <c r="BM14" s="33"/>
      <c r="BN14" s="33">
        <f t="shared" si="11"/>
        <v>0</v>
      </c>
      <c r="BO14" s="33"/>
      <c r="BP14" s="32"/>
      <c r="BQ14" s="32"/>
      <c r="BR14" s="33"/>
      <c r="BS14" s="33">
        <f t="shared" si="12"/>
        <v>0</v>
      </c>
      <c r="BT14" s="33"/>
      <c r="BU14" s="32"/>
      <c r="BV14" s="32"/>
      <c r="BW14" s="63"/>
      <c r="BX14" s="63">
        <f t="shared" si="13"/>
        <v>0</v>
      </c>
      <c r="BY14" s="63"/>
      <c r="BZ14" s="32"/>
      <c r="CA14" s="32"/>
      <c r="CB14" s="33"/>
      <c r="CC14" s="33">
        <f t="shared" si="14"/>
        <v>0</v>
      </c>
      <c r="CD14" s="33"/>
      <c r="CE14" s="32"/>
      <c r="CF14" s="33"/>
      <c r="CG14" s="33">
        <f t="shared" si="15"/>
        <v>0</v>
      </c>
      <c r="CH14" s="33"/>
      <c r="CI14" s="32"/>
      <c r="CJ14" s="33"/>
      <c r="CK14" s="33">
        <f t="shared" si="16"/>
        <v>0</v>
      </c>
      <c r="CL14" s="33"/>
      <c r="CM14" s="32"/>
      <c r="CN14" s="23"/>
      <c r="CO14" s="5">
        <f t="shared" si="17"/>
        <v>0</v>
      </c>
      <c r="CP14" s="10"/>
      <c r="CQ14" s="6"/>
      <c r="CR14" s="31"/>
      <c r="CS14" s="124"/>
      <c r="CT14" s="124"/>
      <c r="CU14" s="31"/>
      <c r="CV14" s="124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</row>
    <row r="15" spans="1:126" s="7" customFormat="1" ht="15" customHeight="1" x14ac:dyDescent="0.3">
      <c r="A15" s="134">
        <v>107</v>
      </c>
      <c r="B15" s="34" t="s">
        <v>49</v>
      </c>
      <c r="C15" s="17">
        <v>7401960</v>
      </c>
      <c r="D15" s="13" t="s">
        <v>408</v>
      </c>
      <c r="E15" s="13" t="s">
        <v>409</v>
      </c>
      <c r="F15" s="167">
        <v>11</v>
      </c>
      <c r="G15" s="25">
        <v>0</v>
      </c>
      <c r="H15" s="9">
        <v>0</v>
      </c>
      <c r="I15" s="26">
        <v>0</v>
      </c>
      <c r="J15" s="30">
        <v>0</v>
      </c>
      <c r="K15" s="29">
        <v>1</v>
      </c>
      <c r="L15" s="29">
        <v>0</v>
      </c>
      <c r="M15" s="29">
        <v>0</v>
      </c>
      <c r="N15" s="29">
        <v>0</v>
      </c>
      <c r="O15" s="29">
        <v>0</v>
      </c>
      <c r="P15" s="158">
        <v>0</v>
      </c>
      <c r="Q15" s="158">
        <v>1</v>
      </c>
      <c r="R15" s="158">
        <v>1</v>
      </c>
      <c r="S15" s="158">
        <v>1</v>
      </c>
      <c r="T15" s="158">
        <v>0</v>
      </c>
      <c r="U15" s="158">
        <v>0</v>
      </c>
      <c r="V15" s="29">
        <v>0</v>
      </c>
      <c r="W15" s="29">
        <v>0</v>
      </c>
      <c r="X15" s="159">
        <v>0</v>
      </c>
      <c r="Y15" s="159">
        <v>0</v>
      </c>
      <c r="Z15" s="29">
        <v>0</v>
      </c>
      <c r="AA15" s="29">
        <v>0</v>
      </c>
      <c r="AB15" s="29">
        <v>0</v>
      </c>
      <c r="AC15" s="29">
        <v>0</v>
      </c>
      <c r="AD15" s="29">
        <v>0</v>
      </c>
      <c r="AE15" s="159">
        <v>1</v>
      </c>
      <c r="AF15" s="159">
        <v>1</v>
      </c>
      <c r="AG15" s="160">
        <v>0</v>
      </c>
      <c r="AH15" s="160">
        <v>0</v>
      </c>
      <c r="AI15" s="160">
        <v>0</v>
      </c>
      <c r="AJ15" s="160">
        <v>0</v>
      </c>
      <c r="AK15" s="29">
        <v>0</v>
      </c>
      <c r="AL15" s="29">
        <v>0</v>
      </c>
      <c r="AM15" s="29">
        <v>0</v>
      </c>
      <c r="AN15" s="29">
        <v>1</v>
      </c>
      <c r="AO15" s="29">
        <v>1</v>
      </c>
      <c r="AP15" s="160">
        <v>0</v>
      </c>
      <c r="AQ15" s="161">
        <v>0</v>
      </c>
      <c r="AR15" s="161">
        <v>0</v>
      </c>
      <c r="AS15" s="161">
        <v>1</v>
      </c>
      <c r="AT15" s="161">
        <v>1</v>
      </c>
      <c r="AU15" s="161">
        <v>1</v>
      </c>
      <c r="AV15" s="161">
        <v>1</v>
      </c>
      <c r="AW15" s="161">
        <v>0</v>
      </c>
      <c r="AX15" s="162">
        <v>0</v>
      </c>
      <c r="AY15" s="162">
        <v>0</v>
      </c>
      <c r="AZ15" s="162">
        <v>0</v>
      </c>
      <c r="BA15" s="162">
        <v>1</v>
      </c>
      <c r="BB15" s="32"/>
      <c r="BC15" s="63"/>
      <c r="BD15" s="63">
        <f t="shared" si="9"/>
        <v>0</v>
      </c>
      <c r="BE15" s="63"/>
      <c r="BF15" s="32"/>
      <c r="BG15" s="32"/>
      <c r="BH15" s="63"/>
      <c r="BI15" s="64">
        <f t="shared" si="10"/>
        <v>0</v>
      </c>
      <c r="BJ15" s="63"/>
      <c r="BK15" s="32"/>
      <c r="BL15" s="32"/>
      <c r="BM15" s="33"/>
      <c r="BN15" s="33">
        <f t="shared" si="11"/>
        <v>0</v>
      </c>
      <c r="BO15" s="33"/>
      <c r="BP15" s="32"/>
      <c r="BQ15" s="32"/>
      <c r="BR15" s="33"/>
      <c r="BS15" s="33">
        <f t="shared" si="12"/>
        <v>0</v>
      </c>
      <c r="BT15" s="33"/>
      <c r="BU15" s="32"/>
      <c r="BV15" s="32"/>
      <c r="BW15" s="63"/>
      <c r="BX15" s="63">
        <f t="shared" si="13"/>
        <v>0</v>
      </c>
      <c r="BY15" s="63"/>
      <c r="BZ15" s="32"/>
      <c r="CA15" s="32"/>
      <c r="CB15" s="33"/>
      <c r="CC15" s="33">
        <f t="shared" si="14"/>
        <v>0</v>
      </c>
      <c r="CD15" s="33"/>
      <c r="CE15" s="32"/>
      <c r="CF15" s="33"/>
      <c r="CG15" s="33">
        <f t="shared" si="15"/>
        <v>0</v>
      </c>
      <c r="CH15" s="33"/>
      <c r="CI15" s="32"/>
      <c r="CJ15" s="33"/>
      <c r="CK15" s="33">
        <f t="shared" si="16"/>
        <v>0</v>
      </c>
      <c r="CL15" s="33"/>
      <c r="CM15" s="32"/>
      <c r="CN15" s="23"/>
      <c r="CO15" s="5">
        <f t="shared" si="17"/>
        <v>0</v>
      </c>
      <c r="CP15" s="10"/>
      <c r="CQ15" s="6"/>
      <c r="CR15" s="31"/>
      <c r="CS15" s="124"/>
      <c r="CT15" s="124"/>
      <c r="CU15" s="31"/>
      <c r="CV15" s="124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</row>
    <row r="16" spans="1:126" s="7" customFormat="1" ht="15" customHeight="1" x14ac:dyDescent="0.3">
      <c r="A16" s="134">
        <v>7</v>
      </c>
      <c r="B16" s="41" t="s">
        <v>356</v>
      </c>
      <c r="C16" s="16">
        <v>7027788</v>
      </c>
      <c r="D16" s="14" t="s">
        <v>193</v>
      </c>
      <c r="E16" s="15" t="s">
        <v>78</v>
      </c>
      <c r="F16" s="167">
        <v>12</v>
      </c>
      <c r="G16" s="25">
        <v>0</v>
      </c>
      <c r="H16" s="9">
        <v>0</v>
      </c>
      <c r="I16" s="26">
        <v>0</v>
      </c>
      <c r="J16" s="30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158">
        <v>0</v>
      </c>
      <c r="Q16" s="158">
        <v>0</v>
      </c>
      <c r="R16" s="158">
        <v>0</v>
      </c>
      <c r="S16" s="158">
        <v>0</v>
      </c>
      <c r="T16" s="158">
        <v>0</v>
      </c>
      <c r="U16" s="158">
        <v>0</v>
      </c>
      <c r="V16" s="29">
        <v>0</v>
      </c>
      <c r="W16" s="29">
        <v>0</v>
      </c>
      <c r="X16" s="159">
        <v>0</v>
      </c>
      <c r="Y16" s="15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159">
        <v>0</v>
      </c>
      <c r="AF16" s="159">
        <v>0</v>
      </c>
      <c r="AG16" s="160">
        <v>0</v>
      </c>
      <c r="AH16" s="160">
        <v>0</v>
      </c>
      <c r="AI16" s="160">
        <v>0</v>
      </c>
      <c r="AJ16" s="160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160">
        <v>0</v>
      </c>
      <c r="AQ16" s="161">
        <v>0</v>
      </c>
      <c r="AR16" s="161">
        <v>0</v>
      </c>
      <c r="AS16" s="161">
        <v>0</v>
      </c>
      <c r="AT16" s="161">
        <v>0</v>
      </c>
      <c r="AU16" s="161">
        <v>0</v>
      </c>
      <c r="AV16" s="161">
        <v>0</v>
      </c>
      <c r="AW16" s="161">
        <v>0</v>
      </c>
      <c r="AX16" s="162">
        <v>0</v>
      </c>
      <c r="AY16" s="162">
        <v>0</v>
      </c>
      <c r="AZ16" s="162">
        <v>0</v>
      </c>
      <c r="BA16" s="162">
        <v>0</v>
      </c>
      <c r="BB16" s="32"/>
      <c r="BC16" s="63"/>
      <c r="BD16" s="63">
        <f t="shared" si="9"/>
        <v>0</v>
      </c>
      <c r="BE16" s="63"/>
      <c r="BF16" s="32"/>
      <c r="BG16" s="32"/>
      <c r="BH16" s="63"/>
      <c r="BI16" s="64">
        <f t="shared" si="10"/>
        <v>0</v>
      </c>
      <c r="BJ16" s="63"/>
      <c r="BK16" s="32"/>
      <c r="BL16" s="32"/>
      <c r="BM16" s="33"/>
      <c r="BN16" s="33">
        <f t="shared" si="11"/>
        <v>0</v>
      </c>
      <c r="BO16" s="33"/>
      <c r="BP16" s="32"/>
      <c r="BQ16" s="32"/>
      <c r="BR16" s="33"/>
      <c r="BS16" s="33">
        <f t="shared" si="12"/>
        <v>0</v>
      </c>
      <c r="BT16" s="33"/>
      <c r="BU16" s="32"/>
      <c r="BV16" s="32"/>
      <c r="BW16" s="63"/>
      <c r="BX16" s="63">
        <f t="shared" si="13"/>
        <v>0</v>
      </c>
      <c r="BY16" s="63"/>
      <c r="BZ16" s="32"/>
      <c r="CA16" s="32"/>
      <c r="CB16" s="33"/>
      <c r="CC16" s="33">
        <f t="shared" si="14"/>
        <v>0</v>
      </c>
      <c r="CD16" s="33"/>
      <c r="CE16" s="32"/>
      <c r="CF16" s="33"/>
      <c r="CG16" s="33">
        <f t="shared" si="15"/>
        <v>0</v>
      </c>
      <c r="CH16" s="33"/>
      <c r="CI16" s="32"/>
      <c r="CJ16" s="33"/>
      <c r="CK16" s="33">
        <f t="shared" si="16"/>
        <v>0</v>
      </c>
      <c r="CL16" s="33"/>
      <c r="CM16" s="32"/>
      <c r="CN16" s="23"/>
      <c r="CO16" s="5">
        <f t="shared" si="17"/>
        <v>0</v>
      </c>
      <c r="CP16" s="10"/>
      <c r="CQ16" s="6"/>
      <c r="CR16" s="31"/>
      <c r="CS16" s="124"/>
      <c r="CT16" s="124"/>
      <c r="CU16" s="31"/>
      <c r="CV16" s="124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</row>
    <row r="17" spans="1:126" s="7" customFormat="1" ht="15" customHeight="1" x14ac:dyDescent="0.3">
      <c r="A17" s="138">
        <v>129</v>
      </c>
      <c r="B17" s="35" t="s">
        <v>200</v>
      </c>
      <c r="C17" s="14">
        <v>7400313</v>
      </c>
      <c r="D17" s="14" t="s">
        <v>440</v>
      </c>
      <c r="E17" s="163" t="s">
        <v>441</v>
      </c>
      <c r="F17" s="167">
        <v>13</v>
      </c>
      <c r="G17" s="25">
        <v>0</v>
      </c>
      <c r="H17" s="9">
        <v>0</v>
      </c>
      <c r="I17" s="26">
        <v>0</v>
      </c>
      <c r="J17" s="30">
        <v>0</v>
      </c>
      <c r="K17" s="29">
        <v>1</v>
      </c>
      <c r="L17" s="29">
        <v>0</v>
      </c>
      <c r="M17" s="29">
        <v>0</v>
      </c>
      <c r="N17" s="29">
        <v>0</v>
      </c>
      <c r="O17" s="29">
        <v>0</v>
      </c>
      <c r="P17" s="158">
        <v>0</v>
      </c>
      <c r="Q17" s="158">
        <v>1</v>
      </c>
      <c r="R17" s="158">
        <v>1</v>
      </c>
      <c r="S17" s="158">
        <v>0</v>
      </c>
      <c r="T17" s="158">
        <v>0</v>
      </c>
      <c r="U17" s="158">
        <v>0</v>
      </c>
      <c r="V17" s="29">
        <v>1</v>
      </c>
      <c r="W17" s="29">
        <v>1</v>
      </c>
      <c r="X17" s="159">
        <v>1</v>
      </c>
      <c r="Y17" s="159">
        <v>1</v>
      </c>
      <c r="Z17" s="29">
        <v>0</v>
      </c>
      <c r="AA17" s="29">
        <v>0</v>
      </c>
      <c r="AB17" s="29">
        <v>0</v>
      </c>
      <c r="AC17" s="29">
        <v>0</v>
      </c>
      <c r="AD17" s="29">
        <v>0</v>
      </c>
      <c r="AE17" s="159">
        <v>1</v>
      </c>
      <c r="AF17" s="159">
        <v>1</v>
      </c>
      <c r="AG17" s="160">
        <v>0</v>
      </c>
      <c r="AH17" s="160">
        <v>0</v>
      </c>
      <c r="AI17" s="160">
        <v>0</v>
      </c>
      <c r="AJ17" s="160">
        <v>0</v>
      </c>
      <c r="AK17" s="29">
        <v>0</v>
      </c>
      <c r="AL17" s="29">
        <v>0</v>
      </c>
      <c r="AM17" s="29">
        <v>0</v>
      </c>
      <c r="AN17" s="29">
        <v>0</v>
      </c>
      <c r="AO17" s="29">
        <v>0</v>
      </c>
      <c r="AP17" s="160">
        <v>0</v>
      </c>
      <c r="AQ17" s="161">
        <v>0</v>
      </c>
      <c r="AR17" s="161">
        <v>0</v>
      </c>
      <c r="AS17" s="161">
        <v>0</v>
      </c>
      <c r="AT17" s="161">
        <v>0</v>
      </c>
      <c r="AU17" s="161">
        <v>0</v>
      </c>
      <c r="AV17" s="161">
        <v>0</v>
      </c>
      <c r="AW17" s="161">
        <v>0</v>
      </c>
      <c r="AX17" s="162">
        <v>0</v>
      </c>
      <c r="AY17" s="162">
        <v>0</v>
      </c>
      <c r="AZ17" s="162">
        <v>0</v>
      </c>
      <c r="BA17" s="162">
        <v>0</v>
      </c>
      <c r="BB17" s="32"/>
      <c r="BC17" s="63"/>
      <c r="BD17" s="63">
        <f t="shared" si="9"/>
        <v>0</v>
      </c>
      <c r="BE17" s="63"/>
      <c r="BF17" s="32"/>
      <c r="BG17" s="32"/>
      <c r="BH17" s="63"/>
      <c r="BI17" s="64">
        <f t="shared" si="10"/>
        <v>0</v>
      </c>
      <c r="BJ17" s="63"/>
      <c r="BK17" s="32"/>
      <c r="BL17" s="32"/>
      <c r="BM17" s="33"/>
      <c r="BN17" s="33">
        <f t="shared" si="11"/>
        <v>0</v>
      </c>
      <c r="BO17" s="33"/>
      <c r="BP17" s="32"/>
      <c r="BQ17" s="32"/>
      <c r="BR17" s="33"/>
      <c r="BS17" s="33">
        <f t="shared" si="12"/>
        <v>0</v>
      </c>
      <c r="BT17" s="33"/>
      <c r="BU17" s="32"/>
      <c r="BV17" s="32"/>
      <c r="BW17" s="63"/>
      <c r="BX17" s="63">
        <f t="shared" si="13"/>
        <v>0</v>
      </c>
      <c r="BY17" s="63"/>
      <c r="BZ17" s="32"/>
      <c r="CA17" s="32"/>
      <c r="CB17" s="33"/>
      <c r="CC17" s="33">
        <f t="shared" si="14"/>
        <v>0</v>
      </c>
      <c r="CD17" s="33"/>
      <c r="CE17" s="32"/>
      <c r="CF17" s="33"/>
      <c r="CG17" s="33">
        <f t="shared" si="15"/>
        <v>0</v>
      </c>
      <c r="CH17" s="33"/>
      <c r="CI17" s="32"/>
      <c r="CJ17" s="33"/>
      <c r="CK17" s="33">
        <f t="shared" si="16"/>
        <v>0</v>
      </c>
      <c r="CL17" s="33"/>
      <c r="CM17" s="32"/>
      <c r="CN17" s="23"/>
      <c r="CO17" s="5">
        <f t="shared" si="17"/>
        <v>0</v>
      </c>
      <c r="CP17" s="10"/>
      <c r="CQ17" s="6"/>
      <c r="CR17" s="31"/>
      <c r="CS17" s="124"/>
      <c r="CT17" s="124"/>
      <c r="CU17" s="31"/>
      <c r="CV17" s="124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</row>
    <row r="18" spans="1:126" s="7" customFormat="1" ht="15" customHeight="1" x14ac:dyDescent="0.3">
      <c r="A18" s="134">
        <v>117</v>
      </c>
      <c r="B18" s="123" t="s">
        <v>428</v>
      </c>
      <c r="C18" s="14">
        <v>7402023</v>
      </c>
      <c r="D18" s="14" t="s">
        <v>410</v>
      </c>
      <c r="E18" s="15" t="s">
        <v>411</v>
      </c>
      <c r="F18" s="167">
        <v>1</v>
      </c>
      <c r="G18" s="25">
        <v>0</v>
      </c>
      <c r="H18" s="9">
        <v>0</v>
      </c>
      <c r="I18" s="26">
        <v>0</v>
      </c>
      <c r="J18" s="30">
        <v>0</v>
      </c>
      <c r="K18" s="29">
        <v>1</v>
      </c>
      <c r="L18" s="29">
        <v>0</v>
      </c>
      <c r="M18" s="29">
        <v>0</v>
      </c>
      <c r="N18" s="29">
        <v>0</v>
      </c>
      <c r="O18" s="29">
        <v>0</v>
      </c>
      <c r="P18" s="158">
        <v>0</v>
      </c>
      <c r="Q18" s="158">
        <v>1</v>
      </c>
      <c r="R18" s="158">
        <v>1</v>
      </c>
      <c r="S18" s="158">
        <v>1</v>
      </c>
      <c r="T18" s="158">
        <v>0</v>
      </c>
      <c r="U18" s="158">
        <v>0</v>
      </c>
      <c r="V18" s="29">
        <v>0</v>
      </c>
      <c r="W18" s="29">
        <v>0</v>
      </c>
      <c r="X18" s="159">
        <v>0</v>
      </c>
      <c r="Y18" s="15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159">
        <v>1</v>
      </c>
      <c r="AF18" s="159">
        <v>1</v>
      </c>
      <c r="AG18" s="160">
        <v>0</v>
      </c>
      <c r="AH18" s="160">
        <v>0</v>
      </c>
      <c r="AI18" s="160">
        <v>0</v>
      </c>
      <c r="AJ18" s="160">
        <v>0</v>
      </c>
      <c r="AK18" s="29">
        <v>1</v>
      </c>
      <c r="AL18" s="29">
        <v>0</v>
      </c>
      <c r="AM18" s="29">
        <v>0</v>
      </c>
      <c r="AN18" s="29">
        <v>0</v>
      </c>
      <c r="AO18" s="29">
        <v>0</v>
      </c>
      <c r="AP18" s="160">
        <v>0</v>
      </c>
      <c r="AQ18" s="161">
        <v>0</v>
      </c>
      <c r="AR18" s="161">
        <v>0</v>
      </c>
      <c r="AS18" s="161">
        <v>0</v>
      </c>
      <c r="AT18" s="161">
        <v>0</v>
      </c>
      <c r="AU18" s="161">
        <v>0</v>
      </c>
      <c r="AV18" s="161">
        <v>0</v>
      </c>
      <c r="AW18" s="161">
        <v>0</v>
      </c>
      <c r="AX18" s="162">
        <v>0</v>
      </c>
      <c r="AY18" s="162">
        <v>0</v>
      </c>
      <c r="AZ18" s="162">
        <v>0</v>
      </c>
      <c r="BA18" s="162">
        <v>1</v>
      </c>
      <c r="BB18" s="32"/>
      <c r="BC18" s="63"/>
      <c r="BD18" s="63">
        <f t="shared" si="9"/>
        <v>0</v>
      </c>
      <c r="BE18" s="63"/>
      <c r="BF18" s="32"/>
      <c r="BG18" s="32"/>
      <c r="BH18" s="63"/>
      <c r="BI18" s="64">
        <f t="shared" si="10"/>
        <v>0</v>
      </c>
      <c r="BJ18" s="63"/>
      <c r="BK18" s="32"/>
      <c r="BL18" s="32"/>
      <c r="BM18" s="33"/>
      <c r="BN18" s="33">
        <f t="shared" si="11"/>
        <v>0</v>
      </c>
      <c r="BO18" s="33"/>
      <c r="BP18" s="32"/>
      <c r="BQ18" s="32"/>
      <c r="BR18" s="33"/>
      <c r="BS18" s="33">
        <f t="shared" si="12"/>
        <v>0</v>
      </c>
      <c r="BT18" s="33"/>
      <c r="BU18" s="32"/>
      <c r="BV18" s="32"/>
      <c r="BW18" s="63"/>
      <c r="BX18" s="63">
        <f t="shared" si="13"/>
        <v>0</v>
      </c>
      <c r="BY18" s="63"/>
      <c r="BZ18" s="32"/>
      <c r="CA18" s="32"/>
      <c r="CB18" s="33"/>
      <c r="CC18" s="33">
        <f t="shared" si="14"/>
        <v>0</v>
      </c>
      <c r="CD18" s="33"/>
      <c r="CE18" s="32"/>
      <c r="CF18" s="33"/>
      <c r="CG18" s="33">
        <f t="shared" si="15"/>
        <v>0</v>
      </c>
      <c r="CH18" s="33"/>
      <c r="CI18" s="32"/>
      <c r="CJ18" s="33"/>
      <c r="CK18" s="33">
        <f t="shared" si="16"/>
        <v>0</v>
      </c>
      <c r="CL18" s="33"/>
      <c r="CM18" s="32"/>
      <c r="CN18" s="23"/>
      <c r="CO18" s="5">
        <f t="shared" si="17"/>
        <v>0</v>
      </c>
      <c r="CP18" s="10"/>
      <c r="CQ18" s="6"/>
      <c r="CR18" s="31"/>
      <c r="CS18" s="124"/>
      <c r="CT18" s="124"/>
      <c r="CU18" s="31"/>
      <c r="CV18" s="124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</row>
    <row r="19" spans="1:126" s="7" customFormat="1" ht="15" customHeight="1" x14ac:dyDescent="0.3">
      <c r="A19" s="134">
        <v>146</v>
      </c>
      <c r="B19" s="35" t="s">
        <v>455</v>
      </c>
      <c r="C19" s="16">
        <v>7402762</v>
      </c>
      <c r="D19" s="14" t="s">
        <v>458</v>
      </c>
      <c r="E19" s="15" t="s">
        <v>459</v>
      </c>
      <c r="F19" s="167">
        <v>4</v>
      </c>
      <c r="G19" s="25">
        <v>0</v>
      </c>
      <c r="H19" s="9">
        <v>0</v>
      </c>
      <c r="I19" s="26">
        <v>0</v>
      </c>
      <c r="J19" s="30">
        <v>0</v>
      </c>
      <c r="K19" s="29">
        <v>1</v>
      </c>
      <c r="L19" s="29">
        <v>0</v>
      </c>
      <c r="M19" s="29">
        <v>0</v>
      </c>
      <c r="N19" s="29">
        <v>0</v>
      </c>
      <c r="O19" s="29">
        <v>0</v>
      </c>
      <c r="P19" s="158">
        <v>0</v>
      </c>
      <c r="Q19" s="158">
        <v>0</v>
      </c>
      <c r="R19" s="158">
        <v>0</v>
      </c>
      <c r="S19" s="158">
        <v>0</v>
      </c>
      <c r="T19" s="158">
        <v>0</v>
      </c>
      <c r="U19" s="158">
        <v>0</v>
      </c>
      <c r="V19" s="29">
        <v>0</v>
      </c>
      <c r="W19" s="29">
        <v>0</v>
      </c>
      <c r="X19" s="159">
        <v>1</v>
      </c>
      <c r="Y19" s="159">
        <v>1</v>
      </c>
      <c r="Z19" s="29">
        <v>0</v>
      </c>
      <c r="AA19" s="29">
        <v>0</v>
      </c>
      <c r="AB19" s="29">
        <v>0</v>
      </c>
      <c r="AC19" s="29">
        <v>0</v>
      </c>
      <c r="AD19" s="29">
        <v>0</v>
      </c>
      <c r="AE19" s="159">
        <v>1</v>
      </c>
      <c r="AF19" s="159">
        <v>1</v>
      </c>
      <c r="AG19" s="160">
        <v>0</v>
      </c>
      <c r="AH19" s="160">
        <v>0</v>
      </c>
      <c r="AI19" s="160">
        <v>0</v>
      </c>
      <c r="AJ19" s="160">
        <v>0</v>
      </c>
      <c r="AK19" s="29">
        <v>0</v>
      </c>
      <c r="AL19" s="29">
        <v>1</v>
      </c>
      <c r="AM19" s="29">
        <v>1</v>
      </c>
      <c r="AN19" s="29">
        <v>1</v>
      </c>
      <c r="AO19" s="29">
        <v>1</v>
      </c>
      <c r="AP19" s="160">
        <v>0</v>
      </c>
      <c r="AQ19" s="161">
        <v>0</v>
      </c>
      <c r="AR19" s="161">
        <v>0</v>
      </c>
      <c r="AS19" s="161">
        <v>0</v>
      </c>
      <c r="AT19" s="161">
        <v>0</v>
      </c>
      <c r="AU19" s="161">
        <v>0</v>
      </c>
      <c r="AV19" s="161">
        <v>0</v>
      </c>
      <c r="AW19" s="161">
        <v>0</v>
      </c>
      <c r="AX19" s="162">
        <v>0</v>
      </c>
      <c r="AY19" s="162">
        <v>0</v>
      </c>
      <c r="AZ19" s="162">
        <v>0</v>
      </c>
      <c r="BA19" s="162">
        <v>1</v>
      </c>
      <c r="BB19" s="32"/>
      <c r="BC19" s="63"/>
      <c r="BD19" s="63">
        <f t="shared" si="9"/>
        <v>0</v>
      </c>
      <c r="BE19" s="63"/>
      <c r="BF19" s="32"/>
      <c r="BG19" s="32"/>
      <c r="BH19" s="63"/>
      <c r="BI19" s="64">
        <f t="shared" si="10"/>
        <v>0</v>
      </c>
      <c r="BJ19" s="63"/>
      <c r="BK19" s="32"/>
      <c r="BL19" s="32"/>
      <c r="BM19" s="33"/>
      <c r="BN19" s="33">
        <f t="shared" si="11"/>
        <v>0</v>
      </c>
      <c r="BO19" s="33"/>
      <c r="BP19" s="32"/>
      <c r="BQ19" s="32"/>
      <c r="BR19" s="33"/>
      <c r="BS19" s="33">
        <f t="shared" si="12"/>
        <v>0</v>
      </c>
      <c r="BT19" s="33"/>
      <c r="BU19" s="32"/>
      <c r="BV19" s="32"/>
      <c r="BW19" s="63"/>
      <c r="BX19" s="63">
        <f t="shared" si="13"/>
        <v>0</v>
      </c>
      <c r="BY19" s="63"/>
      <c r="BZ19" s="32"/>
      <c r="CA19" s="32"/>
      <c r="CB19" s="33"/>
      <c r="CC19" s="33">
        <f t="shared" si="14"/>
        <v>0</v>
      </c>
      <c r="CD19" s="33"/>
      <c r="CE19" s="32"/>
      <c r="CF19" s="33"/>
      <c r="CG19" s="33">
        <f t="shared" si="15"/>
        <v>0</v>
      </c>
      <c r="CH19" s="33"/>
      <c r="CI19" s="32"/>
      <c r="CJ19" s="33"/>
      <c r="CK19" s="33">
        <f t="shared" si="16"/>
        <v>0</v>
      </c>
      <c r="CL19" s="33"/>
      <c r="CM19" s="32"/>
      <c r="CN19" s="23"/>
      <c r="CO19" s="5">
        <f t="shared" si="17"/>
        <v>0</v>
      </c>
      <c r="CP19" s="10"/>
      <c r="CQ19" s="6"/>
      <c r="CR19" s="31"/>
      <c r="CS19" s="124"/>
      <c r="CT19" s="124"/>
      <c r="CU19" s="31"/>
      <c r="CV19" s="124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</row>
    <row r="20" spans="1:126" s="7" customFormat="1" ht="15" customHeight="1" x14ac:dyDescent="0.3">
      <c r="A20" s="134">
        <v>15</v>
      </c>
      <c r="B20" s="35" t="s">
        <v>42</v>
      </c>
      <c r="C20" s="16">
        <v>7051892</v>
      </c>
      <c r="D20" s="14" t="s">
        <v>50</v>
      </c>
      <c r="E20" s="15" t="s">
        <v>51</v>
      </c>
      <c r="F20" s="167">
        <v>15</v>
      </c>
      <c r="G20" s="25">
        <v>0</v>
      </c>
      <c r="H20" s="9">
        <v>0</v>
      </c>
      <c r="I20" s="26">
        <v>0</v>
      </c>
      <c r="J20" s="30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158">
        <v>0</v>
      </c>
      <c r="Q20" s="158">
        <v>0</v>
      </c>
      <c r="R20" s="158">
        <v>0</v>
      </c>
      <c r="S20" s="158">
        <v>0</v>
      </c>
      <c r="T20" s="158">
        <v>0</v>
      </c>
      <c r="U20" s="158">
        <v>0</v>
      </c>
      <c r="V20" s="29">
        <v>0</v>
      </c>
      <c r="W20" s="29">
        <v>0</v>
      </c>
      <c r="X20" s="159">
        <v>0</v>
      </c>
      <c r="Y20" s="15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159">
        <v>1</v>
      </c>
      <c r="AF20" s="159">
        <v>1</v>
      </c>
      <c r="AG20" s="160">
        <v>1</v>
      </c>
      <c r="AH20" s="160">
        <v>0</v>
      </c>
      <c r="AI20" s="160">
        <v>0</v>
      </c>
      <c r="AJ20" s="160">
        <v>0</v>
      </c>
      <c r="AK20" s="29">
        <v>1</v>
      </c>
      <c r="AL20" s="29">
        <v>1</v>
      </c>
      <c r="AM20" s="29">
        <v>1</v>
      </c>
      <c r="AN20" s="29">
        <v>1</v>
      </c>
      <c r="AO20" s="29">
        <v>1</v>
      </c>
      <c r="AP20" s="160">
        <v>1</v>
      </c>
      <c r="AQ20" s="161">
        <v>0</v>
      </c>
      <c r="AR20" s="161">
        <v>1</v>
      </c>
      <c r="AS20" s="161">
        <v>0</v>
      </c>
      <c r="AT20" s="161">
        <v>0</v>
      </c>
      <c r="AU20" s="161">
        <v>0</v>
      </c>
      <c r="AV20" s="161">
        <v>0</v>
      </c>
      <c r="AW20" s="161">
        <v>0</v>
      </c>
      <c r="AX20" s="162">
        <v>0</v>
      </c>
      <c r="AY20" s="162">
        <v>1</v>
      </c>
      <c r="AZ20" s="162">
        <v>1</v>
      </c>
      <c r="BA20" s="162">
        <v>1</v>
      </c>
      <c r="BB20" s="32"/>
      <c r="BC20" s="63"/>
      <c r="BD20" s="63">
        <f t="shared" si="9"/>
        <v>0</v>
      </c>
      <c r="BE20" s="63"/>
      <c r="BF20" s="32"/>
      <c r="BG20" s="32"/>
      <c r="BH20" s="63"/>
      <c r="BI20" s="64">
        <f t="shared" si="10"/>
        <v>0</v>
      </c>
      <c r="BJ20" s="63"/>
      <c r="BK20" s="32"/>
      <c r="BL20" s="32"/>
      <c r="BM20" s="33"/>
      <c r="BN20" s="33">
        <f t="shared" si="11"/>
        <v>0</v>
      </c>
      <c r="BO20" s="33"/>
      <c r="BP20" s="32"/>
      <c r="BQ20" s="32"/>
      <c r="BR20" s="33"/>
      <c r="BS20" s="33">
        <f t="shared" si="12"/>
        <v>0</v>
      </c>
      <c r="BT20" s="33"/>
      <c r="BU20" s="32"/>
      <c r="BV20" s="32"/>
      <c r="BW20" s="63"/>
      <c r="BX20" s="63">
        <f t="shared" si="13"/>
        <v>0</v>
      </c>
      <c r="BY20" s="63"/>
      <c r="BZ20" s="32"/>
      <c r="CA20" s="32"/>
      <c r="CB20" s="33"/>
      <c r="CC20" s="33">
        <f t="shared" si="14"/>
        <v>0</v>
      </c>
      <c r="CD20" s="33"/>
      <c r="CE20" s="32"/>
      <c r="CF20" s="33"/>
      <c r="CG20" s="33">
        <f t="shared" si="15"/>
        <v>0</v>
      </c>
      <c r="CH20" s="33"/>
      <c r="CI20" s="32"/>
      <c r="CJ20" s="33"/>
      <c r="CK20" s="33">
        <f t="shared" si="16"/>
        <v>0</v>
      </c>
      <c r="CL20" s="33"/>
      <c r="CM20" s="32"/>
      <c r="CN20" s="23"/>
      <c r="CO20" s="5">
        <f t="shared" si="17"/>
        <v>0</v>
      </c>
      <c r="CP20" s="10"/>
      <c r="CQ20" s="6"/>
      <c r="CR20" s="31"/>
      <c r="CS20" s="124"/>
      <c r="CT20" s="124"/>
      <c r="CU20" s="31"/>
      <c r="CV20" s="124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</row>
    <row r="21" spans="1:126" s="31" customFormat="1" ht="15" customHeight="1" x14ac:dyDescent="0.3">
      <c r="A21" s="134">
        <v>71</v>
      </c>
      <c r="B21" s="123" t="s">
        <v>43</v>
      </c>
      <c r="C21" s="11">
        <v>7092642</v>
      </c>
      <c r="D21" s="11" t="s">
        <v>183</v>
      </c>
      <c r="E21" s="11" t="s">
        <v>88</v>
      </c>
      <c r="F21" s="167">
        <v>1</v>
      </c>
      <c r="G21" s="25">
        <v>0</v>
      </c>
      <c r="H21" s="9">
        <v>0</v>
      </c>
      <c r="I21" s="26">
        <v>0</v>
      </c>
      <c r="J21" s="30">
        <v>0</v>
      </c>
      <c r="K21" s="29">
        <v>1</v>
      </c>
      <c r="L21" s="29">
        <v>0</v>
      </c>
      <c r="M21" s="29">
        <v>0</v>
      </c>
      <c r="N21" s="29">
        <v>0</v>
      </c>
      <c r="O21" s="29">
        <v>0</v>
      </c>
      <c r="P21" s="158">
        <v>0</v>
      </c>
      <c r="Q21" s="158">
        <v>1</v>
      </c>
      <c r="R21" s="158">
        <v>0</v>
      </c>
      <c r="S21" s="158">
        <v>0</v>
      </c>
      <c r="T21" s="158">
        <v>0</v>
      </c>
      <c r="U21" s="158">
        <v>0</v>
      </c>
      <c r="V21" s="29">
        <v>0</v>
      </c>
      <c r="W21" s="29">
        <v>0</v>
      </c>
      <c r="X21" s="159">
        <v>0</v>
      </c>
      <c r="Y21" s="159">
        <v>1</v>
      </c>
      <c r="Z21" s="29">
        <v>0</v>
      </c>
      <c r="AA21" s="29">
        <v>0</v>
      </c>
      <c r="AB21" s="29">
        <v>0</v>
      </c>
      <c r="AC21" s="29">
        <v>0</v>
      </c>
      <c r="AD21" s="29">
        <v>1</v>
      </c>
      <c r="AE21" s="159">
        <v>1</v>
      </c>
      <c r="AF21" s="159">
        <v>1</v>
      </c>
      <c r="AG21" s="160">
        <v>0</v>
      </c>
      <c r="AH21" s="160">
        <v>0</v>
      </c>
      <c r="AI21" s="160">
        <v>0</v>
      </c>
      <c r="AJ21" s="160">
        <v>0</v>
      </c>
      <c r="AK21" s="29">
        <v>0</v>
      </c>
      <c r="AL21" s="29">
        <v>0</v>
      </c>
      <c r="AM21" s="29">
        <v>0</v>
      </c>
      <c r="AN21" s="29">
        <v>0</v>
      </c>
      <c r="AO21" s="29">
        <v>0</v>
      </c>
      <c r="AP21" s="160">
        <v>0</v>
      </c>
      <c r="AQ21" s="161">
        <v>0</v>
      </c>
      <c r="AR21" s="161">
        <v>0</v>
      </c>
      <c r="AS21" s="161">
        <v>0</v>
      </c>
      <c r="AT21" s="161">
        <v>0</v>
      </c>
      <c r="AU21" s="161">
        <v>0</v>
      </c>
      <c r="AV21" s="161">
        <v>0</v>
      </c>
      <c r="AW21" s="161">
        <v>0</v>
      </c>
      <c r="AX21" s="162">
        <v>0</v>
      </c>
      <c r="AY21" s="162">
        <v>0</v>
      </c>
      <c r="AZ21" s="162">
        <v>0</v>
      </c>
      <c r="BA21" s="162">
        <v>0</v>
      </c>
      <c r="BB21" s="32"/>
      <c r="BC21" s="63"/>
      <c r="BD21" s="63">
        <f t="shared" si="9"/>
        <v>0</v>
      </c>
      <c r="BE21" s="63"/>
      <c r="BF21" s="32"/>
      <c r="BG21" s="32"/>
      <c r="BH21" s="63"/>
      <c r="BI21" s="64">
        <f t="shared" si="10"/>
        <v>0</v>
      </c>
      <c r="BJ21" s="63"/>
      <c r="BK21" s="32"/>
      <c r="BL21" s="32"/>
      <c r="BM21" s="33"/>
      <c r="BN21" s="33">
        <f t="shared" si="11"/>
        <v>0</v>
      </c>
      <c r="BO21" s="33"/>
      <c r="BP21" s="32"/>
      <c r="BQ21" s="32"/>
      <c r="BR21" s="33"/>
      <c r="BS21" s="33">
        <f t="shared" si="12"/>
        <v>0</v>
      </c>
      <c r="BT21" s="33"/>
      <c r="BU21" s="32"/>
      <c r="BV21" s="32"/>
      <c r="BW21" s="63"/>
      <c r="BX21" s="63">
        <f t="shared" si="13"/>
        <v>0</v>
      </c>
      <c r="BY21" s="63"/>
      <c r="BZ21" s="32"/>
      <c r="CA21" s="32"/>
      <c r="CB21" s="33"/>
      <c r="CC21" s="33">
        <f t="shared" si="14"/>
        <v>0</v>
      </c>
      <c r="CD21" s="33"/>
      <c r="CE21" s="32"/>
      <c r="CF21" s="33"/>
      <c r="CG21" s="33">
        <f t="shared" si="15"/>
        <v>0</v>
      </c>
      <c r="CH21" s="33"/>
      <c r="CI21" s="32"/>
      <c r="CJ21" s="33"/>
      <c r="CK21" s="33">
        <f t="shared" si="16"/>
        <v>0</v>
      </c>
      <c r="CL21" s="33"/>
      <c r="CM21" s="32"/>
      <c r="CN21" s="23"/>
      <c r="CO21" s="5">
        <f t="shared" si="17"/>
        <v>0</v>
      </c>
      <c r="CP21" s="10"/>
      <c r="CQ21" s="6"/>
      <c r="CS21" s="124"/>
      <c r="CT21" s="124"/>
      <c r="CV21" s="124"/>
    </row>
    <row r="22" spans="1:126" s="7" customFormat="1" ht="15" customHeight="1" x14ac:dyDescent="0.3">
      <c r="A22" s="134">
        <v>53</v>
      </c>
      <c r="B22" s="34" t="s">
        <v>49</v>
      </c>
      <c r="C22" s="11">
        <v>7093556</v>
      </c>
      <c r="D22" s="11" t="s">
        <v>52</v>
      </c>
      <c r="E22" s="11" t="s">
        <v>53</v>
      </c>
      <c r="F22" s="167">
        <v>6</v>
      </c>
      <c r="G22" s="25">
        <v>0</v>
      </c>
      <c r="H22" s="9">
        <v>0</v>
      </c>
      <c r="I22" s="26">
        <v>0</v>
      </c>
      <c r="J22" s="30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158">
        <v>0</v>
      </c>
      <c r="Q22" s="158">
        <v>1</v>
      </c>
      <c r="R22" s="158">
        <v>1</v>
      </c>
      <c r="S22" s="158">
        <v>1</v>
      </c>
      <c r="T22" s="158">
        <v>1</v>
      </c>
      <c r="U22" s="158">
        <v>0</v>
      </c>
      <c r="V22" s="29">
        <v>1</v>
      </c>
      <c r="W22" s="29">
        <v>0</v>
      </c>
      <c r="X22" s="159">
        <v>1</v>
      </c>
      <c r="Y22" s="159">
        <v>1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159">
        <v>1</v>
      </c>
      <c r="AF22" s="159">
        <v>1</v>
      </c>
      <c r="AG22" s="160">
        <v>0</v>
      </c>
      <c r="AH22" s="160">
        <v>0</v>
      </c>
      <c r="AI22" s="160">
        <v>0</v>
      </c>
      <c r="AJ22" s="160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160">
        <v>0</v>
      </c>
      <c r="AQ22" s="161">
        <v>0</v>
      </c>
      <c r="AR22" s="161">
        <v>0</v>
      </c>
      <c r="AS22" s="161">
        <v>0</v>
      </c>
      <c r="AT22" s="161">
        <v>0</v>
      </c>
      <c r="AU22" s="161">
        <v>0</v>
      </c>
      <c r="AV22" s="161">
        <v>0</v>
      </c>
      <c r="AW22" s="161">
        <v>0</v>
      </c>
      <c r="AX22" s="162">
        <v>0</v>
      </c>
      <c r="AY22" s="162">
        <v>0</v>
      </c>
      <c r="AZ22" s="162">
        <v>0</v>
      </c>
      <c r="BA22" s="162">
        <v>1</v>
      </c>
      <c r="BB22" s="32"/>
      <c r="BC22" s="63"/>
      <c r="BD22" s="63">
        <f t="shared" si="9"/>
        <v>0</v>
      </c>
      <c r="BE22" s="63"/>
      <c r="BF22" s="32"/>
      <c r="BG22" s="32"/>
      <c r="BH22" s="63"/>
      <c r="BI22" s="64">
        <f t="shared" si="10"/>
        <v>0</v>
      </c>
      <c r="BJ22" s="63"/>
      <c r="BK22" s="32"/>
      <c r="BL22" s="32"/>
      <c r="BM22" s="33"/>
      <c r="BN22" s="33">
        <f t="shared" si="11"/>
        <v>0</v>
      </c>
      <c r="BO22" s="33"/>
      <c r="BP22" s="32"/>
      <c r="BQ22" s="32"/>
      <c r="BR22" s="33"/>
      <c r="BS22" s="33">
        <f t="shared" si="12"/>
        <v>0</v>
      </c>
      <c r="BT22" s="33"/>
      <c r="BU22" s="32"/>
      <c r="BV22" s="32"/>
      <c r="BW22" s="63"/>
      <c r="BX22" s="63">
        <f t="shared" si="13"/>
        <v>0</v>
      </c>
      <c r="BY22" s="63"/>
      <c r="BZ22" s="32"/>
      <c r="CA22" s="32"/>
      <c r="CB22" s="33"/>
      <c r="CC22" s="33">
        <f t="shared" si="14"/>
        <v>0</v>
      </c>
      <c r="CD22" s="33"/>
      <c r="CE22" s="32"/>
      <c r="CF22" s="33"/>
      <c r="CG22" s="33">
        <f t="shared" si="15"/>
        <v>0</v>
      </c>
      <c r="CH22" s="33"/>
      <c r="CI22" s="32"/>
      <c r="CJ22" s="33"/>
      <c r="CK22" s="33">
        <f t="shared" si="16"/>
        <v>0</v>
      </c>
      <c r="CL22" s="33"/>
      <c r="CM22" s="32"/>
      <c r="CN22" s="23"/>
      <c r="CO22" s="5">
        <f t="shared" si="17"/>
        <v>0</v>
      </c>
      <c r="CP22" s="10"/>
      <c r="CQ22" s="6"/>
      <c r="CR22" s="31"/>
      <c r="CS22" s="124"/>
      <c r="CT22" s="124"/>
      <c r="CU22" s="31"/>
      <c r="CV22" s="124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</row>
    <row r="23" spans="1:126" s="7" customFormat="1" ht="15" customHeight="1" x14ac:dyDescent="0.3">
      <c r="A23" s="134">
        <v>90</v>
      </c>
      <c r="B23" s="35" t="s">
        <v>49</v>
      </c>
      <c r="C23" s="14">
        <v>7096419</v>
      </c>
      <c r="D23" s="14" t="s">
        <v>54</v>
      </c>
      <c r="E23" s="15" t="s">
        <v>359</v>
      </c>
      <c r="F23" s="167">
        <v>7</v>
      </c>
      <c r="G23" s="25">
        <v>0</v>
      </c>
      <c r="H23" s="9">
        <v>0</v>
      </c>
      <c r="I23" s="26">
        <v>0</v>
      </c>
      <c r="J23" s="30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158">
        <v>0</v>
      </c>
      <c r="Q23" s="158">
        <v>1</v>
      </c>
      <c r="R23" s="158">
        <v>1</v>
      </c>
      <c r="S23" s="158">
        <v>1</v>
      </c>
      <c r="T23" s="158">
        <v>0</v>
      </c>
      <c r="U23" s="158">
        <v>0</v>
      </c>
      <c r="V23" s="29">
        <v>1</v>
      </c>
      <c r="W23" s="29">
        <v>0</v>
      </c>
      <c r="X23" s="159">
        <v>1</v>
      </c>
      <c r="Y23" s="159">
        <v>1</v>
      </c>
      <c r="Z23" s="29">
        <v>0</v>
      </c>
      <c r="AA23" s="29">
        <v>0</v>
      </c>
      <c r="AB23" s="29">
        <v>0</v>
      </c>
      <c r="AC23" s="29">
        <v>0</v>
      </c>
      <c r="AD23" s="29">
        <v>0</v>
      </c>
      <c r="AE23" s="159">
        <v>1</v>
      </c>
      <c r="AF23" s="159">
        <v>1</v>
      </c>
      <c r="AG23" s="160">
        <v>0</v>
      </c>
      <c r="AH23" s="160">
        <v>0</v>
      </c>
      <c r="AI23" s="160">
        <v>0</v>
      </c>
      <c r="AJ23" s="160">
        <v>0</v>
      </c>
      <c r="AK23" s="29">
        <v>0</v>
      </c>
      <c r="AL23" s="29">
        <v>1</v>
      </c>
      <c r="AM23" s="29">
        <v>1</v>
      </c>
      <c r="AN23" s="29">
        <v>1</v>
      </c>
      <c r="AO23" s="29">
        <v>1</v>
      </c>
      <c r="AP23" s="160">
        <v>1</v>
      </c>
      <c r="AQ23" s="161">
        <v>0</v>
      </c>
      <c r="AR23" s="161">
        <v>0</v>
      </c>
      <c r="AS23" s="161">
        <v>0</v>
      </c>
      <c r="AT23" s="161">
        <v>0</v>
      </c>
      <c r="AU23" s="161">
        <v>0</v>
      </c>
      <c r="AV23" s="161">
        <v>0</v>
      </c>
      <c r="AW23" s="161">
        <v>0</v>
      </c>
      <c r="AX23" s="162">
        <v>0</v>
      </c>
      <c r="AY23" s="162">
        <v>0</v>
      </c>
      <c r="AZ23" s="162">
        <v>0</v>
      </c>
      <c r="BA23" s="162">
        <v>0</v>
      </c>
      <c r="BB23" s="32"/>
      <c r="BC23" s="63"/>
      <c r="BD23" s="63">
        <f t="shared" si="9"/>
        <v>0</v>
      </c>
      <c r="BE23" s="63"/>
      <c r="BF23" s="32"/>
      <c r="BG23" s="32"/>
      <c r="BH23" s="63"/>
      <c r="BI23" s="64">
        <f t="shared" si="10"/>
        <v>0</v>
      </c>
      <c r="BJ23" s="63"/>
      <c r="BK23" s="32"/>
      <c r="BL23" s="32"/>
      <c r="BM23" s="33"/>
      <c r="BN23" s="33">
        <f t="shared" si="11"/>
        <v>0</v>
      </c>
      <c r="BO23" s="33"/>
      <c r="BP23" s="32"/>
      <c r="BQ23" s="32"/>
      <c r="BR23" s="33"/>
      <c r="BS23" s="33">
        <f t="shared" si="12"/>
        <v>0</v>
      </c>
      <c r="BT23" s="33"/>
      <c r="BU23" s="32"/>
      <c r="BV23" s="32"/>
      <c r="BW23" s="63"/>
      <c r="BX23" s="63">
        <f t="shared" si="13"/>
        <v>0</v>
      </c>
      <c r="BY23" s="63"/>
      <c r="BZ23" s="32"/>
      <c r="CA23" s="32"/>
      <c r="CB23" s="33"/>
      <c r="CC23" s="33">
        <f t="shared" si="14"/>
        <v>0</v>
      </c>
      <c r="CD23" s="33"/>
      <c r="CE23" s="32"/>
      <c r="CF23" s="33"/>
      <c r="CG23" s="33">
        <f t="shared" si="15"/>
        <v>0</v>
      </c>
      <c r="CH23" s="33"/>
      <c r="CI23" s="32"/>
      <c r="CJ23" s="33"/>
      <c r="CK23" s="33">
        <f t="shared" si="16"/>
        <v>0</v>
      </c>
      <c r="CL23" s="33"/>
      <c r="CM23" s="32"/>
      <c r="CN23" s="23"/>
      <c r="CO23" s="5">
        <f t="shared" si="17"/>
        <v>0</v>
      </c>
      <c r="CP23" s="10"/>
      <c r="CQ23" s="6"/>
      <c r="CR23" s="31"/>
      <c r="CS23" s="124"/>
      <c r="CT23" s="124"/>
      <c r="CU23" s="31"/>
      <c r="CV23" s="124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</row>
    <row r="24" spans="1:126" s="7" customFormat="1" ht="15" customHeight="1" x14ac:dyDescent="0.3">
      <c r="A24" s="134">
        <v>43</v>
      </c>
      <c r="B24" s="35" t="s">
        <v>42</v>
      </c>
      <c r="C24" s="14">
        <v>7092308</v>
      </c>
      <c r="D24" s="14" t="s">
        <v>54</v>
      </c>
      <c r="E24" s="14" t="s">
        <v>55</v>
      </c>
      <c r="F24" s="167">
        <v>0</v>
      </c>
      <c r="G24" s="25">
        <v>0</v>
      </c>
      <c r="H24" s="9">
        <v>0</v>
      </c>
      <c r="I24" s="26">
        <v>0</v>
      </c>
      <c r="J24" s="30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29">
        <v>0</v>
      </c>
      <c r="W24" s="29">
        <v>0</v>
      </c>
      <c r="X24" s="159">
        <v>0</v>
      </c>
      <c r="Y24" s="15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159">
        <v>1</v>
      </c>
      <c r="AF24" s="159">
        <v>1</v>
      </c>
      <c r="AG24" s="160">
        <v>1</v>
      </c>
      <c r="AH24" s="160">
        <v>0</v>
      </c>
      <c r="AI24" s="160">
        <v>0</v>
      </c>
      <c r="AJ24" s="160">
        <v>0</v>
      </c>
      <c r="AK24" s="29">
        <v>1</v>
      </c>
      <c r="AL24" s="29">
        <v>1</v>
      </c>
      <c r="AM24" s="29">
        <v>1</v>
      </c>
      <c r="AN24" s="29">
        <v>1</v>
      </c>
      <c r="AO24" s="29">
        <v>1</v>
      </c>
      <c r="AP24" s="160">
        <v>1</v>
      </c>
      <c r="AQ24" s="161">
        <v>0</v>
      </c>
      <c r="AR24" s="161">
        <v>0</v>
      </c>
      <c r="AS24" s="161">
        <v>1</v>
      </c>
      <c r="AT24" s="161">
        <v>1</v>
      </c>
      <c r="AU24" s="161">
        <v>1</v>
      </c>
      <c r="AV24" s="161">
        <v>1</v>
      </c>
      <c r="AW24" s="161">
        <v>0</v>
      </c>
      <c r="AX24" s="162">
        <v>0</v>
      </c>
      <c r="AY24" s="162">
        <v>0</v>
      </c>
      <c r="AZ24" s="162">
        <v>0</v>
      </c>
      <c r="BA24" s="162">
        <v>0</v>
      </c>
      <c r="BB24" s="32"/>
      <c r="BC24" s="63"/>
      <c r="BD24" s="63">
        <f t="shared" si="9"/>
        <v>0</v>
      </c>
      <c r="BE24" s="63"/>
      <c r="BF24" s="32"/>
      <c r="BG24" s="32"/>
      <c r="BH24" s="63"/>
      <c r="BI24" s="64">
        <f t="shared" si="10"/>
        <v>0</v>
      </c>
      <c r="BJ24" s="63"/>
      <c r="BK24" s="32"/>
      <c r="BL24" s="32"/>
      <c r="BM24" s="33"/>
      <c r="BN24" s="33">
        <f t="shared" si="11"/>
        <v>0</v>
      </c>
      <c r="BO24" s="33"/>
      <c r="BP24" s="32"/>
      <c r="BQ24" s="32"/>
      <c r="BR24" s="33"/>
      <c r="BS24" s="33">
        <f t="shared" si="12"/>
        <v>0</v>
      </c>
      <c r="BT24" s="33"/>
      <c r="BU24" s="32"/>
      <c r="BV24" s="32"/>
      <c r="BW24" s="63"/>
      <c r="BX24" s="63">
        <f t="shared" si="13"/>
        <v>0</v>
      </c>
      <c r="BY24" s="63"/>
      <c r="BZ24" s="32"/>
      <c r="CA24" s="32"/>
      <c r="CB24" s="33"/>
      <c r="CC24" s="33">
        <f t="shared" si="14"/>
        <v>0</v>
      </c>
      <c r="CD24" s="33"/>
      <c r="CE24" s="32"/>
      <c r="CF24" s="33"/>
      <c r="CG24" s="33">
        <f t="shared" si="15"/>
        <v>0</v>
      </c>
      <c r="CH24" s="33"/>
      <c r="CI24" s="32"/>
      <c r="CJ24" s="33"/>
      <c r="CK24" s="33">
        <f t="shared" si="16"/>
        <v>0</v>
      </c>
      <c r="CL24" s="33"/>
      <c r="CM24" s="32"/>
      <c r="CN24" s="23"/>
      <c r="CO24" s="5">
        <f t="shared" si="17"/>
        <v>0</v>
      </c>
      <c r="CP24" s="10"/>
      <c r="CQ24" s="6"/>
      <c r="CR24" s="31"/>
      <c r="CS24" s="124"/>
      <c r="CT24" s="124"/>
      <c r="CU24" s="31"/>
      <c r="CV24" s="124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</row>
    <row r="25" spans="1:126" s="8" customFormat="1" ht="15" customHeight="1" x14ac:dyDescent="0.3">
      <c r="A25" s="134">
        <v>76</v>
      </c>
      <c r="B25" s="35" t="s">
        <v>42</v>
      </c>
      <c r="C25" s="14">
        <v>7095860</v>
      </c>
      <c r="D25" s="14" t="s">
        <v>195</v>
      </c>
      <c r="E25" s="15" t="s">
        <v>196</v>
      </c>
      <c r="F25" s="167">
        <v>7</v>
      </c>
      <c r="G25" s="25">
        <v>0</v>
      </c>
      <c r="H25" s="9">
        <v>0</v>
      </c>
      <c r="I25" s="26">
        <v>0</v>
      </c>
      <c r="J25" s="30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158">
        <v>0</v>
      </c>
      <c r="Q25" s="158">
        <v>1</v>
      </c>
      <c r="R25" s="158">
        <v>1</v>
      </c>
      <c r="S25" s="158">
        <v>1</v>
      </c>
      <c r="T25" s="158">
        <v>1</v>
      </c>
      <c r="U25" s="158">
        <v>0</v>
      </c>
      <c r="V25" s="29">
        <v>1</v>
      </c>
      <c r="W25" s="29">
        <v>1</v>
      </c>
      <c r="X25" s="159">
        <v>1</v>
      </c>
      <c r="Y25" s="159">
        <v>1</v>
      </c>
      <c r="Z25" s="29">
        <v>0</v>
      </c>
      <c r="AA25" s="29">
        <v>0</v>
      </c>
      <c r="AB25" s="29">
        <v>0</v>
      </c>
      <c r="AC25" s="29">
        <v>0</v>
      </c>
      <c r="AD25" s="29">
        <v>0</v>
      </c>
      <c r="AE25" s="159">
        <v>1</v>
      </c>
      <c r="AF25" s="159">
        <v>1</v>
      </c>
      <c r="AG25" s="160">
        <v>0</v>
      </c>
      <c r="AH25" s="160">
        <v>0</v>
      </c>
      <c r="AI25" s="160">
        <v>0</v>
      </c>
      <c r="AJ25" s="160">
        <v>0</v>
      </c>
      <c r="AK25" s="29">
        <v>0</v>
      </c>
      <c r="AL25" s="29">
        <v>0</v>
      </c>
      <c r="AM25" s="29">
        <v>0</v>
      </c>
      <c r="AN25" s="29">
        <v>0</v>
      </c>
      <c r="AO25" s="29">
        <v>0</v>
      </c>
      <c r="AP25" s="160">
        <v>0</v>
      </c>
      <c r="AQ25" s="161">
        <v>0</v>
      </c>
      <c r="AR25" s="161">
        <v>0</v>
      </c>
      <c r="AS25" s="161">
        <v>0</v>
      </c>
      <c r="AT25" s="161">
        <v>0</v>
      </c>
      <c r="AU25" s="161">
        <v>0</v>
      </c>
      <c r="AV25" s="161">
        <v>0</v>
      </c>
      <c r="AW25" s="161">
        <v>0</v>
      </c>
      <c r="AX25" s="162">
        <v>0</v>
      </c>
      <c r="AY25" s="162">
        <v>0</v>
      </c>
      <c r="AZ25" s="162">
        <v>0</v>
      </c>
      <c r="BA25" s="162">
        <v>1</v>
      </c>
      <c r="BB25" s="32"/>
      <c r="BC25" s="63"/>
      <c r="BD25" s="63">
        <f t="shared" si="9"/>
        <v>0</v>
      </c>
      <c r="BE25" s="63"/>
      <c r="BF25" s="32"/>
      <c r="BG25" s="32"/>
      <c r="BH25" s="63"/>
      <c r="BI25" s="64">
        <f t="shared" si="10"/>
        <v>0</v>
      </c>
      <c r="BJ25" s="63"/>
      <c r="BK25" s="32"/>
      <c r="BL25" s="32"/>
      <c r="BM25" s="33"/>
      <c r="BN25" s="33">
        <f t="shared" si="11"/>
        <v>0</v>
      </c>
      <c r="BO25" s="33"/>
      <c r="BP25" s="32"/>
      <c r="BQ25" s="32"/>
      <c r="BR25" s="33"/>
      <c r="BS25" s="33">
        <f t="shared" si="12"/>
        <v>0</v>
      </c>
      <c r="BT25" s="33"/>
      <c r="BU25" s="32"/>
      <c r="BV25" s="32"/>
      <c r="BW25" s="63"/>
      <c r="BX25" s="63">
        <f t="shared" si="13"/>
        <v>0</v>
      </c>
      <c r="BY25" s="63"/>
      <c r="BZ25" s="32"/>
      <c r="CA25" s="32"/>
      <c r="CB25" s="33"/>
      <c r="CC25" s="33">
        <f t="shared" si="14"/>
        <v>0</v>
      </c>
      <c r="CD25" s="33"/>
      <c r="CE25" s="32"/>
      <c r="CF25" s="33"/>
      <c r="CG25" s="33">
        <f t="shared" si="15"/>
        <v>0</v>
      </c>
      <c r="CH25" s="33"/>
      <c r="CI25" s="32"/>
      <c r="CJ25" s="33"/>
      <c r="CK25" s="33">
        <f t="shared" si="16"/>
        <v>0</v>
      </c>
      <c r="CL25" s="33"/>
      <c r="CM25" s="32"/>
      <c r="CN25" s="23"/>
      <c r="CO25" s="5">
        <f t="shared" si="17"/>
        <v>0</v>
      </c>
      <c r="CP25" s="10"/>
      <c r="CQ25" s="6"/>
      <c r="CR25" s="31"/>
      <c r="CS25" s="124"/>
      <c r="CT25" s="124"/>
      <c r="CU25" s="31"/>
      <c r="CV25" s="124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</row>
    <row r="26" spans="1:126" s="7" customFormat="1" ht="15" customHeight="1" x14ac:dyDescent="0.3">
      <c r="A26" s="134">
        <v>11</v>
      </c>
      <c r="B26" s="34" t="s">
        <v>49</v>
      </c>
      <c r="C26" s="14">
        <v>7042058</v>
      </c>
      <c r="D26" s="14" t="s">
        <v>56</v>
      </c>
      <c r="E26" s="15" t="s">
        <v>57</v>
      </c>
      <c r="F26" s="167">
        <v>4</v>
      </c>
      <c r="G26" s="25">
        <v>0</v>
      </c>
      <c r="H26" s="9">
        <v>0</v>
      </c>
      <c r="I26" s="26">
        <v>0</v>
      </c>
      <c r="J26" s="30">
        <v>0</v>
      </c>
      <c r="K26" s="29">
        <v>1</v>
      </c>
      <c r="L26" s="29">
        <v>0</v>
      </c>
      <c r="M26" s="29">
        <v>0</v>
      </c>
      <c r="N26" s="29">
        <v>0</v>
      </c>
      <c r="O26" s="29">
        <v>0</v>
      </c>
      <c r="P26" s="158">
        <v>0</v>
      </c>
      <c r="Q26" s="158">
        <v>0</v>
      </c>
      <c r="R26" s="158">
        <v>0</v>
      </c>
      <c r="S26" s="158">
        <v>0</v>
      </c>
      <c r="T26" s="158">
        <v>0</v>
      </c>
      <c r="U26" s="158">
        <v>0</v>
      </c>
      <c r="V26" s="29">
        <v>0</v>
      </c>
      <c r="W26" s="29">
        <v>0</v>
      </c>
      <c r="X26" s="159">
        <v>0</v>
      </c>
      <c r="Y26" s="159">
        <v>0</v>
      </c>
      <c r="Z26" s="29">
        <v>0</v>
      </c>
      <c r="AA26" s="29">
        <v>0</v>
      </c>
      <c r="AB26" s="29">
        <v>1</v>
      </c>
      <c r="AC26" s="29">
        <v>1</v>
      </c>
      <c r="AD26" s="29">
        <v>0</v>
      </c>
      <c r="AE26" s="159">
        <v>1</v>
      </c>
      <c r="AF26" s="159">
        <v>1</v>
      </c>
      <c r="AG26" s="160">
        <v>0</v>
      </c>
      <c r="AH26" s="160">
        <v>0</v>
      </c>
      <c r="AI26" s="160">
        <v>0</v>
      </c>
      <c r="AJ26" s="160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160">
        <v>0</v>
      </c>
      <c r="AQ26" s="161">
        <v>0</v>
      </c>
      <c r="AR26" s="161">
        <v>0</v>
      </c>
      <c r="AS26" s="161">
        <v>0</v>
      </c>
      <c r="AT26" s="161">
        <v>0</v>
      </c>
      <c r="AU26" s="161">
        <v>0</v>
      </c>
      <c r="AV26" s="161">
        <v>0</v>
      </c>
      <c r="AW26" s="161">
        <v>0</v>
      </c>
      <c r="AX26" s="162">
        <v>0</v>
      </c>
      <c r="AY26" s="162">
        <v>0</v>
      </c>
      <c r="AZ26" s="162">
        <v>0</v>
      </c>
      <c r="BA26" s="162">
        <v>1</v>
      </c>
      <c r="BB26" s="32"/>
      <c r="BC26" s="63"/>
      <c r="BD26" s="63">
        <f t="shared" si="9"/>
        <v>0</v>
      </c>
      <c r="BE26" s="63"/>
      <c r="BF26" s="32"/>
      <c r="BG26" s="32"/>
      <c r="BH26" s="63"/>
      <c r="BI26" s="64">
        <f t="shared" si="10"/>
        <v>0</v>
      </c>
      <c r="BJ26" s="63"/>
      <c r="BK26" s="32"/>
      <c r="BL26" s="32"/>
      <c r="BM26" s="33"/>
      <c r="BN26" s="33">
        <f t="shared" si="11"/>
        <v>0</v>
      </c>
      <c r="BO26" s="33"/>
      <c r="BP26" s="32"/>
      <c r="BQ26" s="32"/>
      <c r="BR26" s="33"/>
      <c r="BS26" s="33">
        <f t="shared" si="12"/>
        <v>0</v>
      </c>
      <c r="BT26" s="33"/>
      <c r="BU26" s="32"/>
      <c r="BV26" s="32"/>
      <c r="BW26" s="63"/>
      <c r="BX26" s="63">
        <f t="shared" si="13"/>
        <v>0</v>
      </c>
      <c r="BY26" s="63"/>
      <c r="BZ26" s="32"/>
      <c r="CA26" s="32"/>
      <c r="CB26" s="33"/>
      <c r="CC26" s="33">
        <f t="shared" si="14"/>
        <v>0</v>
      </c>
      <c r="CD26" s="33"/>
      <c r="CE26" s="32"/>
      <c r="CF26" s="33"/>
      <c r="CG26" s="33">
        <f t="shared" si="15"/>
        <v>0</v>
      </c>
      <c r="CH26" s="33"/>
      <c r="CI26" s="32"/>
      <c r="CJ26" s="33"/>
      <c r="CK26" s="33">
        <f t="shared" si="16"/>
        <v>0</v>
      </c>
      <c r="CL26" s="33"/>
      <c r="CM26" s="32"/>
      <c r="CN26" s="23"/>
      <c r="CO26" s="5">
        <f t="shared" si="17"/>
        <v>0</v>
      </c>
      <c r="CP26" s="10"/>
      <c r="CQ26" s="6"/>
      <c r="CR26" s="31"/>
      <c r="CS26" s="124"/>
      <c r="CT26" s="124"/>
      <c r="CU26" s="31"/>
      <c r="CV26" s="124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</row>
    <row r="27" spans="1:126" s="7" customFormat="1" ht="15" customHeight="1" x14ac:dyDescent="0.3">
      <c r="A27" s="134">
        <v>87</v>
      </c>
      <c r="B27" s="35" t="s">
        <v>397</v>
      </c>
      <c r="C27" s="14">
        <v>7096844</v>
      </c>
      <c r="D27" s="14" t="s">
        <v>366</v>
      </c>
      <c r="E27" s="15" t="s">
        <v>367</v>
      </c>
      <c r="F27" s="167">
        <v>0</v>
      </c>
      <c r="G27" s="25">
        <v>0</v>
      </c>
      <c r="H27" s="9">
        <v>0</v>
      </c>
      <c r="I27" s="26">
        <v>0</v>
      </c>
      <c r="J27" s="30">
        <v>0</v>
      </c>
      <c r="K27" s="29">
        <v>1</v>
      </c>
      <c r="L27" s="29">
        <v>0</v>
      </c>
      <c r="M27" s="29">
        <v>0</v>
      </c>
      <c r="N27" s="29">
        <v>0</v>
      </c>
      <c r="O27" s="29">
        <v>0</v>
      </c>
      <c r="P27" s="158">
        <v>0</v>
      </c>
      <c r="Q27" s="158">
        <v>0</v>
      </c>
      <c r="R27" s="158">
        <v>0</v>
      </c>
      <c r="S27" s="158">
        <v>0</v>
      </c>
      <c r="T27" s="158">
        <v>0</v>
      </c>
      <c r="U27" s="158">
        <v>0</v>
      </c>
      <c r="V27" s="29">
        <v>0</v>
      </c>
      <c r="W27" s="29">
        <v>0</v>
      </c>
      <c r="X27" s="159">
        <v>0</v>
      </c>
      <c r="Y27" s="159">
        <v>0</v>
      </c>
      <c r="Z27" s="29">
        <v>1</v>
      </c>
      <c r="AA27" s="29">
        <v>0</v>
      </c>
      <c r="AB27" s="29">
        <v>0</v>
      </c>
      <c r="AC27" s="29">
        <v>0</v>
      </c>
      <c r="AD27" s="29">
        <v>0</v>
      </c>
      <c r="AE27" s="159">
        <v>1</v>
      </c>
      <c r="AF27" s="159">
        <v>1</v>
      </c>
      <c r="AG27" s="160">
        <v>0</v>
      </c>
      <c r="AH27" s="160">
        <v>0</v>
      </c>
      <c r="AI27" s="160">
        <v>0</v>
      </c>
      <c r="AJ27" s="160">
        <v>0</v>
      </c>
      <c r="AK27" s="29">
        <v>0</v>
      </c>
      <c r="AL27" s="29">
        <v>0</v>
      </c>
      <c r="AM27" s="29">
        <v>0</v>
      </c>
      <c r="AN27" s="29">
        <v>0</v>
      </c>
      <c r="AO27" s="29">
        <v>0</v>
      </c>
      <c r="AP27" s="160">
        <v>0</v>
      </c>
      <c r="AQ27" s="161">
        <v>0</v>
      </c>
      <c r="AR27" s="161">
        <v>0</v>
      </c>
      <c r="AS27" s="161">
        <v>0</v>
      </c>
      <c r="AT27" s="161">
        <v>0</v>
      </c>
      <c r="AU27" s="161">
        <v>0</v>
      </c>
      <c r="AV27" s="161">
        <v>0</v>
      </c>
      <c r="AW27" s="161">
        <v>0</v>
      </c>
      <c r="AX27" s="162">
        <v>0</v>
      </c>
      <c r="AY27" s="162">
        <v>0</v>
      </c>
      <c r="AZ27" s="162">
        <v>0</v>
      </c>
      <c r="BA27" s="162">
        <v>1</v>
      </c>
      <c r="BB27" s="32"/>
      <c r="BC27" s="63"/>
      <c r="BD27" s="63">
        <f t="shared" si="9"/>
        <v>0</v>
      </c>
      <c r="BE27" s="63"/>
      <c r="BF27" s="32"/>
      <c r="BG27" s="32"/>
      <c r="BH27" s="63"/>
      <c r="BI27" s="64">
        <f t="shared" si="10"/>
        <v>0</v>
      </c>
      <c r="BJ27" s="63"/>
      <c r="BK27" s="32"/>
      <c r="BL27" s="32"/>
      <c r="BM27" s="33"/>
      <c r="BN27" s="33">
        <f t="shared" si="11"/>
        <v>0</v>
      </c>
      <c r="BO27" s="33"/>
      <c r="BP27" s="32"/>
      <c r="BQ27" s="32"/>
      <c r="BR27" s="33"/>
      <c r="BS27" s="33">
        <f t="shared" si="12"/>
        <v>0</v>
      </c>
      <c r="BT27" s="33"/>
      <c r="BU27" s="32"/>
      <c r="BV27" s="32"/>
      <c r="BW27" s="63"/>
      <c r="BX27" s="63">
        <f t="shared" si="13"/>
        <v>0</v>
      </c>
      <c r="BY27" s="63"/>
      <c r="BZ27" s="32"/>
      <c r="CA27" s="32"/>
      <c r="CB27" s="33"/>
      <c r="CC27" s="33">
        <f t="shared" si="14"/>
        <v>0</v>
      </c>
      <c r="CD27" s="33"/>
      <c r="CE27" s="32"/>
      <c r="CF27" s="33"/>
      <c r="CG27" s="33">
        <f t="shared" si="15"/>
        <v>0</v>
      </c>
      <c r="CH27" s="33"/>
      <c r="CI27" s="32"/>
      <c r="CJ27" s="33"/>
      <c r="CK27" s="33">
        <f t="shared" si="16"/>
        <v>0</v>
      </c>
      <c r="CL27" s="33"/>
      <c r="CM27" s="32"/>
      <c r="CN27" s="23"/>
      <c r="CO27" s="5">
        <f t="shared" si="17"/>
        <v>0</v>
      </c>
      <c r="CP27" s="10"/>
      <c r="CQ27" s="6"/>
      <c r="CR27" s="31"/>
      <c r="CS27" s="124"/>
      <c r="CT27" s="124"/>
      <c r="CU27" s="31"/>
      <c r="CV27" s="124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</row>
    <row r="28" spans="1:126" s="7" customFormat="1" ht="15" customHeight="1" x14ac:dyDescent="0.3">
      <c r="A28" s="134">
        <v>85</v>
      </c>
      <c r="B28" s="41" t="s">
        <v>43</v>
      </c>
      <c r="C28" s="14">
        <v>7096839</v>
      </c>
      <c r="D28" s="14" t="s">
        <v>347</v>
      </c>
      <c r="E28" s="15" t="s">
        <v>348</v>
      </c>
      <c r="F28" s="167">
        <v>5467</v>
      </c>
      <c r="G28" s="25">
        <v>0</v>
      </c>
      <c r="H28" s="9">
        <v>0</v>
      </c>
      <c r="I28" s="26">
        <v>0</v>
      </c>
      <c r="J28" s="30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158">
        <v>0</v>
      </c>
      <c r="Q28" s="158">
        <v>1</v>
      </c>
      <c r="R28" s="158">
        <v>1</v>
      </c>
      <c r="S28" s="158">
        <v>1</v>
      </c>
      <c r="T28" s="158">
        <v>0</v>
      </c>
      <c r="U28" s="158">
        <v>1</v>
      </c>
      <c r="V28" s="29">
        <v>1</v>
      </c>
      <c r="W28" s="29">
        <v>0</v>
      </c>
      <c r="X28" s="159">
        <v>0</v>
      </c>
      <c r="Y28" s="15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159">
        <v>1</v>
      </c>
      <c r="AF28" s="159">
        <v>1</v>
      </c>
      <c r="AG28" s="160">
        <v>0</v>
      </c>
      <c r="AH28" s="160">
        <v>0</v>
      </c>
      <c r="AI28" s="160">
        <v>0</v>
      </c>
      <c r="AJ28" s="160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160">
        <v>0</v>
      </c>
      <c r="AQ28" s="161">
        <v>1</v>
      </c>
      <c r="AR28" s="161">
        <v>0</v>
      </c>
      <c r="AS28" s="161">
        <v>0</v>
      </c>
      <c r="AT28" s="161">
        <v>0</v>
      </c>
      <c r="AU28" s="161">
        <v>0</v>
      </c>
      <c r="AV28" s="161">
        <v>0</v>
      </c>
      <c r="AW28" s="161">
        <v>1</v>
      </c>
      <c r="AX28" s="162">
        <v>0</v>
      </c>
      <c r="AY28" s="162">
        <v>0</v>
      </c>
      <c r="AZ28" s="162">
        <v>0</v>
      </c>
      <c r="BA28" s="162">
        <v>1</v>
      </c>
      <c r="BB28" s="32"/>
      <c r="BC28" s="63"/>
      <c r="BD28" s="63">
        <f t="shared" si="9"/>
        <v>0</v>
      </c>
      <c r="BE28" s="63"/>
      <c r="BF28" s="32"/>
      <c r="BG28" s="32"/>
      <c r="BH28" s="63"/>
      <c r="BI28" s="64">
        <f t="shared" si="10"/>
        <v>0</v>
      </c>
      <c r="BJ28" s="63"/>
      <c r="BK28" s="32"/>
      <c r="BL28" s="32"/>
      <c r="BM28" s="33"/>
      <c r="BN28" s="33">
        <f t="shared" si="11"/>
        <v>0</v>
      </c>
      <c r="BO28" s="33"/>
      <c r="BP28" s="32"/>
      <c r="BQ28" s="32"/>
      <c r="BR28" s="33"/>
      <c r="BS28" s="33">
        <f t="shared" si="12"/>
        <v>0</v>
      </c>
      <c r="BT28" s="33"/>
      <c r="BU28" s="32"/>
      <c r="BV28" s="32"/>
      <c r="BW28" s="63"/>
      <c r="BX28" s="63">
        <f t="shared" si="13"/>
        <v>0</v>
      </c>
      <c r="BY28" s="63"/>
      <c r="BZ28" s="32"/>
      <c r="CA28" s="32"/>
      <c r="CB28" s="33"/>
      <c r="CC28" s="33">
        <f t="shared" si="14"/>
        <v>0</v>
      </c>
      <c r="CD28" s="33"/>
      <c r="CE28" s="32"/>
      <c r="CF28" s="33"/>
      <c r="CG28" s="33">
        <f t="shared" si="15"/>
        <v>0</v>
      </c>
      <c r="CH28" s="33"/>
      <c r="CI28" s="32"/>
      <c r="CJ28" s="33"/>
      <c r="CK28" s="33">
        <f t="shared" si="16"/>
        <v>0</v>
      </c>
      <c r="CL28" s="33"/>
      <c r="CM28" s="32"/>
      <c r="CN28" s="23"/>
      <c r="CO28" s="5">
        <f t="shared" si="17"/>
        <v>0</v>
      </c>
      <c r="CP28" s="10"/>
      <c r="CQ28" s="6"/>
      <c r="CR28" s="31"/>
      <c r="CS28" s="124"/>
      <c r="CT28" s="124"/>
      <c r="CU28" s="31"/>
      <c r="CV28" s="124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</row>
    <row r="29" spans="1:126" s="7" customFormat="1" ht="15" customHeight="1" x14ac:dyDescent="0.3">
      <c r="A29" s="134">
        <v>12</v>
      </c>
      <c r="B29" s="34" t="s">
        <v>397</v>
      </c>
      <c r="C29" s="16">
        <v>7027781</v>
      </c>
      <c r="D29" s="14" t="s">
        <v>58</v>
      </c>
      <c r="E29" s="15" t="s">
        <v>59</v>
      </c>
      <c r="F29" s="167">
        <v>56756</v>
      </c>
      <c r="G29" s="25">
        <v>0</v>
      </c>
      <c r="H29" s="9">
        <v>0</v>
      </c>
      <c r="I29" s="26">
        <v>0</v>
      </c>
      <c r="J29" s="30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158">
        <v>0</v>
      </c>
      <c r="Q29" s="158">
        <v>0</v>
      </c>
      <c r="R29" s="158">
        <v>0</v>
      </c>
      <c r="S29" s="158">
        <v>0</v>
      </c>
      <c r="T29" s="158">
        <v>0</v>
      </c>
      <c r="U29" s="158">
        <v>0</v>
      </c>
      <c r="V29" s="29">
        <v>0</v>
      </c>
      <c r="W29" s="29">
        <v>0</v>
      </c>
      <c r="X29" s="159">
        <v>0</v>
      </c>
      <c r="Y29" s="159">
        <v>0</v>
      </c>
      <c r="Z29" s="29">
        <v>0</v>
      </c>
      <c r="AA29" s="29">
        <v>0</v>
      </c>
      <c r="AB29" s="29">
        <v>0</v>
      </c>
      <c r="AC29" s="29">
        <v>0</v>
      </c>
      <c r="AD29" s="29">
        <v>0</v>
      </c>
      <c r="AE29" s="159">
        <v>1</v>
      </c>
      <c r="AF29" s="159">
        <v>1</v>
      </c>
      <c r="AG29" s="160">
        <v>1</v>
      </c>
      <c r="AH29" s="160">
        <v>0</v>
      </c>
      <c r="AI29" s="160">
        <v>0</v>
      </c>
      <c r="AJ29" s="160">
        <v>0</v>
      </c>
      <c r="AK29" s="29">
        <v>1</v>
      </c>
      <c r="AL29" s="29">
        <v>0</v>
      </c>
      <c r="AM29" s="29">
        <v>0</v>
      </c>
      <c r="AN29" s="29">
        <v>1</v>
      </c>
      <c r="AO29" s="29">
        <v>1</v>
      </c>
      <c r="AP29" s="160">
        <v>1</v>
      </c>
      <c r="AQ29" s="161">
        <v>0</v>
      </c>
      <c r="AR29" s="161">
        <v>0</v>
      </c>
      <c r="AS29" s="161">
        <v>0</v>
      </c>
      <c r="AT29" s="161">
        <v>0</v>
      </c>
      <c r="AU29" s="161">
        <v>0</v>
      </c>
      <c r="AV29" s="161">
        <v>0</v>
      </c>
      <c r="AW29" s="161">
        <v>0</v>
      </c>
      <c r="AX29" s="162">
        <v>0</v>
      </c>
      <c r="AY29" s="162">
        <v>0</v>
      </c>
      <c r="AZ29" s="162">
        <v>0</v>
      </c>
      <c r="BA29" s="162">
        <v>0</v>
      </c>
      <c r="BB29" s="32"/>
      <c r="BC29" s="63"/>
      <c r="BD29" s="63">
        <f t="shared" si="9"/>
        <v>0</v>
      </c>
      <c r="BE29" s="63"/>
      <c r="BF29" s="32"/>
      <c r="BG29" s="32"/>
      <c r="BH29" s="63"/>
      <c r="BI29" s="64">
        <f t="shared" si="10"/>
        <v>0</v>
      </c>
      <c r="BJ29" s="63"/>
      <c r="BK29" s="32"/>
      <c r="BL29" s="32"/>
      <c r="BM29" s="33"/>
      <c r="BN29" s="33">
        <f t="shared" si="11"/>
        <v>0</v>
      </c>
      <c r="BO29" s="33"/>
      <c r="BP29" s="32"/>
      <c r="BQ29" s="32"/>
      <c r="BR29" s="33"/>
      <c r="BS29" s="33">
        <f t="shared" si="12"/>
        <v>0</v>
      </c>
      <c r="BT29" s="33"/>
      <c r="BU29" s="32"/>
      <c r="BV29" s="32"/>
      <c r="BW29" s="63"/>
      <c r="BX29" s="63">
        <f t="shared" si="13"/>
        <v>0</v>
      </c>
      <c r="BY29" s="63"/>
      <c r="BZ29" s="32"/>
      <c r="CA29" s="32"/>
      <c r="CB29" s="33"/>
      <c r="CC29" s="33">
        <f t="shared" si="14"/>
        <v>0</v>
      </c>
      <c r="CD29" s="33"/>
      <c r="CE29" s="32"/>
      <c r="CF29" s="33"/>
      <c r="CG29" s="33">
        <f t="shared" si="15"/>
        <v>0</v>
      </c>
      <c r="CH29" s="33"/>
      <c r="CI29" s="32"/>
      <c r="CJ29" s="33"/>
      <c r="CK29" s="33">
        <f t="shared" si="16"/>
        <v>0</v>
      </c>
      <c r="CL29" s="33"/>
      <c r="CM29" s="32"/>
      <c r="CN29" s="23"/>
      <c r="CO29" s="5">
        <f t="shared" si="17"/>
        <v>0</v>
      </c>
      <c r="CP29" s="10"/>
      <c r="CQ29" s="6"/>
      <c r="CR29" s="31"/>
      <c r="CS29" s="124"/>
      <c r="CT29" s="124"/>
      <c r="CU29" s="31"/>
      <c r="CV29" s="124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</row>
    <row r="30" spans="1:126" s="8" customFormat="1" ht="15" customHeight="1" x14ac:dyDescent="0.3">
      <c r="A30" s="134">
        <v>42</v>
      </c>
      <c r="B30" s="34" t="s">
        <v>49</v>
      </c>
      <c r="C30" s="14">
        <v>7092742</v>
      </c>
      <c r="D30" s="14" t="s">
        <v>60</v>
      </c>
      <c r="E30" s="15" t="s">
        <v>61</v>
      </c>
      <c r="F30" s="167">
        <v>8</v>
      </c>
      <c r="G30" s="25">
        <v>0</v>
      </c>
      <c r="H30" s="9">
        <v>0</v>
      </c>
      <c r="I30" s="26">
        <v>0</v>
      </c>
      <c r="J30" s="30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158">
        <v>0</v>
      </c>
      <c r="Q30" s="158">
        <v>0</v>
      </c>
      <c r="R30" s="158">
        <v>0</v>
      </c>
      <c r="S30" s="158">
        <v>0</v>
      </c>
      <c r="T30" s="158">
        <v>0</v>
      </c>
      <c r="U30" s="158">
        <v>0</v>
      </c>
      <c r="V30" s="29">
        <v>0</v>
      </c>
      <c r="W30" s="29">
        <v>0</v>
      </c>
      <c r="X30" s="159">
        <v>0</v>
      </c>
      <c r="Y30" s="15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159">
        <v>1</v>
      </c>
      <c r="AF30" s="159">
        <v>1</v>
      </c>
      <c r="AG30" s="160">
        <v>1</v>
      </c>
      <c r="AH30" s="160">
        <v>0</v>
      </c>
      <c r="AI30" s="160">
        <v>0</v>
      </c>
      <c r="AJ30" s="160">
        <v>0</v>
      </c>
      <c r="AK30" s="29">
        <v>1</v>
      </c>
      <c r="AL30" s="29">
        <v>0</v>
      </c>
      <c r="AM30" s="29">
        <v>0</v>
      </c>
      <c r="AN30" s="29">
        <v>1</v>
      </c>
      <c r="AO30" s="29">
        <v>1</v>
      </c>
      <c r="AP30" s="160">
        <v>1</v>
      </c>
      <c r="AQ30" s="161">
        <v>0</v>
      </c>
      <c r="AR30" s="161">
        <v>0</v>
      </c>
      <c r="AS30" s="161">
        <v>0</v>
      </c>
      <c r="AT30" s="161">
        <v>0</v>
      </c>
      <c r="AU30" s="161">
        <v>0</v>
      </c>
      <c r="AV30" s="161">
        <v>0</v>
      </c>
      <c r="AW30" s="161">
        <v>0</v>
      </c>
      <c r="AX30" s="162">
        <v>0</v>
      </c>
      <c r="AY30" s="162">
        <v>0</v>
      </c>
      <c r="AZ30" s="162">
        <v>0</v>
      </c>
      <c r="BA30" s="162">
        <v>0</v>
      </c>
      <c r="BB30" s="32"/>
      <c r="BC30" s="63"/>
      <c r="BD30" s="63">
        <f t="shared" si="9"/>
        <v>0</v>
      </c>
      <c r="BE30" s="63"/>
      <c r="BF30" s="32"/>
      <c r="BG30" s="32"/>
      <c r="BH30" s="63"/>
      <c r="BI30" s="64">
        <f t="shared" si="10"/>
        <v>0</v>
      </c>
      <c r="BJ30" s="63"/>
      <c r="BK30" s="32"/>
      <c r="BL30" s="32"/>
      <c r="BM30" s="33"/>
      <c r="BN30" s="33">
        <f t="shared" si="11"/>
        <v>0</v>
      </c>
      <c r="BO30" s="33"/>
      <c r="BP30" s="32"/>
      <c r="BQ30" s="32"/>
      <c r="BR30" s="33"/>
      <c r="BS30" s="33">
        <f t="shared" si="12"/>
        <v>0</v>
      </c>
      <c r="BT30" s="33"/>
      <c r="BU30" s="32"/>
      <c r="BV30" s="32"/>
      <c r="BW30" s="63"/>
      <c r="BX30" s="63">
        <f t="shared" si="13"/>
        <v>0</v>
      </c>
      <c r="BY30" s="63"/>
      <c r="BZ30" s="32"/>
      <c r="CA30" s="32"/>
      <c r="CB30" s="33"/>
      <c r="CC30" s="33">
        <f t="shared" si="14"/>
        <v>0</v>
      </c>
      <c r="CD30" s="33"/>
      <c r="CE30" s="32"/>
      <c r="CF30" s="33"/>
      <c r="CG30" s="33">
        <f t="shared" si="15"/>
        <v>0</v>
      </c>
      <c r="CH30" s="33"/>
      <c r="CI30" s="32"/>
      <c r="CJ30" s="33"/>
      <c r="CK30" s="33">
        <f t="shared" si="16"/>
        <v>0</v>
      </c>
      <c r="CL30" s="33"/>
      <c r="CM30" s="32"/>
      <c r="CN30" s="23"/>
      <c r="CO30" s="5">
        <f t="shared" si="17"/>
        <v>0</v>
      </c>
      <c r="CP30" s="10"/>
      <c r="CQ30" s="6"/>
      <c r="CR30" s="31"/>
      <c r="CS30" s="124"/>
      <c r="CT30" s="124"/>
      <c r="CU30" s="31"/>
      <c r="CV30" s="124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</row>
    <row r="31" spans="1:126" s="7" customFormat="1" ht="15" customHeight="1" x14ac:dyDescent="0.3">
      <c r="A31" s="134">
        <v>60</v>
      </c>
      <c r="B31" s="34" t="s">
        <v>423</v>
      </c>
      <c r="C31" s="14">
        <v>7094360</v>
      </c>
      <c r="D31" s="14" t="s">
        <v>62</v>
      </c>
      <c r="E31" s="15" t="s">
        <v>178</v>
      </c>
      <c r="F31" s="167">
        <v>67</v>
      </c>
      <c r="G31" s="25">
        <v>0</v>
      </c>
      <c r="H31" s="9">
        <v>0</v>
      </c>
      <c r="I31" s="26">
        <v>0</v>
      </c>
      <c r="J31" s="30">
        <v>0</v>
      </c>
      <c r="K31" s="29">
        <v>1</v>
      </c>
      <c r="L31" s="29">
        <v>0</v>
      </c>
      <c r="M31" s="29">
        <v>0</v>
      </c>
      <c r="N31" s="29">
        <v>0</v>
      </c>
      <c r="O31" s="29">
        <v>0</v>
      </c>
      <c r="P31" s="158">
        <v>0</v>
      </c>
      <c r="Q31" s="158">
        <v>1</v>
      </c>
      <c r="R31" s="158">
        <v>1</v>
      </c>
      <c r="S31" s="158">
        <v>1</v>
      </c>
      <c r="T31" s="158">
        <v>0</v>
      </c>
      <c r="U31" s="158">
        <v>0</v>
      </c>
      <c r="V31" s="29">
        <v>0</v>
      </c>
      <c r="W31" s="29">
        <v>0</v>
      </c>
      <c r="X31" s="159">
        <v>1</v>
      </c>
      <c r="Y31" s="159">
        <v>1</v>
      </c>
      <c r="Z31" s="29">
        <v>0</v>
      </c>
      <c r="AA31" s="29">
        <v>0</v>
      </c>
      <c r="AB31" s="29">
        <v>0</v>
      </c>
      <c r="AC31" s="29">
        <v>0</v>
      </c>
      <c r="AD31" s="29">
        <v>0</v>
      </c>
      <c r="AE31" s="159">
        <v>1</v>
      </c>
      <c r="AF31" s="159">
        <v>1</v>
      </c>
      <c r="AG31" s="160">
        <v>0</v>
      </c>
      <c r="AH31" s="160">
        <v>0</v>
      </c>
      <c r="AI31" s="160">
        <v>0</v>
      </c>
      <c r="AJ31" s="160">
        <v>0</v>
      </c>
      <c r="AK31" s="29">
        <v>0</v>
      </c>
      <c r="AL31" s="29">
        <v>0</v>
      </c>
      <c r="AM31" s="29">
        <v>0</v>
      </c>
      <c r="AN31" s="29">
        <v>0</v>
      </c>
      <c r="AO31" s="29">
        <v>0</v>
      </c>
      <c r="AP31" s="160">
        <v>0</v>
      </c>
      <c r="AQ31" s="161">
        <v>0</v>
      </c>
      <c r="AR31" s="161">
        <v>0</v>
      </c>
      <c r="AS31" s="161">
        <v>0</v>
      </c>
      <c r="AT31" s="161">
        <v>0</v>
      </c>
      <c r="AU31" s="161">
        <v>0</v>
      </c>
      <c r="AV31" s="161">
        <v>0</v>
      </c>
      <c r="AW31" s="161">
        <v>0</v>
      </c>
      <c r="AX31" s="162">
        <v>0</v>
      </c>
      <c r="AY31" s="162">
        <v>0</v>
      </c>
      <c r="AZ31" s="162">
        <v>0</v>
      </c>
      <c r="BA31" s="162">
        <v>1</v>
      </c>
      <c r="BB31" s="32"/>
      <c r="BC31" s="63"/>
      <c r="BD31" s="63">
        <f t="shared" si="9"/>
        <v>0</v>
      </c>
      <c r="BE31" s="63"/>
      <c r="BF31" s="32"/>
      <c r="BG31" s="32"/>
      <c r="BH31" s="63"/>
      <c r="BI31" s="64">
        <f t="shared" si="10"/>
        <v>0</v>
      </c>
      <c r="BJ31" s="63"/>
      <c r="BK31" s="32"/>
      <c r="BL31" s="32"/>
      <c r="BM31" s="33"/>
      <c r="BN31" s="33">
        <f t="shared" si="11"/>
        <v>0</v>
      </c>
      <c r="BO31" s="33"/>
      <c r="BP31" s="32"/>
      <c r="BQ31" s="32"/>
      <c r="BR31" s="33"/>
      <c r="BS31" s="33">
        <f t="shared" si="12"/>
        <v>0</v>
      </c>
      <c r="BT31" s="33"/>
      <c r="BU31" s="32"/>
      <c r="BV31" s="32"/>
      <c r="BW31" s="63"/>
      <c r="BX31" s="63">
        <f t="shared" si="13"/>
        <v>0</v>
      </c>
      <c r="BY31" s="63"/>
      <c r="BZ31" s="32"/>
      <c r="CA31" s="32"/>
      <c r="CB31" s="33"/>
      <c r="CC31" s="33">
        <f t="shared" si="14"/>
        <v>0</v>
      </c>
      <c r="CD31" s="33"/>
      <c r="CE31" s="32"/>
      <c r="CF31" s="33"/>
      <c r="CG31" s="33">
        <f t="shared" si="15"/>
        <v>0</v>
      </c>
      <c r="CH31" s="33"/>
      <c r="CI31" s="32"/>
      <c r="CJ31" s="33"/>
      <c r="CK31" s="33">
        <f t="shared" si="16"/>
        <v>0</v>
      </c>
      <c r="CL31" s="33"/>
      <c r="CM31" s="32"/>
      <c r="CN31" s="23"/>
      <c r="CO31" s="5">
        <f t="shared" si="17"/>
        <v>0</v>
      </c>
      <c r="CP31" s="10"/>
      <c r="CQ31" s="6"/>
      <c r="CR31" s="31"/>
      <c r="CS31" s="124"/>
      <c r="CT31" s="124"/>
      <c r="CU31" s="31"/>
      <c r="CV31" s="124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</row>
    <row r="32" spans="1:126" s="7" customFormat="1" ht="15" customHeight="1" x14ac:dyDescent="0.3">
      <c r="A32" s="134">
        <v>6</v>
      </c>
      <c r="B32" s="123" t="s">
        <v>397</v>
      </c>
      <c r="C32" s="16">
        <v>7027011</v>
      </c>
      <c r="D32" s="14" t="s">
        <v>62</v>
      </c>
      <c r="E32" s="15" t="s">
        <v>63</v>
      </c>
      <c r="F32" s="167">
        <v>1</v>
      </c>
      <c r="G32" s="25">
        <v>0</v>
      </c>
      <c r="H32" s="9">
        <v>0</v>
      </c>
      <c r="I32" s="26">
        <v>0</v>
      </c>
      <c r="J32" s="30">
        <v>0</v>
      </c>
      <c r="K32" s="29">
        <v>0</v>
      </c>
      <c r="L32" s="29">
        <v>0</v>
      </c>
      <c r="M32" s="29">
        <v>0</v>
      </c>
      <c r="N32" s="29">
        <v>1</v>
      </c>
      <c r="O32" s="29">
        <v>1</v>
      </c>
      <c r="P32" s="158">
        <v>1</v>
      </c>
      <c r="Q32" s="158">
        <v>1</v>
      </c>
      <c r="R32" s="158">
        <v>0</v>
      </c>
      <c r="S32" s="158">
        <v>0</v>
      </c>
      <c r="T32" s="158">
        <v>0</v>
      </c>
      <c r="U32" s="158">
        <v>0</v>
      </c>
      <c r="V32" s="29">
        <v>0</v>
      </c>
      <c r="W32" s="29">
        <v>0</v>
      </c>
      <c r="X32" s="159">
        <v>0</v>
      </c>
      <c r="Y32" s="15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159">
        <v>1</v>
      </c>
      <c r="AF32" s="159">
        <v>1</v>
      </c>
      <c r="AG32" s="160">
        <v>0</v>
      </c>
      <c r="AH32" s="160">
        <v>0</v>
      </c>
      <c r="AI32" s="160">
        <v>0</v>
      </c>
      <c r="AJ32" s="160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160">
        <v>0</v>
      </c>
      <c r="AQ32" s="161">
        <v>0</v>
      </c>
      <c r="AR32" s="161">
        <v>0</v>
      </c>
      <c r="AS32" s="161">
        <v>0</v>
      </c>
      <c r="AT32" s="161">
        <v>0</v>
      </c>
      <c r="AU32" s="161">
        <v>0</v>
      </c>
      <c r="AV32" s="161">
        <v>0</v>
      </c>
      <c r="AW32" s="161">
        <v>0</v>
      </c>
      <c r="AX32" s="162">
        <v>0</v>
      </c>
      <c r="AY32" s="162">
        <v>0</v>
      </c>
      <c r="AZ32" s="162">
        <v>0</v>
      </c>
      <c r="BA32" s="162">
        <v>0</v>
      </c>
      <c r="BB32" s="32"/>
      <c r="BC32" s="63"/>
      <c r="BD32" s="63">
        <f t="shared" si="9"/>
        <v>0</v>
      </c>
      <c r="BE32" s="63"/>
      <c r="BF32" s="32"/>
      <c r="BG32" s="32"/>
      <c r="BH32" s="63"/>
      <c r="BI32" s="64">
        <f t="shared" si="10"/>
        <v>0</v>
      </c>
      <c r="BJ32" s="63"/>
      <c r="BK32" s="32"/>
      <c r="BL32" s="32"/>
      <c r="BM32" s="33"/>
      <c r="BN32" s="33">
        <f t="shared" si="11"/>
        <v>0</v>
      </c>
      <c r="BO32" s="33"/>
      <c r="BP32" s="32"/>
      <c r="BQ32" s="32"/>
      <c r="BR32" s="33"/>
      <c r="BS32" s="33">
        <f t="shared" si="12"/>
        <v>0</v>
      </c>
      <c r="BT32" s="33"/>
      <c r="BU32" s="32"/>
      <c r="BV32" s="32"/>
      <c r="BW32" s="63"/>
      <c r="BX32" s="63">
        <f t="shared" si="13"/>
        <v>0</v>
      </c>
      <c r="BY32" s="63"/>
      <c r="BZ32" s="32"/>
      <c r="CA32" s="32"/>
      <c r="CB32" s="33"/>
      <c r="CC32" s="33">
        <f t="shared" si="14"/>
        <v>0</v>
      </c>
      <c r="CD32" s="33"/>
      <c r="CE32" s="32"/>
      <c r="CF32" s="33"/>
      <c r="CG32" s="33">
        <f t="shared" si="15"/>
        <v>0</v>
      </c>
      <c r="CH32" s="33"/>
      <c r="CI32" s="32"/>
      <c r="CJ32" s="33"/>
      <c r="CK32" s="33">
        <f t="shared" si="16"/>
        <v>0</v>
      </c>
      <c r="CL32" s="33"/>
      <c r="CM32" s="32"/>
      <c r="CN32" s="23"/>
      <c r="CO32" s="5">
        <f t="shared" si="17"/>
        <v>0</v>
      </c>
      <c r="CP32" s="10"/>
      <c r="CQ32" s="6"/>
      <c r="CR32" s="31"/>
      <c r="CS32" s="124"/>
      <c r="CT32" s="124"/>
      <c r="CU32" s="31"/>
      <c r="CV32" s="124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</row>
    <row r="33" spans="1:126" s="8" customFormat="1" ht="15" customHeight="1" x14ac:dyDescent="0.3">
      <c r="A33" s="134">
        <v>55</v>
      </c>
      <c r="B33" s="41" t="s">
        <v>49</v>
      </c>
      <c r="C33" s="14">
        <v>7094195</v>
      </c>
      <c r="D33" s="14" t="s">
        <v>395</v>
      </c>
      <c r="E33" s="15" t="s">
        <v>106</v>
      </c>
      <c r="F33" s="167">
        <v>1</v>
      </c>
      <c r="G33" s="25">
        <v>0</v>
      </c>
      <c r="H33" s="9">
        <v>0</v>
      </c>
      <c r="I33" s="26">
        <v>0</v>
      </c>
      <c r="J33" s="30">
        <v>0</v>
      </c>
      <c r="K33" s="29">
        <v>1</v>
      </c>
      <c r="L33" s="29">
        <v>0</v>
      </c>
      <c r="M33" s="29">
        <v>0</v>
      </c>
      <c r="N33" s="29">
        <v>0</v>
      </c>
      <c r="O33" s="29">
        <v>0</v>
      </c>
      <c r="P33" s="158">
        <v>0</v>
      </c>
      <c r="Q33" s="158">
        <v>1</v>
      </c>
      <c r="R33" s="158">
        <v>0</v>
      </c>
      <c r="S33" s="158">
        <v>0</v>
      </c>
      <c r="T33" s="158">
        <v>0</v>
      </c>
      <c r="U33" s="158">
        <v>0</v>
      </c>
      <c r="V33" s="29">
        <v>0</v>
      </c>
      <c r="W33" s="29">
        <v>0</v>
      </c>
      <c r="X33" s="159">
        <v>0</v>
      </c>
      <c r="Y33" s="159">
        <v>0</v>
      </c>
      <c r="Z33" s="29">
        <v>0</v>
      </c>
      <c r="AA33" s="29">
        <v>0</v>
      </c>
      <c r="AB33" s="29">
        <v>0</v>
      </c>
      <c r="AC33" s="29">
        <v>0</v>
      </c>
      <c r="AD33" s="29">
        <v>0</v>
      </c>
      <c r="AE33" s="159">
        <v>1</v>
      </c>
      <c r="AF33" s="159">
        <v>1</v>
      </c>
      <c r="AG33" s="160">
        <v>0</v>
      </c>
      <c r="AH33" s="160">
        <v>0</v>
      </c>
      <c r="AI33" s="160">
        <v>0</v>
      </c>
      <c r="AJ33" s="160">
        <v>0</v>
      </c>
      <c r="AK33" s="29">
        <v>1</v>
      </c>
      <c r="AL33" s="29">
        <v>1</v>
      </c>
      <c r="AM33" s="29">
        <v>1</v>
      </c>
      <c r="AN33" s="29">
        <v>1</v>
      </c>
      <c r="AO33" s="29">
        <v>1</v>
      </c>
      <c r="AP33" s="160">
        <v>0</v>
      </c>
      <c r="AQ33" s="161">
        <v>0</v>
      </c>
      <c r="AR33" s="161">
        <v>0</v>
      </c>
      <c r="AS33" s="161">
        <v>0</v>
      </c>
      <c r="AT33" s="161">
        <v>0</v>
      </c>
      <c r="AU33" s="161">
        <v>0</v>
      </c>
      <c r="AV33" s="161">
        <v>0</v>
      </c>
      <c r="AW33" s="161">
        <v>0</v>
      </c>
      <c r="AX33" s="162">
        <v>0</v>
      </c>
      <c r="AY33" s="162">
        <v>1</v>
      </c>
      <c r="AZ33" s="162">
        <v>1</v>
      </c>
      <c r="BA33" s="162">
        <v>1</v>
      </c>
      <c r="BB33" s="32"/>
      <c r="BC33" s="63"/>
      <c r="BD33" s="63">
        <f t="shared" si="9"/>
        <v>0</v>
      </c>
      <c r="BE33" s="63"/>
      <c r="BF33" s="32"/>
      <c r="BG33" s="32"/>
      <c r="BH33" s="63"/>
      <c r="BI33" s="64">
        <f t="shared" si="10"/>
        <v>0</v>
      </c>
      <c r="BJ33" s="63"/>
      <c r="BK33" s="32"/>
      <c r="BL33" s="32"/>
      <c r="BM33" s="33"/>
      <c r="BN33" s="33">
        <f t="shared" si="11"/>
        <v>0</v>
      </c>
      <c r="BO33" s="33"/>
      <c r="BP33" s="32"/>
      <c r="BQ33" s="32"/>
      <c r="BR33" s="33"/>
      <c r="BS33" s="33">
        <f t="shared" si="12"/>
        <v>0</v>
      </c>
      <c r="BT33" s="33"/>
      <c r="BU33" s="32"/>
      <c r="BV33" s="32"/>
      <c r="BW33" s="63"/>
      <c r="BX33" s="63">
        <f t="shared" si="13"/>
        <v>0</v>
      </c>
      <c r="BY33" s="63"/>
      <c r="BZ33" s="32"/>
      <c r="CA33" s="32"/>
      <c r="CB33" s="33"/>
      <c r="CC33" s="33">
        <f t="shared" si="14"/>
        <v>0</v>
      </c>
      <c r="CD33" s="33"/>
      <c r="CE33" s="32"/>
      <c r="CF33" s="33"/>
      <c r="CG33" s="33">
        <f t="shared" si="15"/>
        <v>0</v>
      </c>
      <c r="CH33" s="33"/>
      <c r="CI33" s="32"/>
      <c r="CJ33" s="33"/>
      <c r="CK33" s="33">
        <f t="shared" si="16"/>
        <v>0</v>
      </c>
      <c r="CL33" s="33"/>
      <c r="CM33" s="32"/>
      <c r="CN33" s="23"/>
      <c r="CO33" s="5">
        <f t="shared" si="17"/>
        <v>0</v>
      </c>
      <c r="CP33" s="10"/>
      <c r="CQ33" s="6"/>
      <c r="CR33" s="31"/>
      <c r="CS33" s="124"/>
      <c r="CT33" s="124"/>
      <c r="CU33" s="31"/>
      <c r="CV33" s="124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</row>
    <row r="34" spans="1:126" s="31" customFormat="1" ht="15" customHeight="1" x14ac:dyDescent="0.3">
      <c r="A34" s="134">
        <v>29</v>
      </c>
      <c r="B34" s="123" t="s">
        <v>46</v>
      </c>
      <c r="C34" s="57">
        <v>7091826</v>
      </c>
      <c r="D34" s="14" t="s">
        <v>64</v>
      </c>
      <c r="E34" s="15" t="s">
        <v>65</v>
      </c>
      <c r="F34" s="167">
        <v>1</v>
      </c>
      <c r="G34" s="25">
        <v>0</v>
      </c>
      <c r="H34" s="9">
        <v>0</v>
      </c>
      <c r="I34" s="26">
        <v>0</v>
      </c>
      <c r="J34" s="30">
        <v>0</v>
      </c>
      <c r="K34" s="29">
        <v>1</v>
      </c>
      <c r="L34" s="29">
        <v>0</v>
      </c>
      <c r="M34" s="29">
        <v>0</v>
      </c>
      <c r="N34" s="29">
        <v>0</v>
      </c>
      <c r="O34" s="29">
        <v>0</v>
      </c>
      <c r="P34" s="158">
        <v>0</v>
      </c>
      <c r="Q34" s="158">
        <v>0</v>
      </c>
      <c r="R34" s="158">
        <v>0</v>
      </c>
      <c r="S34" s="158">
        <v>0</v>
      </c>
      <c r="T34" s="158">
        <v>0</v>
      </c>
      <c r="U34" s="158">
        <v>0</v>
      </c>
      <c r="V34" s="29">
        <v>0</v>
      </c>
      <c r="W34" s="29">
        <v>0</v>
      </c>
      <c r="X34" s="159">
        <v>0</v>
      </c>
      <c r="Y34" s="15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159">
        <v>1</v>
      </c>
      <c r="AF34" s="159">
        <v>1</v>
      </c>
      <c r="AG34" s="160">
        <v>0</v>
      </c>
      <c r="AH34" s="160">
        <v>0</v>
      </c>
      <c r="AI34" s="160">
        <v>0</v>
      </c>
      <c r="AJ34" s="160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160">
        <v>0</v>
      </c>
      <c r="AQ34" s="161">
        <v>0</v>
      </c>
      <c r="AR34" s="161">
        <v>0</v>
      </c>
      <c r="AS34" s="161">
        <v>0</v>
      </c>
      <c r="AT34" s="161">
        <v>0</v>
      </c>
      <c r="AU34" s="161">
        <v>0</v>
      </c>
      <c r="AV34" s="161">
        <v>0</v>
      </c>
      <c r="AW34" s="161">
        <v>0</v>
      </c>
      <c r="AX34" s="162">
        <v>0</v>
      </c>
      <c r="AY34" s="162">
        <v>0</v>
      </c>
      <c r="AZ34" s="162">
        <v>0</v>
      </c>
      <c r="BA34" s="162">
        <v>0</v>
      </c>
      <c r="BB34" s="32"/>
      <c r="BC34" s="63"/>
      <c r="BD34" s="63">
        <f t="shared" si="9"/>
        <v>0</v>
      </c>
      <c r="BE34" s="63"/>
      <c r="BF34" s="32"/>
      <c r="BG34" s="32"/>
      <c r="BH34" s="63"/>
      <c r="BI34" s="64">
        <f t="shared" si="10"/>
        <v>0</v>
      </c>
      <c r="BJ34" s="63"/>
      <c r="BK34" s="32"/>
      <c r="BL34" s="32"/>
      <c r="BM34" s="33"/>
      <c r="BN34" s="33">
        <f t="shared" si="11"/>
        <v>0</v>
      </c>
      <c r="BO34" s="33"/>
      <c r="BP34" s="32"/>
      <c r="BQ34" s="32"/>
      <c r="BR34" s="33"/>
      <c r="BS34" s="33">
        <f t="shared" si="12"/>
        <v>0</v>
      </c>
      <c r="BT34" s="33"/>
      <c r="BU34" s="32"/>
      <c r="BV34" s="32"/>
      <c r="BW34" s="63"/>
      <c r="BX34" s="63">
        <f t="shared" si="13"/>
        <v>0</v>
      </c>
      <c r="BY34" s="63"/>
      <c r="BZ34" s="32"/>
      <c r="CA34" s="32"/>
      <c r="CB34" s="33"/>
      <c r="CC34" s="33">
        <f t="shared" si="14"/>
        <v>0</v>
      </c>
      <c r="CD34" s="33"/>
      <c r="CE34" s="32"/>
      <c r="CF34" s="33"/>
      <c r="CG34" s="33">
        <f t="shared" si="15"/>
        <v>0</v>
      </c>
      <c r="CH34" s="33"/>
      <c r="CI34" s="32"/>
      <c r="CJ34" s="33"/>
      <c r="CK34" s="33">
        <f t="shared" si="16"/>
        <v>0</v>
      </c>
      <c r="CL34" s="33"/>
      <c r="CM34" s="32"/>
      <c r="CN34" s="23"/>
      <c r="CO34" s="5">
        <f t="shared" si="17"/>
        <v>0</v>
      </c>
      <c r="CP34" s="10"/>
      <c r="CQ34" s="6"/>
      <c r="CS34" s="124"/>
      <c r="CT34" s="124"/>
      <c r="CV34" s="124"/>
    </row>
    <row r="35" spans="1:126" s="7" customFormat="1" ht="15" customHeight="1" x14ac:dyDescent="0.3">
      <c r="A35" s="134">
        <v>122</v>
      </c>
      <c r="B35" s="35" t="s">
        <v>200</v>
      </c>
      <c r="C35" s="14">
        <v>7402166</v>
      </c>
      <c r="D35" s="14" t="s">
        <v>64</v>
      </c>
      <c r="E35" s="163" t="s">
        <v>444</v>
      </c>
      <c r="F35" s="167">
        <v>1</v>
      </c>
      <c r="G35" s="25">
        <v>0</v>
      </c>
      <c r="H35" s="9">
        <v>0</v>
      </c>
      <c r="I35" s="26">
        <v>0</v>
      </c>
      <c r="J35" s="30">
        <v>0</v>
      </c>
      <c r="K35" s="29">
        <v>1</v>
      </c>
      <c r="L35" s="29">
        <v>0</v>
      </c>
      <c r="M35" s="29">
        <v>0</v>
      </c>
      <c r="N35" s="29">
        <v>1</v>
      </c>
      <c r="O35" s="29">
        <v>0</v>
      </c>
      <c r="P35" s="158">
        <v>0</v>
      </c>
      <c r="Q35" s="158">
        <v>1</v>
      </c>
      <c r="R35" s="158">
        <v>0</v>
      </c>
      <c r="S35" s="158">
        <v>0</v>
      </c>
      <c r="T35" s="158">
        <v>0</v>
      </c>
      <c r="U35" s="158">
        <v>0</v>
      </c>
      <c r="V35" s="29">
        <v>0</v>
      </c>
      <c r="W35" s="29">
        <v>0</v>
      </c>
      <c r="X35" s="159">
        <v>0</v>
      </c>
      <c r="Y35" s="159">
        <v>0</v>
      </c>
      <c r="Z35" s="29">
        <v>0</v>
      </c>
      <c r="AA35" s="29">
        <v>0</v>
      </c>
      <c r="AB35" s="29">
        <v>0</v>
      </c>
      <c r="AC35" s="29">
        <v>0</v>
      </c>
      <c r="AD35" s="29">
        <v>0</v>
      </c>
      <c r="AE35" s="159">
        <v>0</v>
      </c>
      <c r="AF35" s="159">
        <v>0</v>
      </c>
      <c r="AG35" s="160">
        <v>0</v>
      </c>
      <c r="AH35" s="160">
        <v>0</v>
      </c>
      <c r="AI35" s="160">
        <v>0</v>
      </c>
      <c r="AJ35" s="160">
        <v>0</v>
      </c>
      <c r="AK35" s="29">
        <v>0</v>
      </c>
      <c r="AL35" s="29">
        <v>0</v>
      </c>
      <c r="AM35" s="29">
        <v>0</v>
      </c>
      <c r="AN35" s="29">
        <v>0</v>
      </c>
      <c r="AO35" s="29">
        <v>0</v>
      </c>
      <c r="AP35" s="160">
        <v>0</v>
      </c>
      <c r="AQ35" s="161">
        <v>0</v>
      </c>
      <c r="AR35" s="161">
        <v>0</v>
      </c>
      <c r="AS35" s="161">
        <v>0</v>
      </c>
      <c r="AT35" s="161">
        <v>0</v>
      </c>
      <c r="AU35" s="161">
        <v>0</v>
      </c>
      <c r="AV35" s="161">
        <v>0</v>
      </c>
      <c r="AW35" s="161">
        <v>0</v>
      </c>
      <c r="AX35" s="162">
        <v>0</v>
      </c>
      <c r="AY35" s="162">
        <v>0</v>
      </c>
      <c r="AZ35" s="162">
        <v>0</v>
      </c>
      <c r="BA35" s="162">
        <v>0</v>
      </c>
      <c r="BB35" s="32"/>
      <c r="BC35" s="63"/>
      <c r="BD35" s="63">
        <f t="shared" si="9"/>
        <v>0</v>
      </c>
      <c r="BE35" s="63"/>
      <c r="BF35" s="32"/>
      <c r="BG35" s="32"/>
      <c r="BH35" s="63"/>
      <c r="BI35" s="64">
        <f t="shared" si="10"/>
        <v>0</v>
      </c>
      <c r="BJ35" s="63"/>
      <c r="BK35" s="32"/>
      <c r="BL35" s="32"/>
      <c r="BM35" s="33"/>
      <c r="BN35" s="33">
        <f t="shared" si="11"/>
        <v>0</v>
      </c>
      <c r="BO35" s="33"/>
      <c r="BP35" s="32"/>
      <c r="BQ35" s="32"/>
      <c r="BR35" s="33"/>
      <c r="BS35" s="33">
        <f t="shared" si="12"/>
        <v>0</v>
      </c>
      <c r="BT35" s="33"/>
      <c r="BU35" s="32"/>
      <c r="BV35" s="32"/>
      <c r="BW35" s="63"/>
      <c r="BX35" s="63">
        <f t="shared" si="13"/>
        <v>0</v>
      </c>
      <c r="BY35" s="63"/>
      <c r="BZ35" s="32"/>
      <c r="CA35" s="32"/>
      <c r="CB35" s="33"/>
      <c r="CC35" s="33">
        <f t="shared" si="14"/>
        <v>0</v>
      </c>
      <c r="CD35" s="33"/>
      <c r="CE35" s="32"/>
      <c r="CF35" s="33"/>
      <c r="CG35" s="33">
        <f t="shared" si="15"/>
        <v>0</v>
      </c>
      <c r="CH35" s="33"/>
      <c r="CI35" s="32"/>
      <c r="CJ35" s="33"/>
      <c r="CK35" s="33">
        <f t="shared" si="16"/>
        <v>0</v>
      </c>
      <c r="CL35" s="33"/>
      <c r="CM35" s="32"/>
      <c r="CN35" s="23"/>
      <c r="CO35" s="5">
        <f t="shared" si="17"/>
        <v>0</v>
      </c>
      <c r="CP35" s="10"/>
      <c r="CQ35" s="6"/>
      <c r="CR35" s="31"/>
      <c r="CS35" s="124"/>
      <c r="CT35" s="124"/>
      <c r="CU35" s="31"/>
      <c r="CV35" s="124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</row>
    <row r="36" spans="1:126" s="7" customFormat="1" ht="15" customHeight="1" x14ac:dyDescent="0.3">
      <c r="A36" s="134">
        <v>16</v>
      </c>
      <c r="B36" s="35" t="s">
        <v>397</v>
      </c>
      <c r="C36" s="14">
        <v>7051891</v>
      </c>
      <c r="D36" s="14" t="s">
        <v>66</v>
      </c>
      <c r="E36" s="14" t="s">
        <v>67</v>
      </c>
      <c r="F36" s="167">
        <v>1</v>
      </c>
      <c r="G36" s="25">
        <v>0</v>
      </c>
      <c r="H36" s="9">
        <v>0</v>
      </c>
      <c r="I36" s="26">
        <v>0</v>
      </c>
      <c r="J36" s="30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158">
        <v>0</v>
      </c>
      <c r="Q36" s="158">
        <v>0</v>
      </c>
      <c r="R36" s="158">
        <v>0</v>
      </c>
      <c r="S36" s="158">
        <v>0</v>
      </c>
      <c r="T36" s="158">
        <v>0</v>
      </c>
      <c r="U36" s="158">
        <v>0</v>
      </c>
      <c r="V36" s="29">
        <v>0</v>
      </c>
      <c r="W36" s="29">
        <v>0</v>
      </c>
      <c r="X36" s="159">
        <v>0</v>
      </c>
      <c r="Y36" s="15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159">
        <v>1</v>
      </c>
      <c r="AF36" s="159">
        <v>1</v>
      </c>
      <c r="AG36" s="160">
        <v>1</v>
      </c>
      <c r="AH36" s="160">
        <v>0</v>
      </c>
      <c r="AI36" s="160">
        <v>0</v>
      </c>
      <c r="AJ36" s="160">
        <v>0</v>
      </c>
      <c r="AK36" s="29">
        <v>1</v>
      </c>
      <c r="AL36" s="29">
        <v>1</v>
      </c>
      <c r="AM36" s="29">
        <v>0</v>
      </c>
      <c r="AN36" s="29">
        <v>1</v>
      </c>
      <c r="AO36" s="29">
        <v>1</v>
      </c>
      <c r="AP36" s="160">
        <v>1</v>
      </c>
      <c r="AQ36" s="161">
        <v>0</v>
      </c>
      <c r="AR36" s="161">
        <v>0</v>
      </c>
      <c r="AS36" s="161">
        <v>0</v>
      </c>
      <c r="AT36" s="161">
        <v>0</v>
      </c>
      <c r="AU36" s="161">
        <v>0</v>
      </c>
      <c r="AV36" s="161">
        <v>0</v>
      </c>
      <c r="AW36" s="161">
        <v>0</v>
      </c>
      <c r="AX36" s="162">
        <v>0</v>
      </c>
      <c r="AY36" s="162">
        <v>0</v>
      </c>
      <c r="AZ36" s="162">
        <v>0</v>
      </c>
      <c r="BA36" s="162">
        <v>0</v>
      </c>
      <c r="BB36" s="32"/>
      <c r="BC36" s="63"/>
      <c r="BD36" s="63">
        <f t="shared" si="9"/>
        <v>0</v>
      </c>
      <c r="BE36" s="63"/>
      <c r="BF36" s="32"/>
      <c r="BG36" s="32"/>
      <c r="BH36" s="63"/>
      <c r="BI36" s="64">
        <f t="shared" si="10"/>
        <v>0</v>
      </c>
      <c r="BJ36" s="63"/>
      <c r="BK36" s="32"/>
      <c r="BL36" s="32"/>
      <c r="BM36" s="33"/>
      <c r="BN36" s="33">
        <f t="shared" si="11"/>
        <v>0</v>
      </c>
      <c r="BO36" s="33"/>
      <c r="BP36" s="32"/>
      <c r="BQ36" s="32"/>
      <c r="BR36" s="33"/>
      <c r="BS36" s="33">
        <f t="shared" si="12"/>
        <v>0</v>
      </c>
      <c r="BT36" s="33"/>
      <c r="BU36" s="32"/>
      <c r="BV36" s="32"/>
      <c r="BW36" s="63"/>
      <c r="BX36" s="63">
        <f t="shared" si="13"/>
        <v>0</v>
      </c>
      <c r="BY36" s="63"/>
      <c r="BZ36" s="32"/>
      <c r="CA36" s="32"/>
      <c r="CB36" s="33"/>
      <c r="CC36" s="33">
        <f t="shared" si="14"/>
        <v>0</v>
      </c>
      <c r="CD36" s="33"/>
      <c r="CE36" s="32"/>
      <c r="CF36" s="33"/>
      <c r="CG36" s="33">
        <f t="shared" si="15"/>
        <v>0</v>
      </c>
      <c r="CH36" s="33"/>
      <c r="CI36" s="32"/>
      <c r="CJ36" s="33"/>
      <c r="CK36" s="33">
        <f t="shared" si="16"/>
        <v>0</v>
      </c>
      <c r="CL36" s="33"/>
      <c r="CM36" s="32"/>
      <c r="CN36" s="23"/>
      <c r="CO36" s="5">
        <f t="shared" si="17"/>
        <v>0</v>
      </c>
      <c r="CP36" s="10"/>
      <c r="CQ36" s="6"/>
      <c r="CR36" s="31"/>
      <c r="CS36" s="124"/>
      <c r="CT36" s="124"/>
      <c r="CU36" s="31"/>
      <c r="CV36" s="124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</row>
    <row r="37" spans="1:126" s="7" customFormat="1" ht="15" customHeight="1" x14ac:dyDescent="0.3">
      <c r="A37" s="134">
        <v>138</v>
      </c>
      <c r="B37" s="14" t="s">
        <v>455</v>
      </c>
      <c r="C37" s="14">
        <v>7401878</v>
      </c>
      <c r="D37" s="14" t="s">
        <v>460</v>
      </c>
      <c r="E37" s="14" t="s">
        <v>461</v>
      </c>
      <c r="F37" s="167">
        <v>1</v>
      </c>
      <c r="G37" s="25">
        <v>0</v>
      </c>
      <c r="H37" s="9">
        <v>0</v>
      </c>
      <c r="I37" s="26">
        <v>0</v>
      </c>
      <c r="J37" s="30">
        <v>0</v>
      </c>
      <c r="K37" s="29">
        <v>1</v>
      </c>
      <c r="L37" s="29">
        <v>0</v>
      </c>
      <c r="M37" s="29">
        <v>0</v>
      </c>
      <c r="N37" s="29">
        <v>0</v>
      </c>
      <c r="O37" s="29">
        <v>0</v>
      </c>
      <c r="P37" s="158">
        <v>0</v>
      </c>
      <c r="Q37" s="158">
        <v>1</v>
      </c>
      <c r="R37" s="158">
        <v>1</v>
      </c>
      <c r="S37" s="158">
        <v>1</v>
      </c>
      <c r="T37" s="158">
        <v>0</v>
      </c>
      <c r="U37" s="158">
        <v>0</v>
      </c>
      <c r="V37" s="29">
        <v>0</v>
      </c>
      <c r="W37" s="29">
        <v>0</v>
      </c>
      <c r="X37" s="159">
        <v>0</v>
      </c>
      <c r="Y37" s="159">
        <v>0</v>
      </c>
      <c r="Z37" s="29">
        <v>0</v>
      </c>
      <c r="AA37" s="29">
        <v>0</v>
      </c>
      <c r="AB37" s="29">
        <v>0</v>
      </c>
      <c r="AC37" s="29">
        <v>0</v>
      </c>
      <c r="AD37" s="29">
        <v>0</v>
      </c>
      <c r="AE37" s="159">
        <v>0</v>
      </c>
      <c r="AF37" s="159">
        <v>1</v>
      </c>
      <c r="AG37" s="160">
        <v>0</v>
      </c>
      <c r="AH37" s="160">
        <v>0</v>
      </c>
      <c r="AI37" s="160">
        <v>0</v>
      </c>
      <c r="AJ37" s="160">
        <v>0</v>
      </c>
      <c r="AK37" s="29">
        <v>0</v>
      </c>
      <c r="AL37" s="29">
        <v>0</v>
      </c>
      <c r="AM37" s="29">
        <v>0</v>
      </c>
      <c r="AN37" s="29">
        <v>0</v>
      </c>
      <c r="AO37" s="29">
        <v>0</v>
      </c>
      <c r="AP37" s="160">
        <v>0</v>
      </c>
      <c r="AQ37" s="161">
        <v>0</v>
      </c>
      <c r="AR37" s="161">
        <v>0</v>
      </c>
      <c r="AS37" s="161">
        <v>0</v>
      </c>
      <c r="AT37" s="161">
        <v>0</v>
      </c>
      <c r="AU37" s="161">
        <v>0</v>
      </c>
      <c r="AV37" s="161">
        <v>0</v>
      </c>
      <c r="AW37" s="161">
        <v>0</v>
      </c>
      <c r="AX37" s="162">
        <v>0</v>
      </c>
      <c r="AY37" s="162">
        <v>0</v>
      </c>
      <c r="AZ37" s="162">
        <v>0</v>
      </c>
      <c r="BA37" s="162">
        <v>1</v>
      </c>
      <c r="BB37" s="32"/>
      <c r="BC37" s="63"/>
      <c r="BD37" s="63">
        <f t="shared" si="9"/>
        <v>0</v>
      </c>
      <c r="BE37" s="63"/>
      <c r="BF37" s="32"/>
      <c r="BG37" s="32"/>
      <c r="BH37" s="63"/>
      <c r="BI37" s="64">
        <f t="shared" si="10"/>
        <v>0</v>
      </c>
      <c r="BJ37" s="63"/>
      <c r="BK37" s="32"/>
      <c r="BL37" s="32"/>
      <c r="BM37" s="33"/>
      <c r="BN37" s="33">
        <f t="shared" si="11"/>
        <v>0</v>
      </c>
      <c r="BO37" s="33"/>
      <c r="BP37" s="32"/>
      <c r="BQ37" s="32"/>
      <c r="BR37" s="33"/>
      <c r="BS37" s="33">
        <f t="shared" si="12"/>
        <v>0</v>
      </c>
      <c r="BT37" s="33"/>
      <c r="BU37" s="32"/>
      <c r="BV37" s="32"/>
      <c r="BW37" s="63"/>
      <c r="BX37" s="63">
        <f t="shared" si="13"/>
        <v>0</v>
      </c>
      <c r="BY37" s="63"/>
      <c r="BZ37" s="32"/>
      <c r="CA37" s="32"/>
      <c r="CB37" s="33"/>
      <c r="CC37" s="33">
        <f t="shared" si="14"/>
        <v>0</v>
      </c>
      <c r="CD37" s="33"/>
      <c r="CE37" s="32"/>
      <c r="CF37" s="33"/>
      <c r="CG37" s="33">
        <f t="shared" si="15"/>
        <v>0</v>
      </c>
      <c r="CH37" s="33"/>
      <c r="CI37" s="32"/>
      <c r="CJ37" s="33"/>
      <c r="CK37" s="33">
        <f t="shared" si="16"/>
        <v>0</v>
      </c>
      <c r="CL37" s="33"/>
      <c r="CM37" s="32"/>
      <c r="CN37" s="23"/>
      <c r="CO37" s="5">
        <f t="shared" si="17"/>
        <v>0</v>
      </c>
      <c r="CP37" s="10"/>
      <c r="CQ37" s="6"/>
      <c r="CR37" s="31"/>
      <c r="CS37" s="124"/>
      <c r="CT37" s="124"/>
      <c r="CU37" s="31"/>
      <c r="CV37" s="124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</row>
    <row r="38" spans="1:126" s="7" customFormat="1" ht="15" customHeight="1" x14ac:dyDescent="0.3">
      <c r="A38" s="134">
        <v>17</v>
      </c>
      <c r="B38" s="34" t="s">
        <v>49</v>
      </c>
      <c r="C38" s="14">
        <v>7051764</v>
      </c>
      <c r="D38" s="14" t="s">
        <v>68</v>
      </c>
      <c r="E38" s="14" t="s">
        <v>69</v>
      </c>
      <c r="F38" s="167">
        <v>1</v>
      </c>
      <c r="G38" s="25">
        <v>0</v>
      </c>
      <c r="H38" s="9">
        <v>0</v>
      </c>
      <c r="I38" s="26">
        <v>0</v>
      </c>
      <c r="J38" s="30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158">
        <v>0</v>
      </c>
      <c r="Q38" s="158">
        <v>1</v>
      </c>
      <c r="R38" s="158">
        <v>1</v>
      </c>
      <c r="S38" s="158">
        <v>1</v>
      </c>
      <c r="T38" s="158">
        <v>0</v>
      </c>
      <c r="U38" s="158">
        <v>0</v>
      </c>
      <c r="V38" s="29">
        <v>1</v>
      </c>
      <c r="W38" s="29">
        <v>1</v>
      </c>
      <c r="X38" s="159">
        <v>1</v>
      </c>
      <c r="Y38" s="159">
        <v>1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159">
        <v>1</v>
      </c>
      <c r="AF38" s="159">
        <v>1</v>
      </c>
      <c r="AG38" s="160">
        <v>0</v>
      </c>
      <c r="AH38" s="160">
        <v>0</v>
      </c>
      <c r="AI38" s="160">
        <v>0</v>
      </c>
      <c r="AJ38" s="160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160">
        <v>0</v>
      </c>
      <c r="AQ38" s="161">
        <v>0</v>
      </c>
      <c r="AR38" s="161">
        <v>0</v>
      </c>
      <c r="AS38" s="161">
        <v>0</v>
      </c>
      <c r="AT38" s="161">
        <v>0</v>
      </c>
      <c r="AU38" s="161">
        <v>0</v>
      </c>
      <c r="AV38" s="161">
        <v>0</v>
      </c>
      <c r="AW38" s="161">
        <v>0</v>
      </c>
      <c r="AX38" s="162">
        <v>0</v>
      </c>
      <c r="AY38" s="162">
        <v>0</v>
      </c>
      <c r="AZ38" s="162">
        <v>0</v>
      </c>
      <c r="BA38" s="162">
        <v>0</v>
      </c>
      <c r="BB38" s="32"/>
      <c r="BC38" s="63"/>
      <c r="BD38" s="63">
        <f t="shared" si="9"/>
        <v>0</v>
      </c>
      <c r="BE38" s="63"/>
      <c r="BF38" s="32"/>
      <c r="BG38" s="32"/>
      <c r="BH38" s="63"/>
      <c r="BI38" s="64">
        <f t="shared" si="10"/>
        <v>0</v>
      </c>
      <c r="BJ38" s="63"/>
      <c r="BK38" s="32"/>
      <c r="BL38" s="32"/>
      <c r="BM38" s="33"/>
      <c r="BN38" s="33">
        <f t="shared" si="11"/>
        <v>0</v>
      </c>
      <c r="BO38" s="33"/>
      <c r="BP38" s="32"/>
      <c r="BQ38" s="32"/>
      <c r="BR38" s="33"/>
      <c r="BS38" s="33">
        <f t="shared" si="12"/>
        <v>0</v>
      </c>
      <c r="BT38" s="33"/>
      <c r="BU38" s="32"/>
      <c r="BV38" s="32"/>
      <c r="BW38" s="63"/>
      <c r="BX38" s="63">
        <f t="shared" si="13"/>
        <v>0</v>
      </c>
      <c r="BY38" s="63"/>
      <c r="BZ38" s="32"/>
      <c r="CA38" s="32"/>
      <c r="CB38" s="33"/>
      <c r="CC38" s="33">
        <f t="shared" si="14"/>
        <v>0</v>
      </c>
      <c r="CD38" s="33"/>
      <c r="CE38" s="32"/>
      <c r="CF38" s="33"/>
      <c r="CG38" s="33">
        <f t="shared" si="15"/>
        <v>0</v>
      </c>
      <c r="CH38" s="33"/>
      <c r="CI38" s="32"/>
      <c r="CJ38" s="33"/>
      <c r="CK38" s="33">
        <f t="shared" si="16"/>
        <v>0</v>
      </c>
      <c r="CL38" s="33"/>
      <c r="CM38" s="32"/>
      <c r="CN38" s="23"/>
      <c r="CO38" s="5">
        <f t="shared" si="17"/>
        <v>0</v>
      </c>
      <c r="CP38" s="10"/>
      <c r="CQ38" s="6"/>
      <c r="CR38" s="31"/>
      <c r="CS38" s="124"/>
      <c r="CT38" s="124"/>
      <c r="CU38" s="31"/>
      <c r="CV38" s="124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</row>
    <row r="39" spans="1:126" s="7" customFormat="1" ht="15" customHeight="1" x14ac:dyDescent="0.3">
      <c r="A39" s="134">
        <v>139</v>
      </c>
      <c r="B39" s="34" t="s">
        <v>455</v>
      </c>
      <c r="C39" s="14">
        <v>7402080</v>
      </c>
      <c r="D39" s="14" t="s">
        <v>462</v>
      </c>
      <c r="E39" s="14" t="s">
        <v>99</v>
      </c>
      <c r="F39" s="167">
        <v>1</v>
      </c>
      <c r="G39" s="25">
        <v>0</v>
      </c>
      <c r="H39" s="9">
        <v>0</v>
      </c>
      <c r="I39" s="26">
        <v>0</v>
      </c>
      <c r="J39" s="30">
        <v>0</v>
      </c>
      <c r="K39" s="29">
        <v>1</v>
      </c>
      <c r="L39" s="29">
        <v>0</v>
      </c>
      <c r="M39" s="29">
        <v>0</v>
      </c>
      <c r="N39" s="29">
        <v>0</v>
      </c>
      <c r="O39" s="29">
        <v>0</v>
      </c>
      <c r="P39" s="158">
        <v>0</v>
      </c>
      <c r="Q39" s="158">
        <v>1</v>
      </c>
      <c r="R39" s="158">
        <v>1</v>
      </c>
      <c r="S39" s="158">
        <v>1</v>
      </c>
      <c r="T39" s="158">
        <v>1</v>
      </c>
      <c r="U39" s="158">
        <v>0</v>
      </c>
      <c r="V39" s="29">
        <v>0</v>
      </c>
      <c r="W39" s="29">
        <v>0</v>
      </c>
      <c r="X39" s="159">
        <v>1</v>
      </c>
      <c r="Y39" s="159">
        <v>1</v>
      </c>
      <c r="Z39" s="29">
        <v>0</v>
      </c>
      <c r="AA39" s="29">
        <v>0</v>
      </c>
      <c r="AB39" s="29">
        <v>0</v>
      </c>
      <c r="AC39" s="29">
        <v>0</v>
      </c>
      <c r="AD39" s="29">
        <v>1</v>
      </c>
      <c r="AE39" s="159">
        <v>1</v>
      </c>
      <c r="AF39" s="159">
        <v>1</v>
      </c>
      <c r="AG39" s="160">
        <v>0</v>
      </c>
      <c r="AH39" s="160">
        <v>0</v>
      </c>
      <c r="AI39" s="160">
        <v>0</v>
      </c>
      <c r="AJ39" s="160">
        <v>0</v>
      </c>
      <c r="AK39" s="29">
        <v>0</v>
      </c>
      <c r="AL39" s="29">
        <v>0</v>
      </c>
      <c r="AM39" s="29">
        <v>0</v>
      </c>
      <c r="AN39" s="29">
        <v>0</v>
      </c>
      <c r="AO39" s="29">
        <v>0</v>
      </c>
      <c r="AP39" s="160">
        <v>0</v>
      </c>
      <c r="AQ39" s="161">
        <v>0</v>
      </c>
      <c r="AR39" s="161">
        <v>0</v>
      </c>
      <c r="AS39" s="161">
        <v>0</v>
      </c>
      <c r="AT39" s="161">
        <v>0</v>
      </c>
      <c r="AU39" s="161">
        <v>0</v>
      </c>
      <c r="AV39" s="161">
        <v>0</v>
      </c>
      <c r="AW39" s="161">
        <v>0</v>
      </c>
      <c r="AX39" s="162">
        <v>0</v>
      </c>
      <c r="AY39" s="162">
        <v>0</v>
      </c>
      <c r="AZ39" s="162">
        <v>0</v>
      </c>
      <c r="BA39" s="162">
        <v>1</v>
      </c>
      <c r="BB39" s="32"/>
      <c r="BC39" s="63"/>
      <c r="BD39" s="63">
        <f t="shared" si="9"/>
        <v>0</v>
      </c>
      <c r="BE39" s="63"/>
      <c r="BF39" s="32"/>
      <c r="BG39" s="32"/>
      <c r="BH39" s="63"/>
      <c r="BI39" s="64">
        <f t="shared" si="10"/>
        <v>0</v>
      </c>
      <c r="BJ39" s="63"/>
      <c r="BK39" s="32"/>
      <c r="BL39" s="32"/>
      <c r="BM39" s="33"/>
      <c r="BN39" s="33">
        <f t="shared" si="11"/>
        <v>0</v>
      </c>
      <c r="BO39" s="33"/>
      <c r="BP39" s="32"/>
      <c r="BQ39" s="32"/>
      <c r="BR39" s="33"/>
      <c r="BS39" s="33">
        <f t="shared" si="12"/>
        <v>0</v>
      </c>
      <c r="BT39" s="33"/>
      <c r="BU39" s="32"/>
      <c r="BV39" s="32"/>
      <c r="BW39" s="63"/>
      <c r="BX39" s="63">
        <f t="shared" si="13"/>
        <v>0</v>
      </c>
      <c r="BY39" s="63"/>
      <c r="BZ39" s="32"/>
      <c r="CA39" s="32"/>
      <c r="CB39" s="33"/>
      <c r="CC39" s="33">
        <f t="shared" si="14"/>
        <v>0</v>
      </c>
      <c r="CD39" s="33"/>
      <c r="CE39" s="32"/>
      <c r="CF39" s="33"/>
      <c r="CG39" s="33">
        <f t="shared" si="15"/>
        <v>0</v>
      </c>
      <c r="CH39" s="33"/>
      <c r="CI39" s="32"/>
      <c r="CJ39" s="33"/>
      <c r="CK39" s="33">
        <f t="shared" si="16"/>
        <v>0</v>
      </c>
      <c r="CL39" s="33"/>
      <c r="CM39" s="32"/>
      <c r="CN39" s="23"/>
      <c r="CO39" s="5">
        <f t="shared" si="17"/>
        <v>0</v>
      </c>
      <c r="CP39" s="10"/>
      <c r="CQ39" s="6"/>
      <c r="CR39" s="31"/>
      <c r="CS39" s="124"/>
      <c r="CT39" s="124"/>
      <c r="CU39" s="31"/>
      <c r="CV39" s="124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</row>
    <row r="40" spans="1:126" s="7" customFormat="1" ht="15" customHeight="1" x14ac:dyDescent="0.3">
      <c r="A40" s="134">
        <v>57</v>
      </c>
      <c r="B40" s="35" t="s">
        <v>42</v>
      </c>
      <c r="C40" s="14">
        <v>7092660</v>
      </c>
      <c r="D40" s="14" t="s">
        <v>170</v>
      </c>
      <c r="E40" s="14" t="s">
        <v>171</v>
      </c>
      <c r="F40" s="167">
        <v>1</v>
      </c>
      <c r="G40" s="25">
        <v>0</v>
      </c>
      <c r="H40" s="9">
        <v>0</v>
      </c>
      <c r="I40" s="26">
        <v>0</v>
      </c>
      <c r="J40" s="30">
        <v>0</v>
      </c>
      <c r="K40" s="29">
        <v>1</v>
      </c>
      <c r="L40" s="29">
        <v>0</v>
      </c>
      <c r="M40" s="29">
        <v>0</v>
      </c>
      <c r="N40" s="29">
        <v>0</v>
      </c>
      <c r="O40" s="29">
        <v>0</v>
      </c>
      <c r="P40" s="158">
        <v>0</v>
      </c>
      <c r="Q40" s="158">
        <v>1</v>
      </c>
      <c r="R40" s="158">
        <v>0</v>
      </c>
      <c r="S40" s="158">
        <v>0</v>
      </c>
      <c r="T40" s="158">
        <v>0</v>
      </c>
      <c r="U40" s="158">
        <v>1</v>
      </c>
      <c r="V40" s="29">
        <v>0</v>
      </c>
      <c r="W40" s="29">
        <v>0</v>
      </c>
      <c r="X40" s="159">
        <v>0</v>
      </c>
      <c r="Y40" s="159">
        <v>0</v>
      </c>
      <c r="Z40" s="29">
        <v>0</v>
      </c>
      <c r="AA40" s="29">
        <v>0</v>
      </c>
      <c r="AB40" s="29">
        <v>1</v>
      </c>
      <c r="AC40" s="29">
        <v>0</v>
      </c>
      <c r="AD40" s="29">
        <v>0</v>
      </c>
      <c r="AE40" s="159">
        <v>1</v>
      </c>
      <c r="AF40" s="159">
        <v>1</v>
      </c>
      <c r="AG40" s="160">
        <v>0</v>
      </c>
      <c r="AH40" s="160">
        <v>0</v>
      </c>
      <c r="AI40" s="160">
        <v>0</v>
      </c>
      <c r="AJ40" s="160">
        <v>1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160">
        <v>0</v>
      </c>
      <c r="AQ40" s="161">
        <v>0</v>
      </c>
      <c r="AR40" s="161">
        <v>0</v>
      </c>
      <c r="AS40" s="161">
        <v>0</v>
      </c>
      <c r="AT40" s="161">
        <v>0</v>
      </c>
      <c r="AU40" s="161">
        <v>0</v>
      </c>
      <c r="AV40" s="161">
        <v>0</v>
      </c>
      <c r="AW40" s="161">
        <v>0</v>
      </c>
      <c r="AX40" s="162">
        <v>0</v>
      </c>
      <c r="AY40" s="162">
        <v>0</v>
      </c>
      <c r="AZ40" s="162">
        <v>0</v>
      </c>
      <c r="BA40" s="162">
        <v>1</v>
      </c>
      <c r="BB40" s="32"/>
      <c r="BC40" s="63"/>
      <c r="BD40" s="63">
        <f t="shared" si="9"/>
        <v>0</v>
      </c>
      <c r="BE40" s="63"/>
      <c r="BF40" s="32"/>
      <c r="BG40" s="32"/>
      <c r="BH40" s="63"/>
      <c r="BI40" s="64">
        <f t="shared" si="10"/>
        <v>0</v>
      </c>
      <c r="BJ40" s="63"/>
      <c r="BK40" s="32"/>
      <c r="BL40" s="32"/>
      <c r="BM40" s="33"/>
      <c r="BN40" s="33">
        <f t="shared" si="11"/>
        <v>0</v>
      </c>
      <c r="BO40" s="33"/>
      <c r="BP40" s="32"/>
      <c r="BQ40" s="32"/>
      <c r="BR40" s="33"/>
      <c r="BS40" s="33">
        <f t="shared" si="12"/>
        <v>0</v>
      </c>
      <c r="BT40" s="33"/>
      <c r="BU40" s="32"/>
      <c r="BV40" s="32"/>
      <c r="BW40" s="63"/>
      <c r="BX40" s="63">
        <f t="shared" si="13"/>
        <v>0</v>
      </c>
      <c r="BY40" s="63"/>
      <c r="BZ40" s="32"/>
      <c r="CA40" s="32"/>
      <c r="CB40" s="33"/>
      <c r="CC40" s="33">
        <f t="shared" si="14"/>
        <v>0</v>
      </c>
      <c r="CD40" s="33"/>
      <c r="CE40" s="32"/>
      <c r="CF40" s="33"/>
      <c r="CG40" s="33">
        <f t="shared" si="15"/>
        <v>0</v>
      </c>
      <c r="CH40" s="33"/>
      <c r="CI40" s="32"/>
      <c r="CJ40" s="33"/>
      <c r="CK40" s="33">
        <f t="shared" si="16"/>
        <v>0</v>
      </c>
      <c r="CL40" s="33"/>
      <c r="CM40" s="32"/>
      <c r="CN40" s="23"/>
      <c r="CO40" s="5">
        <f t="shared" si="17"/>
        <v>0</v>
      </c>
      <c r="CP40" s="10"/>
      <c r="CQ40" s="6"/>
      <c r="CR40" s="31"/>
      <c r="CS40" s="124"/>
      <c r="CT40" s="124"/>
      <c r="CU40" s="31"/>
      <c r="CV40" s="124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</row>
    <row r="41" spans="1:126" s="7" customFormat="1" ht="15" customHeight="1" x14ac:dyDescent="0.3">
      <c r="A41" s="134">
        <v>116</v>
      </c>
      <c r="B41" s="34" t="s">
        <v>49</v>
      </c>
      <c r="C41" s="14">
        <v>7402314</v>
      </c>
      <c r="D41" s="14" t="s">
        <v>425</v>
      </c>
      <c r="E41" s="14" t="s">
        <v>78</v>
      </c>
      <c r="F41" s="167">
        <v>1</v>
      </c>
      <c r="G41" s="25">
        <v>0</v>
      </c>
      <c r="H41" s="9">
        <v>0</v>
      </c>
      <c r="I41" s="26">
        <v>0</v>
      </c>
      <c r="J41" s="30">
        <v>0</v>
      </c>
      <c r="K41" s="29">
        <v>1</v>
      </c>
      <c r="L41" s="29">
        <v>0</v>
      </c>
      <c r="M41" s="29">
        <v>1</v>
      </c>
      <c r="N41" s="29">
        <v>0</v>
      </c>
      <c r="O41" s="29">
        <v>0</v>
      </c>
      <c r="P41" s="158">
        <v>0</v>
      </c>
      <c r="Q41" s="158">
        <v>0</v>
      </c>
      <c r="R41" s="158">
        <v>0</v>
      </c>
      <c r="S41" s="158">
        <v>0</v>
      </c>
      <c r="T41" s="158">
        <v>0</v>
      </c>
      <c r="U41" s="158">
        <v>0</v>
      </c>
      <c r="V41" s="29">
        <v>0</v>
      </c>
      <c r="W41" s="29">
        <v>0</v>
      </c>
      <c r="X41" s="159">
        <v>0</v>
      </c>
      <c r="Y41" s="159">
        <v>0</v>
      </c>
      <c r="Z41" s="29">
        <v>0</v>
      </c>
      <c r="AA41" s="29">
        <v>0</v>
      </c>
      <c r="AB41" s="29">
        <v>1</v>
      </c>
      <c r="AC41" s="29">
        <v>0</v>
      </c>
      <c r="AD41" s="29">
        <v>0</v>
      </c>
      <c r="AE41" s="159">
        <v>0</v>
      </c>
      <c r="AF41" s="159">
        <v>0</v>
      </c>
      <c r="AG41" s="160">
        <v>0</v>
      </c>
      <c r="AH41" s="160">
        <v>0</v>
      </c>
      <c r="AI41" s="160">
        <v>0</v>
      </c>
      <c r="AJ41" s="160">
        <v>0</v>
      </c>
      <c r="AK41" s="29">
        <v>0</v>
      </c>
      <c r="AL41" s="29">
        <v>0</v>
      </c>
      <c r="AM41" s="29">
        <v>0</v>
      </c>
      <c r="AN41" s="29">
        <v>0</v>
      </c>
      <c r="AO41" s="29">
        <v>0</v>
      </c>
      <c r="AP41" s="160">
        <v>0</v>
      </c>
      <c r="AQ41" s="161">
        <v>0</v>
      </c>
      <c r="AR41" s="161">
        <v>0</v>
      </c>
      <c r="AS41" s="161">
        <v>0</v>
      </c>
      <c r="AT41" s="161">
        <v>0</v>
      </c>
      <c r="AU41" s="161">
        <v>0</v>
      </c>
      <c r="AV41" s="161">
        <v>0</v>
      </c>
      <c r="AW41" s="161">
        <v>0</v>
      </c>
      <c r="AX41" s="162">
        <v>0</v>
      </c>
      <c r="AY41" s="162">
        <v>0</v>
      </c>
      <c r="AZ41" s="162">
        <v>0</v>
      </c>
      <c r="BA41" s="162">
        <v>1</v>
      </c>
      <c r="BB41" s="32"/>
      <c r="BC41" s="63"/>
      <c r="BD41" s="63">
        <f t="shared" si="9"/>
        <v>0</v>
      </c>
      <c r="BE41" s="63"/>
      <c r="BF41" s="32"/>
      <c r="BG41" s="32"/>
      <c r="BH41" s="63"/>
      <c r="BI41" s="64">
        <f t="shared" si="10"/>
        <v>0</v>
      </c>
      <c r="BJ41" s="63"/>
      <c r="BK41" s="32"/>
      <c r="BL41" s="32"/>
      <c r="BM41" s="33"/>
      <c r="BN41" s="33">
        <f t="shared" si="11"/>
        <v>0</v>
      </c>
      <c r="BO41" s="33"/>
      <c r="BP41" s="32"/>
      <c r="BQ41" s="32"/>
      <c r="BR41" s="33"/>
      <c r="BS41" s="33">
        <f t="shared" si="12"/>
        <v>0</v>
      </c>
      <c r="BT41" s="33"/>
      <c r="BU41" s="32"/>
      <c r="BV41" s="32"/>
      <c r="BW41" s="63"/>
      <c r="BX41" s="63">
        <f t="shared" si="13"/>
        <v>0</v>
      </c>
      <c r="BY41" s="63"/>
      <c r="BZ41" s="32"/>
      <c r="CA41" s="32"/>
      <c r="CB41" s="33"/>
      <c r="CC41" s="33">
        <f t="shared" si="14"/>
        <v>0</v>
      </c>
      <c r="CD41" s="33"/>
      <c r="CE41" s="32"/>
      <c r="CF41" s="33"/>
      <c r="CG41" s="33">
        <f t="shared" si="15"/>
        <v>0</v>
      </c>
      <c r="CH41" s="33"/>
      <c r="CI41" s="32"/>
      <c r="CJ41" s="33"/>
      <c r="CK41" s="33">
        <f t="shared" si="16"/>
        <v>0</v>
      </c>
      <c r="CL41" s="33"/>
      <c r="CM41" s="32"/>
      <c r="CN41" s="23"/>
      <c r="CO41" s="5">
        <f t="shared" si="17"/>
        <v>0</v>
      </c>
      <c r="CP41" s="10"/>
      <c r="CQ41" s="6"/>
      <c r="CR41" s="31"/>
      <c r="CS41" s="124"/>
      <c r="CT41" s="124"/>
      <c r="CU41" s="31"/>
      <c r="CV41" s="124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</row>
    <row r="42" spans="1:126" s="7" customFormat="1" ht="15" customHeight="1" x14ac:dyDescent="0.3">
      <c r="A42" s="134">
        <v>28</v>
      </c>
      <c r="B42" s="123" t="s">
        <v>428</v>
      </c>
      <c r="C42" s="14">
        <v>7077347</v>
      </c>
      <c r="D42" s="14" t="s">
        <v>70</v>
      </c>
      <c r="E42" s="14" t="s">
        <v>71</v>
      </c>
      <c r="F42" s="167">
        <v>1</v>
      </c>
      <c r="G42" s="25">
        <v>0</v>
      </c>
      <c r="H42" s="9">
        <v>0</v>
      </c>
      <c r="I42" s="26">
        <v>0</v>
      </c>
      <c r="J42" s="30">
        <v>0</v>
      </c>
      <c r="K42" s="29">
        <v>1</v>
      </c>
      <c r="L42" s="29">
        <v>0</v>
      </c>
      <c r="M42" s="29">
        <v>0</v>
      </c>
      <c r="N42" s="29">
        <v>0</v>
      </c>
      <c r="O42" s="29">
        <v>0</v>
      </c>
      <c r="P42" s="158">
        <v>0</v>
      </c>
      <c r="Q42" s="158">
        <v>0</v>
      </c>
      <c r="R42" s="158">
        <v>0</v>
      </c>
      <c r="S42" s="158">
        <v>0</v>
      </c>
      <c r="T42" s="158">
        <v>0</v>
      </c>
      <c r="U42" s="158">
        <v>0</v>
      </c>
      <c r="V42" s="29">
        <v>0</v>
      </c>
      <c r="W42" s="29">
        <v>0</v>
      </c>
      <c r="X42" s="159">
        <v>0</v>
      </c>
      <c r="Y42" s="159">
        <v>0</v>
      </c>
      <c r="Z42" s="29">
        <v>0</v>
      </c>
      <c r="AA42" s="29">
        <v>0</v>
      </c>
      <c r="AB42" s="29">
        <v>0</v>
      </c>
      <c r="AC42" s="29">
        <v>1</v>
      </c>
      <c r="AD42" s="29">
        <v>0</v>
      </c>
      <c r="AE42" s="159">
        <v>1</v>
      </c>
      <c r="AF42" s="159">
        <v>1</v>
      </c>
      <c r="AG42" s="160">
        <v>0</v>
      </c>
      <c r="AH42" s="160">
        <v>0</v>
      </c>
      <c r="AI42" s="160">
        <v>0</v>
      </c>
      <c r="AJ42" s="160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160">
        <v>0</v>
      </c>
      <c r="AQ42" s="161">
        <v>0</v>
      </c>
      <c r="AR42" s="161">
        <v>0</v>
      </c>
      <c r="AS42" s="161">
        <v>0</v>
      </c>
      <c r="AT42" s="161">
        <v>0</v>
      </c>
      <c r="AU42" s="161">
        <v>0</v>
      </c>
      <c r="AV42" s="161">
        <v>0</v>
      </c>
      <c r="AW42" s="161">
        <v>0</v>
      </c>
      <c r="AX42" s="162">
        <v>0</v>
      </c>
      <c r="AY42" s="162">
        <v>0</v>
      </c>
      <c r="AZ42" s="162">
        <v>0</v>
      </c>
      <c r="BA42" s="162">
        <v>1</v>
      </c>
      <c r="BB42" s="32"/>
      <c r="BC42" s="63"/>
      <c r="BD42" s="63">
        <f t="shared" si="9"/>
        <v>0</v>
      </c>
      <c r="BE42" s="63"/>
      <c r="BF42" s="32"/>
      <c r="BG42" s="32"/>
      <c r="BH42" s="63"/>
      <c r="BI42" s="64">
        <f t="shared" si="10"/>
        <v>0</v>
      </c>
      <c r="BJ42" s="63"/>
      <c r="BK42" s="32"/>
      <c r="BL42" s="32"/>
      <c r="BM42" s="33"/>
      <c r="BN42" s="33">
        <f t="shared" si="11"/>
        <v>0</v>
      </c>
      <c r="BO42" s="33"/>
      <c r="BP42" s="32"/>
      <c r="BQ42" s="32"/>
      <c r="BR42" s="33"/>
      <c r="BS42" s="33">
        <f t="shared" si="12"/>
        <v>0</v>
      </c>
      <c r="BT42" s="33"/>
      <c r="BU42" s="32"/>
      <c r="BV42" s="32"/>
      <c r="BW42" s="63"/>
      <c r="BX42" s="63">
        <f t="shared" si="13"/>
        <v>0</v>
      </c>
      <c r="BY42" s="63"/>
      <c r="BZ42" s="32"/>
      <c r="CA42" s="32"/>
      <c r="CB42" s="33"/>
      <c r="CC42" s="33">
        <f t="shared" si="14"/>
        <v>0</v>
      </c>
      <c r="CD42" s="33"/>
      <c r="CE42" s="32"/>
      <c r="CF42" s="33"/>
      <c r="CG42" s="33">
        <f t="shared" si="15"/>
        <v>0</v>
      </c>
      <c r="CH42" s="33"/>
      <c r="CI42" s="32"/>
      <c r="CJ42" s="33"/>
      <c r="CK42" s="33">
        <f t="shared" si="16"/>
        <v>0</v>
      </c>
      <c r="CL42" s="33"/>
      <c r="CM42" s="32"/>
      <c r="CN42" s="23"/>
      <c r="CO42" s="5">
        <f t="shared" si="17"/>
        <v>0</v>
      </c>
      <c r="CP42" s="10"/>
      <c r="CQ42" s="6"/>
      <c r="CR42" s="31"/>
      <c r="CS42" s="124"/>
      <c r="CT42" s="124"/>
      <c r="CU42" s="31"/>
      <c r="CV42" s="124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</row>
    <row r="43" spans="1:126" s="7" customFormat="1" ht="15" customHeight="1" x14ac:dyDescent="0.3">
      <c r="A43" s="134">
        <v>66</v>
      </c>
      <c r="B43" s="41" t="s">
        <v>397</v>
      </c>
      <c r="C43" s="14">
        <v>7095758</v>
      </c>
      <c r="D43" s="14" t="s">
        <v>185</v>
      </c>
      <c r="E43" s="14" t="s">
        <v>186</v>
      </c>
      <c r="F43" s="167">
        <v>1</v>
      </c>
      <c r="G43" s="25">
        <v>0</v>
      </c>
      <c r="H43" s="9">
        <v>0</v>
      </c>
      <c r="I43" s="26">
        <v>0</v>
      </c>
      <c r="J43" s="30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158">
        <v>0</v>
      </c>
      <c r="Q43" s="158">
        <v>0</v>
      </c>
      <c r="R43" s="158">
        <v>0</v>
      </c>
      <c r="S43" s="158">
        <v>0</v>
      </c>
      <c r="T43" s="158">
        <v>0</v>
      </c>
      <c r="U43" s="158">
        <v>0</v>
      </c>
      <c r="V43" s="29">
        <v>0</v>
      </c>
      <c r="W43" s="29">
        <v>0</v>
      </c>
      <c r="X43" s="159">
        <v>0</v>
      </c>
      <c r="Y43" s="159">
        <v>0</v>
      </c>
      <c r="Z43" s="29">
        <v>0</v>
      </c>
      <c r="AA43" s="29">
        <v>0</v>
      </c>
      <c r="AB43" s="29">
        <v>0</v>
      </c>
      <c r="AC43" s="29">
        <v>0</v>
      </c>
      <c r="AD43" s="29">
        <v>0</v>
      </c>
      <c r="AE43" s="159">
        <v>1</v>
      </c>
      <c r="AF43" s="159">
        <v>1</v>
      </c>
      <c r="AG43" s="160">
        <v>0</v>
      </c>
      <c r="AH43" s="160">
        <v>0</v>
      </c>
      <c r="AI43" s="160">
        <v>0</v>
      </c>
      <c r="AJ43" s="160">
        <v>0</v>
      </c>
      <c r="AK43" s="29">
        <v>1</v>
      </c>
      <c r="AL43" s="29">
        <v>1</v>
      </c>
      <c r="AM43" s="29">
        <v>0</v>
      </c>
      <c r="AN43" s="29">
        <v>1</v>
      </c>
      <c r="AO43" s="29">
        <v>1</v>
      </c>
      <c r="AP43" s="160">
        <v>0</v>
      </c>
      <c r="AQ43" s="161">
        <v>0</v>
      </c>
      <c r="AR43" s="161">
        <v>0</v>
      </c>
      <c r="AS43" s="161">
        <v>0</v>
      </c>
      <c r="AT43" s="161">
        <v>0</v>
      </c>
      <c r="AU43" s="161">
        <v>0</v>
      </c>
      <c r="AV43" s="161">
        <v>0</v>
      </c>
      <c r="AW43" s="161">
        <v>0</v>
      </c>
      <c r="AX43" s="162">
        <v>0</v>
      </c>
      <c r="AY43" s="162">
        <v>0</v>
      </c>
      <c r="AZ43" s="162">
        <v>0</v>
      </c>
      <c r="BA43" s="162">
        <v>0</v>
      </c>
      <c r="BB43" s="32"/>
      <c r="BC43" s="63"/>
      <c r="BD43" s="63">
        <f t="shared" si="9"/>
        <v>0</v>
      </c>
      <c r="BE43" s="63"/>
      <c r="BF43" s="32"/>
      <c r="BG43" s="32"/>
      <c r="BH43" s="63"/>
      <c r="BI43" s="64">
        <f t="shared" si="10"/>
        <v>0</v>
      </c>
      <c r="BJ43" s="63"/>
      <c r="BK43" s="32"/>
      <c r="BL43" s="32"/>
      <c r="BM43" s="33"/>
      <c r="BN43" s="33">
        <f t="shared" si="11"/>
        <v>0</v>
      </c>
      <c r="BO43" s="33"/>
      <c r="BP43" s="32"/>
      <c r="BQ43" s="32"/>
      <c r="BR43" s="33"/>
      <c r="BS43" s="33">
        <f t="shared" si="12"/>
        <v>0</v>
      </c>
      <c r="BT43" s="33"/>
      <c r="BU43" s="32"/>
      <c r="BV43" s="32"/>
      <c r="BW43" s="63"/>
      <c r="BX43" s="63">
        <f t="shared" si="13"/>
        <v>0</v>
      </c>
      <c r="BY43" s="63"/>
      <c r="BZ43" s="32"/>
      <c r="CA43" s="32"/>
      <c r="CB43" s="33"/>
      <c r="CC43" s="33">
        <f t="shared" si="14"/>
        <v>0</v>
      </c>
      <c r="CD43" s="33"/>
      <c r="CE43" s="32"/>
      <c r="CF43" s="33"/>
      <c r="CG43" s="33">
        <f t="shared" si="15"/>
        <v>0</v>
      </c>
      <c r="CH43" s="33"/>
      <c r="CI43" s="32"/>
      <c r="CJ43" s="33"/>
      <c r="CK43" s="33">
        <f t="shared" si="16"/>
        <v>0</v>
      </c>
      <c r="CL43" s="33"/>
      <c r="CM43" s="32"/>
      <c r="CN43" s="23"/>
      <c r="CO43" s="5">
        <f t="shared" si="17"/>
        <v>0</v>
      </c>
      <c r="CP43" s="10"/>
      <c r="CQ43" s="6"/>
      <c r="CR43" s="31"/>
      <c r="CS43" s="124"/>
      <c r="CT43" s="124"/>
      <c r="CU43" s="31"/>
      <c r="CV43" s="124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</row>
    <row r="44" spans="1:126" s="7" customFormat="1" ht="15" customHeight="1" x14ac:dyDescent="0.3">
      <c r="A44" s="134">
        <v>86</v>
      </c>
      <c r="B44" s="35" t="s">
        <v>42</v>
      </c>
      <c r="C44" s="14">
        <v>7095865</v>
      </c>
      <c r="D44" s="14" t="s">
        <v>357</v>
      </c>
      <c r="E44" s="14" t="s">
        <v>45</v>
      </c>
      <c r="F44" s="167">
        <v>1</v>
      </c>
      <c r="G44" s="25">
        <v>0</v>
      </c>
      <c r="H44" s="9">
        <v>0</v>
      </c>
      <c r="I44" s="26">
        <v>0</v>
      </c>
      <c r="J44" s="30">
        <v>0</v>
      </c>
      <c r="K44" s="29">
        <v>1</v>
      </c>
      <c r="L44" s="29">
        <v>0</v>
      </c>
      <c r="M44" s="29">
        <v>1</v>
      </c>
      <c r="N44" s="29">
        <v>0</v>
      </c>
      <c r="O44" s="29">
        <v>0</v>
      </c>
      <c r="P44" s="158">
        <v>0</v>
      </c>
      <c r="Q44" s="158">
        <v>1</v>
      </c>
      <c r="R44" s="158">
        <v>1</v>
      </c>
      <c r="S44" s="158">
        <v>1</v>
      </c>
      <c r="T44" s="158">
        <v>1</v>
      </c>
      <c r="U44" s="158">
        <v>0</v>
      </c>
      <c r="V44" s="29">
        <v>1</v>
      </c>
      <c r="W44" s="29">
        <v>1</v>
      </c>
      <c r="X44" s="159">
        <v>1</v>
      </c>
      <c r="Y44" s="159">
        <v>1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159">
        <v>1</v>
      </c>
      <c r="AF44" s="159">
        <v>1</v>
      </c>
      <c r="AG44" s="160">
        <v>0</v>
      </c>
      <c r="AH44" s="160">
        <v>0</v>
      </c>
      <c r="AI44" s="160">
        <v>0</v>
      </c>
      <c r="AJ44" s="160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160">
        <v>0</v>
      </c>
      <c r="AQ44" s="161">
        <v>0</v>
      </c>
      <c r="AR44" s="161">
        <v>0</v>
      </c>
      <c r="AS44" s="161">
        <v>0</v>
      </c>
      <c r="AT44" s="161">
        <v>0</v>
      </c>
      <c r="AU44" s="161">
        <v>0</v>
      </c>
      <c r="AV44" s="161">
        <v>0</v>
      </c>
      <c r="AW44" s="161">
        <v>0</v>
      </c>
      <c r="AX44" s="162">
        <v>0</v>
      </c>
      <c r="AY44" s="162">
        <v>0</v>
      </c>
      <c r="AZ44" s="162">
        <v>0</v>
      </c>
      <c r="BA44" s="162">
        <v>1</v>
      </c>
      <c r="BB44" s="32"/>
      <c r="BC44" s="63"/>
      <c r="BD44" s="63">
        <f t="shared" si="9"/>
        <v>0</v>
      </c>
      <c r="BE44" s="63"/>
      <c r="BF44" s="32"/>
      <c r="BG44" s="32"/>
      <c r="BH44" s="63"/>
      <c r="BI44" s="64">
        <f t="shared" si="10"/>
        <v>0</v>
      </c>
      <c r="BJ44" s="63"/>
      <c r="BK44" s="32"/>
      <c r="BL44" s="32"/>
      <c r="BM44" s="33"/>
      <c r="BN44" s="33">
        <f t="shared" si="11"/>
        <v>0</v>
      </c>
      <c r="BO44" s="33"/>
      <c r="BP44" s="32"/>
      <c r="BQ44" s="32"/>
      <c r="BR44" s="33"/>
      <c r="BS44" s="33">
        <f t="shared" si="12"/>
        <v>0</v>
      </c>
      <c r="BT44" s="33"/>
      <c r="BU44" s="32"/>
      <c r="BV44" s="32"/>
      <c r="BW44" s="63"/>
      <c r="BX44" s="63">
        <f t="shared" si="13"/>
        <v>0</v>
      </c>
      <c r="BY44" s="63"/>
      <c r="BZ44" s="32"/>
      <c r="CA44" s="32"/>
      <c r="CB44" s="33"/>
      <c r="CC44" s="33">
        <f t="shared" si="14"/>
        <v>0</v>
      </c>
      <c r="CD44" s="33"/>
      <c r="CE44" s="32"/>
      <c r="CF44" s="33"/>
      <c r="CG44" s="33">
        <f t="shared" si="15"/>
        <v>0</v>
      </c>
      <c r="CH44" s="33"/>
      <c r="CI44" s="32"/>
      <c r="CJ44" s="33"/>
      <c r="CK44" s="33">
        <f t="shared" si="16"/>
        <v>0</v>
      </c>
      <c r="CL44" s="33"/>
      <c r="CM44" s="32"/>
      <c r="CN44" s="23"/>
      <c r="CO44" s="5">
        <f t="shared" si="17"/>
        <v>0</v>
      </c>
      <c r="CP44" s="10"/>
      <c r="CQ44" s="6"/>
      <c r="CR44" s="31"/>
      <c r="CS44" s="124"/>
      <c r="CT44" s="124"/>
      <c r="CU44" s="31"/>
      <c r="CV44" s="124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</row>
    <row r="45" spans="1:126" s="7" customFormat="1" ht="15" customHeight="1" x14ac:dyDescent="0.3">
      <c r="A45" s="134">
        <v>97</v>
      </c>
      <c r="B45" s="123" t="s">
        <v>43</v>
      </c>
      <c r="C45" s="14">
        <v>7401072</v>
      </c>
      <c r="D45" s="14" t="s">
        <v>380</v>
      </c>
      <c r="E45" s="14" t="s">
        <v>381</v>
      </c>
      <c r="F45" s="167">
        <v>1</v>
      </c>
      <c r="G45" s="25">
        <v>0</v>
      </c>
      <c r="H45" s="9">
        <v>0</v>
      </c>
      <c r="I45" s="26">
        <v>0</v>
      </c>
      <c r="J45" s="30">
        <v>0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158">
        <v>1</v>
      </c>
      <c r="Q45" s="158">
        <v>1</v>
      </c>
      <c r="R45" s="158">
        <v>0</v>
      </c>
      <c r="S45" s="158">
        <v>0</v>
      </c>
      <c r="T45" s="158">
        <v>0</v>
      </c>
      <c r="U45" s="158">
        <v>0</v>
      </c>
      <c r="V45" s="29">
        <v>0</v>
      </c>
      <c r="W45" s="29">
        <v>0</v>
      </c>
      <c r="X45" s="159">
        <v>0</v>
      </c>
      <c r="Y45" s="159">
        <v>0</v>
      </c>
      <c r="Z45" s="29">
        <v>0</v>
      </c>
      <c r="AA45" s="29">
        <v>0</v>
      </c>
      <c r="AB45" s="29">
        <v>0</v>
      </c>
      <c r="AC45" s="29">
        <v>0</v>
      </c>
      <c r="AD45" s="29">
        <v>0</v>
      </c>
      <c r="AE45" s="159">
        <v>1</v>
      </c>
      <c r="AF45" s="159">
        <v>1</v>
      </c>
      <c r="AG45" s="160">
        <v>0</v>
      </c>
      <c r="AH45" s="160">
        <v>0</v>
      </c>
      <c r="AI45" s="160">
        <v>0</v>
      </c>
      <c r="AJ45" s="160">
        <v>0</v>
      </c>
      <c r="AK45" s="29">
        <v>1</v>
      </c>
      <c r="AL45" s="29">
        <v>0</v>
      </c>
      <c r="AM45" s="29">
        <v>0</v>
      </c>
      <c r="AN45" s="29">
        <v>1</v>
      </c>
      <c r="AO45" s="29">
        <v>1</v>
      </c>
      <c r="AP45" s="160">
        <v>0</v>
      </c>
      <c r="AQ45" s="161">
        <v>0</v>
      </c>
      <c r="AR45" s="161">
        <v>0</v>
      </c>
      <c r="AS45" s="161">
        <v>0</v>
      </c>
      <c r="AT45" s="161">
        <v>0</v>
      </c>
      <c r="AU45" s="161">
        <v>0</v>
      </c>
      <c r="AV45" s="161">
        <v>0</v>
      </c>
      <c r="AW45" s="161">
        <v>0</v>
      </c>
      <c r="AX45" s="162">
        <v>0</v>
      </c>
      <c r="AY45" s="162">
        <v>0</v>
      </c>
      <c r="AZ45" s="162">
        <v>0</v>
      </c>
      <c r="BA45" s="162">
        <v>1</v>
      </c>
      <c r="BB45" s="32"/>
      <c r="BC45" s="63"/>
      <c r="BD45" s="63">
        <f t="shared" si="9"/>
        <v>0</v>
      </c>
      <c r="BE45" s="63"/>
      <c r="BF45" s="32"/>
      <c r="BG45" s="32"/>
      <c r="BH45" s="63"/>
      <c r="BI45" s="64">
        <f t="shared" si="10"/>
        <v>0</v>
      </c>
      <c r="BJ45" s="63"/>
      <c r="BK45" s="32"/>
      <c r="BL45" s="32"/>
      <c r="BM45" s="33"/>
      <c r="BN45" s="33">
        <f t="shared" si="11"/>
        <v>0</v>
      </c>
      <c r="BO45" s="33"/>
      <c r="BP45" s="32"/>
      <c r="BQ45" s="32"/>
      <c r="BR45" s="33"/>
      <c r="BS45" s="33">
        <f t="shared" si="12"/>
        <v>0</v>
      </c>
      <c r="BT45" s="33"/>
      <c r="BU45" s="32"/>
      <c r="BV45" s="32"/>
      <c r="BW45" s="63"/>
      <c r="BX45" s="63">
        <f t="shared" si="13"/>
        <v>0</v>
      </c>
      <c r="BY45" s="63"/>
      <c r="BZ45" s="32"/>
      <c r="CA45" s="32"/>
      <c r="CB45" s="33"/>
      <c r="CC45" s="33">
        <f t="shared" si="14"/>
        <v>0</v>
      </c>
      <c r="CD45" s="33"/>
      <c r="CE45" s="32"/>
      <c r="CF45" s="33"/>
      <c r="CG45" s="33">
        <f t="shared" si="15"/>
        <v>0</v>
      </c>
      <c r="CH45" s="33"/>
      <c r="CI45" s="32"/>
      <c r="CJ45" s="33"/>
      <c r="CK45" s="33">
        <f t="shared" si="16"/>
        <v>0</v>
      </c>
      <c r="CL45" s="33"/>
      <c r="CM45" s="32"/>
      <c r="CN45" s="23"/>
      <c r="CO45" s="5">
        <f t="shared" si="17"/>
        <v>0</v>
      </c>
      <c r="CP45" s="10"/>
      <c r="CQ45" s="6"/>
      <c r="CR45" s="31"/>
      <c r="CS45" s="124"/>
      <c r="CT45" s="124"/>
      <c r="CU45" s="31"/>
      <c r="CV45" s="124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</row>
    <row r="46" spans="1:126" s="7" customFormat="1" ht="15" customHeight="1" x14ac:dyDescent="0.3">
      <c r="A46" s="134">
        <v>77</v>
      </c>
      <c r="B46" s="35" t="s">
        <v>42</v>
      </c>
      <c r="C46" s="14">
        <v>7095735</v>
      </c>
      <c r="D46" s="14" t="s">
        <v>201</v>
      </c>
      <c r="E46" s="14" t="s">
        <v>202</v>
      </c>
      <c r="F46" s="167">
        <v>1</v>
      </c>
      <c r="G46" s="25">
        <v>0</v>
      </c>
      <c r="H46" s="9">
        <v>0</v>
      </c>
      <c r="I46" s="26">
        <v>0</v>
      </c>
      <c r="J46" s="30">
        <v>0</v>
      </c>
      <c r="K46" s="29">
        <v>1</v>
      </c>
      <c r="L46" s="29">
        <v>0</v>
      </c>
      <c r="M46" s="29">
        <v>0</v>
      </c>
      <c r="N46" s="29">
        <v>0</v>
      </c>
      <c r="O46" s="29">
        <v>0</v>
      </c>
      <c r="P46" s="158">
        <v>0</v>
      </c>
      <c r="Q46" s="158">
        <v>0</v>
      </c>
      <c r="R46" s="158">
        <v>0</v>
      </c>
      <c r="S46" s="158">
        <v>0</v>
      </c>
      <c r="T46" s="158">
        <v>0</v>
      </c>
      <c r="U46" s="158">
        <v>0</v>
      </c>
      <c r="V46" s="29">
        <v>0</v>
      </c>
      <c r="W46" s="29">
        <v>0</v>
      </c>
      <c r="X46" s="159">
        <v>0</v>
      </c>
      <c r="Y46" s="159">
        <v>0</v>
      </c>
      <c r="Z46" s="29">
        <v>1</v>
      </c>
      <c r="AA46" s="29">
        <v>1</v>
      </c>
      <c r="AB46" s="29">
        <v>1</v>
      </c>
      <c r="AC46" s="29">
        <v>0</v>
      </c>
      <c r="AD46" s="29">
        <v>0</v>
      </c>
      <c r="AE46" s="159">
        <v>1</v>
      </c>
      <c r="AF46" s="159">
        <v>1</v>
      </c>
      <c r="AG46" s="160">
        <v>0</v>
      </c>
      <c r="AH46" s="160">
        <v>0</v>
      </c>
      <c r="AI46" s="160">
        <v>0</v>
      </c>
      <c r="AJ46" s="160">
        <v>0</v>
      </c>
      <c r="AK46" s="29">
        <v>0</v>
      </c>
      <c r="AL46" s="29">
        <v>0</v>
      </c>
      <c r="AM46" s="29">
        <v>1</v>
      </c>
      <c r="AN46" s="29">
        <v>1</v>
      </c>
      <c r="AO46" s="29">
        <v>1</v>
      </c>
      <c r="AP46" s="160">
        <v>0</v>
      </c>
      <c r="AQ46" s="161">
        <v>0</v>
      </c>
      <c r="AR46" s="161">
        <v>0</v>
      </c>
      <c r="AS46" s="161">
        <v>0</v>
      </c>
      <c r="AT46" s="161">
        <v>0</v>
      </c>
      <c r="AU46" s="161">
        <v>0</v>
      </c>
      <c r="AV46" s="161">
        <v>0</v>
      </c>
      <c r="AW46" s="161">
        <v>0</v>
      </c>
      <c r="AX46" s="162">
        <v>0</v>
      </c>
      <c r="AY46" s="162">
        <v>0</v>
      </c>
      <c r="AZ46" s="162">
        <v>0</v>
      </c>
      <c r="BA46" s="162">
        <v>1</v>
      </c>
      <c r="BB46" s="32"/>
      <c r="BC46" s="63"/>
      <c r="BD46" s="63">
        <f t="shared" si="9"/>
        <v>0</v>
      </c>
      <c r="BE46" s="63"/>
      <c r="BF46" s="32"/>
      <c r="BG46" s="32"/>
      <c r="BH46" s="63"/>
      <c r="BI46" s="64">
        <f t="shared" si="10"/>
        <v>0</v>
      </c>
      <c r="BJ46" s="63"/>
      <c r="BK46" s="32"/>
      <c r="BL46" s="32"/>
      <c r="BM46" s="33"/>
      <c r="BN46" s="33">
        <f t="shared" si="11"/>
        <v>0</v>
      </c>
      <c r="BO46" s="33"/>
      <c r="BP46" s="32"/>
      <c r="BQ46" s="32"/>
      <c r="BR46" s="33"/>
      <c r="BS46" s="33">
        <f t="shared" si="12"/>
        <v>0</v>
      </c>
      <c r="BT46" s="33"/>
      <c r="BU46" s="32"/>
      <c r="BV46" s="32"/>
      <c r="BW46" s="63"/>
      <c r="BX46" s="63">
        <f t="shared" si="13"/>
        <v>0</v>
      </c>
      <c r="BY46" s="63"/>
      <c r="BZ46" s="32"/>
      <c r="CA46" s="32"/>
      <c r="CB46" s="33"/>
      <c r="CC46" s="33">
        <f t="shared" si="14"/>
        <v>0</v>
      </c>
      <c r="CD46" s="33"/>
      <c r="CE46" s="32"/>
      <c r="CF46" s="33"/>
      <c r="CG46" s="33">
        <f t="shared" si="15"/>
        <v>0</v>
      </c>
      <c r="CH46" s="33"/>
      <c r="CI46" s="32"/>
      <c r="CJ46" s="33"/>
      <c r="CK46" s="33">
        <f t="shared" si="16"/>
        <v>0</v>
      </c>
      <c r="CL46" s="33"/>
      <c r="CM46" s="32"/>
      <c r="CN46" s="23"/>
      <c r="CO46" s="5">
        <f t="shared" si="17"/>
        <v>0</v>
      </c>
      <c r="CP46" s="10"/>
      <c r="CQ46" s="6"/>
      <c r="CR46" s="31"/>
      <c r="CS46" s="124"/>
      <c r="CT46" s="124"/>
      <c r="CU46" s="31"/>
      <c r="CV46" s="124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</row>
    <row r="47" spans="1:126" s="8" customFormat="1" ht="15" customHeight="1" x14ac:dyDescent="0.3">
      <c r="A47" s="134">
        <v>96</v>
      </c>
      <c r="B47" s="34" t="s">
        <v>49</v>
      </c>
      <c r="C47" s="14">
        <v>7098056</v>
      </c>
      <c r="D47" s="14" t="s">
        <v>372</v>
      </c>
      <c r="E47" s="14" t="s">
        <v>67</v>
      </c>
      <c r="F47" s="167">
        <v>1</v>
      </c>
      <c r="G47" s="25">
        <v>0</v>
      </c>
      <c r="H47" s="9">
        <v>0</v>
      </c>
      <c r="I47" s="26">
        <v>0</v>
      </c>
      <c r="J47" s="30">
        <v>0</v>
      </c>
      <c r="K47" s="29">
        <v>1</v>
      </c>
      <c r="L47" s="29">
        <v>0</v>
      </c>
      <c r="M47" s="29">
        <v>1</v>
      </c>
      <c r="N47" s="29">
        <v>0</v>
      </c>
      <c r="O47" s="29">
        <v>0</v>
      </c>
      <c r="P47" s="158">
        <v>0</v>
      </c>
      <c r="Q47" s="158">
        <v>1</v>
      </c>
      <c r="R47" s="158">
        <v>1</v>
      </c>
      <c r="S47" s="158">
        <v>1</v>
      </c>
      <c r="T47" s="158">
        <v>1</v>
      </c>
      <c r="U47" s="158">
        <v>0</v>
      </c>
      <c r="V47" s="29">
        <v>1</v>
      </c>
      <c r="W47" s="29">
        <v>1</v>
      </c>
      <c r="X47" s="159">
        <v>1</v>
      </c>
      <c r="Y47" s="159">
        <v>1</v>
      </c>
      <c r="Z47" s="29">
        <v>0</v>
      </c>
      <c r="AA47" s="29">
        <v>0</v>
      </c>
      <c r="AB47" s="29">
        <v>1</v>
      </c>
      <c r="AC47" s="29">
        <v>0</v>
      </c>
      <c r="AD47" s="29">
        <v>1</v>
      </c>
      <c r="AE47" s="159">
        <v>1</v>
      </c>
      <c r="AF47" s="159">
        <v>1</v>
      </c>
      <c r="AG47" s="160">
        <v>0</v>
      </c>
      <c r="AH47" s="160">
        <v>0</v>
      </c>
      <c r="AI47" s="160">
        <v>0</v>
      </c>
      <c r="AJ47" s="160">
        <v>0</v>
      </c>
      <c r="AK47" s="29">
        <v>0</v>
      </c>
      <c r="AL47" s="29">
        <v>0</v>
      </c>
      <c r="AM47" s="29">
        <v>0</v>
      </c>
      <c r="AN47" s="29">
        <v>0</v>
      </c>
      <c r="AO47" s="29">
        <v>0</v>
      </c>
      <c r="AP47" s="160">
        <v>0</v>
      </c>
      <c r="AQ47" s="161">
        <v>0</v>
      </c>
      <c r="AR47" s="161">
        <v>0</v>
      </c>
      <c r="AS47" s="161">
        <v>0</v>
      </c>
      <c r="AT47" s="161">
        <v>0</v>
      </c>
      <c r="AU47" s="161">
        <v>0</v>
      </c>
      <c r="AV47" s="161">
        <v>0</v>
      </c>
      <c r="AW47" s="161">
        <v>0</v>
      </c>
      <c r="AX47" s="162">
        <v>0</v>
      </c>
      <c r="AY47" s="162">
        <v>0</v>
      </c>
      <c r="AZ47" s="162">
        <v>0</v>
      </c>
      <c r="BA47" s="162">
        <v>1</v>
      </c>
      <c r="BB47" s="32"/>
      <c r="BC47" s="63"/>
      <c r="BD47" s="63">
        <f t="shared" si="9"/>
        <v>0</v>
      </c>
      <c r="BE47" s="63"/>
      <c r="BF47" s="32"/>
      <c r="BG47" s="32"/>
      <c r="BH47" s="63"/>
      <c r="BI47" s="64">
        <f t="shared" si="10"/>
        <v>0</v>
      </c>
      <c r="BJ47" s="63"/>
      <c r="BK47" s="32"/>
      <c r="BL47" s="32"/>
      <c r="BM47" s="33"/>
      <c r="BN47" s="33">
        <f t="shared" si="11"/>
        <v>0</v>
      </c>
      <c r="BO47" s="33"/>
      <c r="BP47" s="32"/>
      <c r="BQ47" s="32"/>
      <c r="BR47" s="33"/>
      <c r="BS47" s="33">
        <f t="shared" si="12"/>
        <v>0</v>
      </c>
      <c r="BT47" s="33"/>
      <c r="BU47" s="32"/>
      <c r="BV47" s="32"/>
      <c r="BW47" s="63"/>
      <c r="BX47" s="63">
        <f t="shared" si="13"/>
        <v>0</v>
      </c>
      <c r="BY47" s="63"/>
      <c r="BZ47" s="32"/>
      <c r="CA47" s="32"/>
      <c r="CB47" s="33"/>
      <c r="CC47" s="33">
        <f t="shared" si="14"/>
        <v>0</v>
      </c>
      <c r="CD47" s="33"/>
      <c r="CE47" s="32"/>
      <c r="CF47" s="33"/>
      <c r="CG47" s="33">
        <f t="shared" si="15"/>
        <v>0</v>
      </c>
      <c r="CH47" s="33"/>
      <c r="CI47" s="32"/>
      <c r="CJ47" s="33"/>
      <c r="CK47" s="33">
        <f t="shared" si="16"/>
        <v>0</v>
      </c>
      <c r="CL47" s="33"/>
      <c r="CM47" s="32"/>
      <c r="CN47" s="23"/>
      <c r="CO47" s="5">
        <f t="shared" si="17"/>
        <v>0</v>
      </c>
      <c r="CP47" s="10"/>
      <c r="CQ47" s="6"/>
      <c r="CR47" s="31"/>
      <c r="CS47" s="124"/>
      <c r="CT47" s="124"/>
      <c r="CU47" s="31"/>
      <c r="CV47" s="124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</row>
    <row r="48" spans="1:126" s="7" customFormat="1" ht="15" customHeight="1" x14ac:dyDescent="0.3">
      <c r="A48" s="134">
        <v>61</v>
      </c>
      <c r="B48" s="41" t="s">
        <v>43</v>
      </c>
      <c r="C48" s="14">
        <v>7077343</v>
      </c>
      <c r="D48" s="14" t="s">
        <v>169</v>
      </c>
      <c r="E48" s="14" t="s">
        <v>100</v>
      </c>
      <c r="F48" s="167">
        <v>1</v>
      </c>
      <c r="G48" s="25">
        <v>0</v>
      </c>
      <c r="H48" s="9">
        <v>0</v>
      </c>
      <c r="I48" s="26">
        <v>0</v>
      </c>
      <c r="J48" s="30">
        <v>0</v>
      </c>
      <c r="K48" s="29">
        <v>1</v>
      </c>
      <c r="L48" s="29">
        <v>0</v>
      </c>
      <c r="M48" s="29">
        <v>0</v>
      </c>
      <c r="N48" s="29">
        <v>0</v>
      </c>
      <c r="O48" s="29">
        <v>0</v>
      </c>
      <c r="P48" s="158">
        <v>0</v>
      </c>
      <c r="Q48" s="158">
        <v>0</v>
      </c>
      <c r="R48" s="158">
        <v>0</v>
      </c>
      <c r="S48" s="158">
        <v>0</v>
      </c>
      <c r="T48" s="158">
        <v>0</v>
      </c>
      <c r="U48" s="158">
        <v>0</v>
      </c>
      <c r="V48" s="29">
        <v>0</v>
      </c>
      <c r="W48" s="29">
        <v>0</v>
      </c>
      <c r="X48" s="159">
        <v>0</v>
      </c>
      <c r="Y48" s="159">
        <v>0</v>
      </c>
      <c r="Z48" s="29">
        <v>1</v>
      </c>
      <c r="AA48" s="29">
        <v>0</v>
      </c>
      <c r="AB48" s="29">
        <v>0</v>
      </c>
      <c r="AC48" s="29">
        <v>0</v>
      </c>
      <c r="AD48" s="29">
        <v>0</v>
      </c>
      <c r="AE48" s="159">
        <v>1</v>
      </c>
      <c r="AF48" s="159">
        <v>1</v>
      </c>
      <c r="AG48" s="160">
        <v>0</v>
      </c>
      <c r="AH48" s="160">
        <v>0</v>
      </c>
      <c r="AI48" s="160">
        <v>0</v>
      </c>
      <c r="AJ48" s="160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160">
        <v>0</v>
      </c>
      <c r="AQ48" s="161">
        <v>0</v>
      </c>
      <c r="AR48" s="161">
        <v>0</v>
      </c>
      <c r="AS48" s="161">
        <v>0</v>
      </c>
      <c r="AT48" s="161">
        <v>0</v>
      </c>
      <c r="AU48" s="161">
        <v>0</v>
      </c>
      <c r="AV48" s="161">
        <v>0</v>
      </c>
      <c r="AW48" s="161">
        <v>0</v>
      </c>
      <c r="AX48" s="162">
        <v>0</v>
      </c>
      <c r="AY48" s="162">
        <v>0</v>
      </c>
      <c r="AZ48" s="162">
        <v>0</v>
      </c>
      <c r="BA48" s="162">
        <v>0</v>
      </c>
      <c r="BB48" s="32"/>
      <c r="BC48" s="63"/>
      <c r="BD48" s="63">
        <f t="shared" si="9"/>
        <v>0</v>
      </c>
      <c r="BE48" s="63"/>
      <c r="BF48" s="32"/>
      <c r="BG48" s="32"/>
      <c r="BH48" s="63"/>
      <c r="BI48" s="64">
        <f t="shared" si="10"/>
        <v>0</v>
      </c>
      <c r="BJ48" s="63"/>
      <c r="BK48" s="32"/>
      <c r="BL48" s="32"/>
      <c r="BM48" s="33"/>
      <c r="BN48" s="33">
        <f t="shared" si="11"/>
        <v>0</v>
      </c>
      <c r="BO48" s="33"/>
      <c r="BP48" s="32"/>
      <c r="BQ48" s="32"/>
      <c r="BR48" s="33"/>
      <c r="BS48" s="33">
        <f t="shared" si="12"/>
        <v>0</v>
      </c>
      <c r="BT48" s="33"/>
      <c r="BU48" s="32"/>
      <c r="BV48" s="32"/>
      <c r="BW48" s="63"/>
      <c r="BX48" s="63">
        <f t="shared" si="13"/>
        <v>0</v>
      </c>
      <c r="BY48" s="63"/>
      <c r="BZ48" s="32"/>
      <c r="CA48" s="32"/>
      <c r="CB48" s="33"/>
      <c r="CC48" s="33">
        <f t="shared" si="14"/>
        <v>0</v>
      </c>
      <c r="CD48" s="33"/>
      <c r="CE48" s="32"/>
      <c r="CF48" s="33"/>
      <c r="CG48" s="33">
        <f t="shared" si="15"/>
        <v>0</v>
      </c>
      <c r="CH48" s="33"/>
      <c r="CI48" s="32"/>
      <c r="CJ48" s="33"/>
      <c r="CK48" s="33">
        <f t="shared" si="16"/>
        <v>0</v>
      </c>
      <c r="CL48" s="33"/>
      <c r="CM48" s="32"/>
      <c r="CN48" s="23"/>
      <c r="CO48" s="5">
        <f t="shared" si="17"/>
        <v>0</v>
      </c>
      <c r="CP48" s="10"/>
      <c r="CQ48" s="6"/>
      <c r="CR48" s="31"/>
      <c r="CS48" s="124"/>
      <c r="CT48" s="124"/>
      <c r="CU48" s="31"/>
      <c r="CV48" s="124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</row>
    <row r="49" spans="1:126" s="7" customFormat="1" ht="15" customHeight="1" x14ac:dyDescent="0.3">
      <c r="A49" s="134">
        <v>34</v>
      </c>
      <c r="B49" s="35" t="s">
        <v>428</v>
      </c>
      <c r="C49" s="14">
        <v>7074372</v>
      </c>
      <c r="D49" s="14" t="s">
        <v>72</v>
      </c>
      <c r="E49" s="14" t="s">
        <v>73</v>
      </c>
      <c r="F49" s="167">
        <v>1</v>
      </c>
      <c r="G49" s="25">
        <v>0</v>
      </c>
      <c r="H49" s="9">
        <v>0</v>
      </c>
      <c r="I49" s="26">
        <v>0</v>
      </c>
      <c r="J49" s="30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158">
        <v>0</v>
      </c>
      <c r="Q49" s="158">
        <v>0</v>
      </c>
      <c r="R49" s="158">
        <v>0</v>
      </c>
      <c r="S49" s="158">
        <v>0</v>
      </c>
      <c r="T49" s="158">
        <v>0</v>
      </c>
      <c r="U49" s="158">
        <v>1</v>
      </c>
      <c r="V49" s="29">
        <v>0</v>
      </c>
      <c r="W49" s="29">
        <v>0</v>
      </c>
      <c r="X49" s="159">
        <v>0</v>
      </c>
      <c r="Y49" s="159">
        <v>0</v>
      </c>
      <c r="Z49" s="29">
        <v>0</v>
      </c>
      <c r="AA49" s="29">
        <v>0</v>
      </c>
      <c r="AB49" s="29">
        <v>0</v>
      </c>
      <c r="AC49" s="29">
        <v>0</v>
      </c>
      <c r="AD49" s="29">
        <v>0</v>
      </c>
      <c r="AE49" s="159">
        <v>1</v>
      </c>
      <c r="AF49" s="159">
        <v>0</v>
      </c>
      <c r="AG49" s="160">
        <v>0</v>
      </c>
      <c r="AH49" s="160">
        <v>0</v>
      </c>
      <c r="AI49" s="160">
        <v>0</v>
      </c>
      <c r="AJ49" s="160">
        <v>0</v>
      </c>
      <c r="AK49" s="29">
        <v>0</v>
      </c>
      <c r="AL49" s="29">
        <v>0</v>
      </c>
      <c r="AM49" s="29">
        <v>0</v>
      </c>
      <c r="AN49" s="29">
        <v>0</v>
      </c>
      <c r="AO49" s="29">
        <v>0</v>
      </c>
      <c r="AP49" s="160">
        <v>0</v>
      </c>
      <c r="AQ49" s="161">
        <v>0</v>
      </c>
      <c r="AR49" s="161">
        <v>0</v>
      </c>
      <c r="AS49" s="161">
        <v>0</v>
      </c>
      <c r="AT49" s="161">
        <v>0</v>
      </c>
      <c r="AU49" s="161">
        <v>0</v>
      </c>
      <c r="AV49" s="161">
        <v>0</v>
      </c>
      <c r="AW49" s="161">
        <v>0</v>
      </c>
      <c r="AX49" s="162">
        <v>0</v>
      </c>
      <c r="AY49" s="162">
        <v>0</v>
      </c>
      <c r="AZ49" s="162">
        <v>0</v>
      </c>
      <c r="BA49" s="162">
        <v>0</v>
      </c>
      <c r="BB49" s="32"/>
      <c r="BC49" s="63"/>
      <c r="BD49" s="63">
        <f t="shared" si="9"/>
        <v>0</v>
      </c>
      <c r="BE49" s="63"/>
      <c r="BF49" s="32"/>
      <c r="BG49" s="32"/>
      <c r="BH49" s="63"/>
      <c r="BI49" s="64">
        <f t="shared" si="10"/>
        <v>0</v>
      </c>
      <c r="BJ49" s="63"/>
      <c r="BK49" s="32"/>
      <c r="BL49" s="32"/>
      <c r="BM49" s="33"/>
      <c r="BN49" s="33">
        <f t="shared" si="11"/>
        <v>0</v>
      </c>
      <c r="BO49" s="33"/>
      <c r="BP49" s="32"/>
      <c r="BQ49" s="32"/>
      <c r="BR49" s="33"/>
      <c r="BS49" s="33">
        <f t="shared" si="12"/>
        <v>0</v>
      </c>
      <c r="BT49" s="33"/>
      <c r="BU49" s="32"/>
      <c r="BV49" s="32"/>
      <c r="BW49" s="63"/>
      <c r="BX49" s="63">
        <f t="shared" si="13"/>
        <v>0</v>
      </c>
      <c r="BY49" s="63"/>
      <c r="BZ49" s="32"/>
      <c r="CA49" s="32"/>
      <c r="CB49" s="33"/>
      <c r="CC49" s="33">
        <f t="shared" si="14"/>
        <v>0</v>
      </c>
      <c r="CD49" s="33"/>
      <c r="CE49" s="32"/>
      <c r="CF49" s="33"/>
      <c r="CG49" s="33">
        <f t="shared" si="15"/>
        <v>0</v>
      </c>
      <c r="CH49" s="33"/>
      <c r="CI49" s="32"/>
      <c r="CJ49" s="33"/>
      <c r="CK49" s="33">
        <f t="shared" si="16"/>
        <v>0</v>
      </c>
      <c r="CL49" s="33"/>
      <c r="CM49" s="32"/>
      <c r="CN49" s="23"/>
      <c r="CO49" s="5">
        <f t="shared" si="17"/>
        <v>0</v>
      </c>
      <c r="CP49" s="10"/>
      <c r="CQ49" s="6"/>
      <c r="CR49" s="31"/>
      <c r="CS49" s="124"/>
      <c r="CT49" s="124"/>
      <c r="CU49" s="31"/>
      <c r="CV49" s="124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</row>
    <row r="50" spans="1:126" s="7" customFormat="1" ht="15" customHeight="1" x14ac:dyDescent="0.3">
      <c r="A50" s="134">
        <v>84</v>
      </c>
      <c r="B50" s="35" t="s">
        <v>397</v>
      </c>
      <c r="C50" s="14">
        <v>7095749</v>
      </c>
      <c r="D50" s="14" t="s">
        <v>349</v>
      </c>
      <c r="E50" s="14" t="s">
        <v>350</v>
      </c>
      <c r="F50" s="167">
        <v>1</v>
      </c>
      <c r="G50" s="25">
        <v>0</v>
      </c>
      <c r="H50" s="9">
        <v>0</v>
      </c>
      <c r="I50" s="26">
        <v>0</v>
      </c>
      <c r="J50" s="30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158">
        <v>0</v>
      </c>
      <c r="Q50" s="158">
        <v>1</v>
      </c>
      <c r="R50" s="158">
        <v>1</v>
      </c>
      <c r="S50" s="158">
        <v>1</v>
      </c>
      <c r="T50" s="158">
        <v>0</v>
      </c>
      <c r="U50" s="158">
        <v>1</v>
      </c>
      <c r="V50" s="29">
        <v>1</v>
      </c>
      <c r="W50" s="29">
        <v>0</v>
      </c>
      <c r="X50" s="159">
        <v>1</v>
      </c>
      <c r="Y50" s="15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159">
        <v>1</v>
      </c>
      <c r="AF50" s="159">
        <v>1</v>
      </c>
      <c r="AG50" s="160">
        <v>0</v>
      </c>
      <c r="AH50" s="160">
        <v>0</v>
      </c>
      <c r="AI50" s="160">
        <v>0</v>
      </c>
      <c r="AJ50" s="160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160">
        <v>0</v>
      </c>
      <c r="AQ50" s="161">
        <v>0</v>
      </c>
      <c r="AR50" s="161">
        <v>0</v>
      </c>
      <c r="AS50" s="161">
        <v>0</v>
      </c>
      <c r="AT50" s="161">
        <v>0</v>
      </c>
      <c r="AU50" s="161">
        <v>0</v>
      </c>
      <c r="AV50" s="161">
        <v>0</v>
      </c>
      <c r="AW50" s="161">
        <v>0</v>
      </c>
      <c r="AX50" s="162">
        <v>0</v>
      </c>
      <c r="AY50" s="162">
        <v>0</v>
      </c>
      <c r="AZ50" s="162">
        <v>0</v>
      </c>
      <c r="BA50" s="162">
        <v>0</v>
      </c>
      <c r="BB50" s="32"/>
      <c r="BC50" s="63"/>
      <c r="BD50" s="63">
        <f t="shared" si="9"/>
        <v>0</v>
      </c>
      <c r="BE50" s="63"/>
      <c r="BF50" s="32"/>
      <c r="BG50" s="32"/>
      <c r="BH50" s="63"/>
      <c r="BI50" s="64">
        <f t="shared" si="10"/>
        <v>0</v>
      </c>
      <c r="BJ50" s="63"/>
      <c r="BK50" s="32"/>
      <c r="BL50" s="32"/>
      <c r="BM50" s="33"/>
      <c r="BN50" s="33">
        <f t="shared" si="11"/>
        <v>0</v>
      </c>
      <c r="BO50" s="33"/>
      <c r="BP50" s="32"/>
      <c r="BQ50" s="32"/>
      <c r="BR50" s="33"/>
      <c r="BS50" s="33">
        <f t="shared" si="12"/>
        <v>0</v>
      </c>
      <c r="BT50" s="33"/>
      <c r="BU50" s="32"/>
      <c r="BV50" s="32"/>
      <c r="BW50" s="63"/>
      <c r="BX50" s="63">
        <f t="shared" si="13"/>
        <v>0</v>
      </c>
      <c r="BY50" s="63"/>
      <c r="BZ50" s="32"/>
      <c r="CA50" s="32"/>
      <c r="CB50" s="33"/>
      <c r="CC50" s="33">
        <f t="shared" si="14"/>
        <v>0</v>
      </c>
      <c r="CD50" s="33"/>
      <c r="CE50" s="32"/>
      <c r="CF50" s="33"/>
      <c r="CG50" s="33">
        <f t="shared" si="15"/>
        <v>0</v>
      </c>
      <c r="CH50" s="33"/>
      <c r="CI50" s="32"/>
      <c r="CJ50" s="33"/>
      <c r="CK50" s="33">
        <f t="shared" si="16"/>
        <v>0</v>
      </c>
      <c r="CL50" s="33"/>
      <c r="CM50" s="32"/>
      <c r="CN50" s="23"/>
      <c r="CO50" s="5">
        <f t="shared" si="17"/>
        <v>0</v>
      </c>
      <c r="CP50" s="10"/>
      <c r="CQ50" s="6"/>
      <c r="CR50" s="31"/>
      <c r="CS50" s="124"/>
      <c r="CT50" s="124"/>
      <c r="CU50" s="31"/>
      <c r="CV50" s="124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</row>
    <row r="51" spans="1:126" s="7" customFormat="1" ht="15" customHeight="1" x14ac:dyDescent="0.3">
      <c r="A51" s="134">
        <v>143</v>
      </c>
      <c r="B51" s="34" t="s">
        <v>455</v>
      </c>
      <c r="C51" s="14">
        <v>7401169</v>
      </c>
      <c r="D51" s="14" t="s">
        <v>463</v>
      </c>
      <c r="E51" s="14" t="s">
        <v>464</v>
      </c>
      <c r="F51" s="167">
        <v>1</v>
      </c>
      <c r="G51" s="25">
        <v>0</v>
      </c>
      <c r="H51" s="9">
        <v>0</v>
      </c>
      <c r="I51" s="26">
        <v>0</v>
      </c>
      <c r="J51" s="30">
        <v>0</v>
      </c>
      <c r="K51" s="29">
        <v>1</v>
      </c>
      <c r="L51" s="29">
        <v>0</v>
      </c>
      <c r="M51" s="29">
        <v>0</v>
      </c>
      <c r="N51" s="29">
        <v>0</v>
      </c>
      <c r="O51" s="29">
        <v>0</v>
      </c>
      <c r="P51" s="158">
        <v>0</v>
      </c>
      <c r="Q51" s="158">
        <v>0</v>
      </c>
      <c r="R51" s="158">
        <v>0</v>
      </c>
      <c r="S51" s="158">
        <v>0</v>
      </c>
      <c r="T51" s="158">
        <v>0</v>
      </c>
      <c r="U51" s="158">
        <v>0</v>
      </c>
      <c r="V51" s="29">
        <v>0</v>
      </c>
      <c r="W51" s="29">
        <v>0</v>
      </c>
      <c r="X51" s="159">
        <v>1</v>
      </c>
      <c r="Y51" s="159">
        <v>1</v>
      </c>
      <c r="Z51" s="29">
        <v>0</v>
      </c>
      <c r="AA51" s="29">
        <v>0</v>
      </c>
      <c r="AB51" s="29">
        <v>0</v>
      </c>
      <c r="AC51" s="29">
        <v>0</v>
      </c>
      <c r="AD51" s="29">
        <v>1</v>
      </c>
      <c r="AE51" s="159">
        <v>0</v>
      </c>
      <c r="AF51" s="159">
        <v>1</v>
      </c>
      <c r="AG51" s="160">
        <v>0</v>
      </c>
      <c r="AH51" s="160">
        <v>0</v>
      </c>
      <c r="AI51" s="160">
        <v>0</v>
      </c>
      <c r="AJ51" s="160">
        <v>0</v>
      </c>
      <c r="AK51" s="29">
        <v>0</v>
      </c>
      <c r="AL51" s="29">
        <v>0</v>
      </c>
      <c r="AM51" s="29">
        <v>0</v>
      </c>
      <c r="AN51" s="29">
        <v>0</v>
      </c>
      <c r="AO51" s="29">
        <v>0</v>
      </c>
      <c r="AP51" s="160">
        <v>0</v>
      </c>
      <c r="AQ51" s="161">
        <v>1</v>
      </c>
      <c r="AR51" s="161">
        <v>0</v>
      </c>
      <c r="AS51" s="161">
        <v>0</v>
      </c>
      <c r="AT51" s="161">
        <v>0</v>
      </c>
      <c r="AU51" s="161">
        <v>0</v>
      </c>
      <c r="AV51" s="161">
        <v>0</v>
      </c>
      <c r="AW51" s="161">
        <v>0</v>
      </c>
      <c r="AX51" s="162">
        <v>0</v>
      </c>
      <c r="AY51" s="162">
        <v>0</v>
      </c>
      <c r="AZ51" s="162">
        <v>0</v>
      </c>
      <c r="BA51" s="162">
        <v>1</v>
      </c>
      <c r="BB51" s="32"/>
      <c r="BC51" s="63"/>
      <c r="BD51" s="63">
        <f t="shared" si="9"/>
        <v>0</v>
      </c>
      <c r="BE51" s="63"/>
      <c r="BF51" s="32"/>
      <c r="BG51" s="32"/>
      <c r="BH51" s="63"/>
      <c r="BI51" s="64">
        <f t="shared" si="10"/>
        <v>0</v>
      </c>
      <c r="BJ51" s="63"/>
      <c r="BK51" s="32"/>
      <c r="BL51" s="32"/>
      <c r="BM51" s="33"/>
      <c r="BN51" s="33">
        <f t="shared" si="11"/>
        <v>0</v>
      </c>
      <c r="BO51" s="33"/>
      <c r="BP51" s="32"/>
      <c r="BQ51" s="32"/>
      <c r="BR51" s="33"/>
      <c r="BS51" s="33">
        <f t="shared" si="12"/>
        <v>0</v>
      </c>
      <c r="BT51" s="33"/>
      <c r="BU51" s="32"/>
      <c r="BV51" s="32"/>
      <c r="BW51" s="63"/>
      <c r="BX51" s="63">
        <f t="shared" si="13"/>
        <v>0</v>
      </c>
      <c r="BY51" s="63"/>
      <c r="BZ51" s="32"/>
      <c r="CA51" s="32"/>
      <c r="CB51" s="33"/>
      <c r="CC51" s="33">
        <f t="shared" si="14"/>
        <v>0</v>
      </c>
      <c r="CD51" s="33"/>
      <c r="CE51" s="32"/>
      <c r="CF51" s="33"/>
      <c r="CG51" s="33">
        <f t="shared" si="15"/>
        <v>0</v>
      </c>
      <c r="CH51" s="33"/>
      <c r="CI51" s="32"/>
      <c r="CJ51" s="33"/>
      <c r="CK51" s="33">
        <f t="shared" si="16"/>
        <v>0</v>
      </c>
      <c r="CL51" s="33"/>
      <c r="CM51" s="32"/>
      <c r="CN51" s="23"/>
      <c r="CO51" s="5">
        <f t="shared" si="17"/>
        <v>0</v>
      </c>
      <c r="CP51" s="10"/>
      <c r="CQ51" s="6"/>
      <c r="CR51" s="31"/>
      <c r="CS51" s="124"/>
      <c r="CT51" s="124"/>
      <c r="CU51" s="31"/>
      <c r="CV51" s="124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</row>
    <row r="52" spans="1:126" s="7" customFormat="1" ht="17.25" customHeight="1" x14ac:dyDescent="0.3">
      <c r="A52" s="134">
        <v>3</v>
      </c>
      <c r="B52" s="34" t="s">
        <v>49</v>
      </c>
      <c r="C52" s="16">
        <v>7026887</v>
      </c>
      <c r="D52" s="14" t="s">
        <v>75</v>
      </c>
      <c r="E52" s="15" t="s">
        <v>76</v>
      </c>
      <c r="F52" s="167">
        <v>1</v>
      </c>
      <c r="G52" s="25">
        <v>0</v>
      </c>
      <c r="H52" s="9">
        <v>0</v>
      </c>
      <c r="I52" s="26">
        <v>0</v>
      </c>
      <c r="J52" s="30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158">
        <v>0</v>
      </c>
      <c r="Q52" s="158">
        <v>0</v>
      </c>
      <c r="R52" s="158">
        <v>0</v>
      </c>
      <c r="S52" s="158">
        <v>0</v>
      </c>
      <c r="T52" s="158">
        <v>0</v>
      </c>
      <c r="U52" s="158">
        <v>0</v>
      </c>
      <c r="V52" s="29">
        <v>0</v>
      </c>
      <c r="W52" s="29">
        <v>0</v>
      </c>
      <c r="X52" s="159">
        <v>0</v>
      </c>
      <c r="Y52" s="15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159">
        <v>1</v>
      </c>
      <c r="AF52" s="159">
        <v>1</v>
      </c>
      <c r="AG52" s="160">
        <v>0</v>
      </c>
      <c r="AH52" s="160">
        <v>0</v>
      </c>
      <c r="AI52" s="160">
        <v>0</v>
      </c>
      <c r="AJ52" s="160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160">
        <v>0</v>
      </c>
      <c r="AQ52" s="161">
        <v>0</v>
      </c>
      <c r="AR52" s="161">
        <v>0</v>
      </c>
      <c r="AS52" s="161">
        <v>0</v>
      </c>
      <c r="AT52" s="161">
        <v>0</v>
      </c>
      <c r="AU52" s="161">
        <v>0</v>
      </c>
      <c r="AV52" s="161">
        <v>0</v>
      </c>
      <c r="AW52" s="161">
        <v>0</v>
      </c>
      <c r="AX52" s="162">
        <v>0</v>
      </c>
      <c r="AY52" s="162">
        <v>0</v>
      </c>
      <c r="AZ52" s="162">
        <v>0</v>
      </c>
      <c r="BA52" s="162">
        <v>0</v>
      </c>
      <c r="BB52" s="32"/>
      <c r="BC52" s="63"/>
      <c r="BD52" s="63">
        <f t="shared" si="9"/>
        <v>0</v>
      </c>
      <c r="BE52" s="63"/>
      <c r="BF52" s="32"/>
      <c r="BG52" s="32"/>
      <c r="BH52" s="63"/>
      <c r="BI52" s="64">
        <f t="shared" si="10"/>
        <v>0</v>
      </c>
      <c r="BJ52" s="63"/>
      <c r="BK52" s="32"/>
      <c r="BL52" s="32"/>
      <c r="BM52" s="33"/>
      <c r="BN52" s="33">
        <f t="shared" si="11"/>
        <v>0</v>
      </c>
      <c r="BO52" s="33"/>
      <c r="BP52" s="32"/>
      <c r="BQ52" s="32"/>
      <c r="BR52" s="33"/>
      <c r="BS52" s="33">
        <f t="shared" si="12"/>
        <v>0</v>
      </c>
      <c r="BT52" s="33"/>
      <c r="BU52" s="32"/>
      <c r="BV52" s="32"/>
      <c r="BW52" s="63"/>
      <c r="BX52" s="63">
        <f t="shared" si="13"/>
        <v>0</v>
      </c>
      <c r="BY52" s="63"/>
      <c r="BZ52" s="32"/>
      <c r="CA52" s="32"/>
      <c r="CB52" s="33"/>
      <c r="CC52" s="33">
        <f t="shared" si="14"/>
        <v>0</v>
      </c>
      <c r="CD52" s="33"/>
      <c r="CE52" s="32"/>
      <c r="CF52" s="33"/>
      <c r="CG52" s="33">
        <f t="shared" si="15"/>
        <v>0</v>
      </c>
      <c r="CH52" s="33"/>
      <c r="CI52" s="32"/>
      <c r="CJ52" s="33"/>
      <c r="CK52" s="33">
        <f t="shared" si="16"/>
        <v>0</v>
      </c>
      <c r="CL52" s="33"/>
      <c r="CM52" s="32"/>
      <c r="CN52" s="23"/>
      <c r="CO52" s="5">
        <f t="shared" si="17"/>
        <v>0</v>
      </c>
      <c r="CP52" s="10"/>
      <c r="CQ52" s="6"/>
      <c r="CR52" s="31"/>
      <c r="CS52" s="124"/>
      <c r="CT52" s="124"/>
      <c r="CU52" s="31"/>
      <c r="CV52" s="124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</row>
    <row r="53" spans="1:126" s="7" customFormat="1" ht="17.25" customHeight="1" x14ac:dyDescent="0.3">
      <c r="A53" s="134">
        <v>10</v>
      </c>
      <c r="B53" s="123" t="s">
        <v>46</v>
      </c>
      <c r="C53" s="102">
        <v>41825</v>
      </c>
      <c r="D53" s="102" t="s">
        <v>77</v>
      </c>
      <c r="E53" s="103" t="s">
        <v>78</v>
      </c>
      <c r="F53" s="167">
        <v>1</v>
      </c>
      <c r="G53" s="25">
        <v>0</v>
      </c>
      <c r="H53" s="9">
        <v>0</v>
      </c>
      <c r="I53" s="26">
        <v>0</v>
      </c>
      <c r="J53" s="30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158">
        <v>0</v>
      </c>
      <c r="Q53" s="158">
        <v>0</v>
      </c>
      <c r="R53" s="158">
        <v>0</v>
      </c>
      <c r="S53" s="158">
        <v>0</v>
      </c>
      <c r="T53" s="158">
        <v>0</v>
      </c>
      <c r="U53" s="158">
        <v>0</v>
      </c>
      <c r="V53" s="29">
        <v>0</v>
      </c>
      <c r="W53" s="29">
        <v>0</v>
      </c>
      <c r="X53" s="159">
        <v>0</v>
      </c>
      <c r="Y53" s="159">
        <v>0</v>
      </c>
      <c r="Z53" s="29">
        <v>0</v>
      </c>
      <c r="AA53" s="29">
        <v>0</v>
      </c>
      <c r="AB53" s="29">
        <v>0</v>
      </c>
      <c r="AC53" s="29">
        <v>0</v>
      </c>
      <c r="AD53" s="29">
        <v>0</v>
      </c>
      <c r="AE53" s="159">
        <v>0</v>
      </c>
      <c r="AF53" s="159">
        <v>0</v>
      </c>
      <c r="AG53" s="160">
        <v>0</v>
      </c>
      <c r="AH53" s="160">
        <v>0</v>
      </c>
      <c r="AI53" s="160">
        <v>0</v>
      </c>
      <c r="AJ53" s="160">
        <v>0</v>
      </c>
      <c r="AK53" s="29">
        <v>0</v>
      </c>
      <c r="AL53" s="29">
        <v>0</v>
      </c>
      <c r="AM53" s="29">
        <v>0</v>
      </c>
      <c r="AN53" s="29">
        <v>0</v>
      </c>
      <c r="AO53" s="29">
        <v>0</v>
      </c>
      <c r="AP53" s="160">
        <v>0</v>
      </c>
      <c r="AQ53" s="161">
        <v>0</v>
      </c>
      <c r="AR53" s="161">
        <v>0</v>
      </c>
      <c r="AS53" s="161">
        <v>0</v>
      </c>
      <c r="AT53" s="161">
        <v>0</v>
      </c>
      <c r="AU53" s="161">
        <v>0</v>
      </c>
      <c r="AV53" s="161">
        <v>0</v>
      </c>
      <c r="AW53" s="161">
        <v>0</v>
      </c>
      <c r="AX53" s="162">
        <v>0</v>
      </c>
      <c r="AY53" s="162">
        <v>0</v>
      </c>
      <c r="AZ53" s="162">
        <v>0</v>
      </c>
      <c r="BA53" s="162">
        <v>0</v>
      </c>
      <c r="BB53" s="32"/>
      <c r="BC53" s="63"/>
      <c r="BD53" s="63">
        <f t="shared" si="9"/>
        <v>0</v>
      </c>
      <c r="BE53" s="63"/>
      <c r="BF53" s="32"/>
      <c r="BG53" s="32"/>
      <c r="BH53" s="63"/>
      <c r="BI53" s="64">
        <f t="shared" si="10"/>
        <v>0</v>
      </c>
      <c r="BJ53" s="63"/>
      <c r="BK53" s="32"/>
      <c r="BL53" s="32"/>
      <c r="BM53" s="33"/>
      <c r="BN53" s="33">
        <f t="shared" si="11"/>
        <v>0</v>
      </c>
      <c r="BO53" s="33"/>
      <c r="BP53" s="32"/>
      <c r="BQ53" s="32"/>
      <c r="BR53" s="33"/>
      <c r="BS53" s="33">
        <f t="shared" si="12"/>
        <v>0</v>
      </c>
      <c r="BT53" s="33"/>
      <c r="BU53" s="32"/>
      <c r="BV53" s="32"/>
      <c r="BW53" s="63"/>
      <c r="BX53" s="63">
        <f t="shared" si="13"/>
        <v>0</v>
      </c>
      <c r="BY53" s="63"/>
      <c r="BZ53" s="32"/>
      <c r="CA53" s="32"/>
      <c r="CB53" s="33"/>
      <c r="CC53" s="33">
        <f t="shared" si="14"/>
        <v>0</v>
      </c>
      <c r="CD53" s="33"/>
      <c r="CE53" s="32"/>
      <c r="CF53" s="33"/>
      <c r="CG53" s="33">
        <f t="shared" si="15"/>
        <v>0</v>
      </c>
      <c r="CH53" s="33"/>
      <c r="CI53" s="32"/>
      <c r="CJ53" s="33"/>
      <c r="CK53" s="33">
        <f t="shared" si="16"/>
        <v>0</v>
      </c>
      <c r="CL53" s="33"/>
      <c r="CM53" s="32"/>
      <c r="CN53" s="23"/>
      <c r="CO53" s="5">
        <f t="shared" si="17"/>
        <v>0</v>
      </c>
      <c r="CP53" s="10"/>
      <c r="CQ53" s="6"/>
      <c r="CR53" s="31"/>
      <c r="CS53" s="124"/>
      <c r="CT53" s="124"/>
      <c r="CU53" s="31"/>
      <c r="CV53" s="124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</row>
    <row r="54" spans="1:126" s="7" customFormat="1" ht="15" customHeight="1" x14ac:dyDescent="0.3">
      <c r="A54" s="134">
        <v>9</v>
      </c>
      <c r="B54" s="123" t="s">
        <v>43</v>
      </c>
      <c r="C54" s="14">
        <v>7029156</v>
      </c>
      <c r="D54" s="14" t="s">
        <v>79</v>
      </c>
      <c r="E54" s="15" t="s">
        <v>78</v>
      </c>
      <c r="F54" s="167">
        <v>1</v>
      </c>
      <c r="G54" s="25">
        <v>0</v>
      </c>
      <c r="H54" s="9">
        <v>0</v>
      </c>
      <c r="I54" s="26">
        <v>0</v>
      </c>
      <c r="J54" s="30">
        <v>0</v>
      </c>
      <c r="K54" s="29">
        <v>1</v>
      </c>
      <c r="L54" s="29">
        <v>0</v>
      </c>
      <c r="M54" s="29">
        <v>0</v>
      </c>
      <c r="N54" s="29">
        <v>0</v>
      </c>
      <c r="O54" s="29">
        <v>0</v>
      </c>
      <c r="P54" s="158">
        <v>0</v>
      </c>
      <c r="Q54" s="158">
        <v>0</v>
      </c>
      <c r="R54" s="158">
        <v>0</v>
      </c>
      <c r="S54" s="158">
        <v>0</v>
      </c>
      <c r="T54" s="158">
        <v>0</v>
      </c>
      <c r="U54" s="158">
        <v>0</v>
      </c>
      <c r="V54" s="29">
        <v>0</v>
      </c>
      <c r="W54" s="29">
        <v>0</v>
      </c>
      <c r="X54" s="159">
        <v>0</v>
      </c>
      <c r="Y54" s="159">
        <v>0</v>
      </c>
      <c r="Z54" s="29">
        <v>1</v>
      </c>
      <c r="AA54" s="29">
        <v>0</v>
      </c>
      <c r="AB54" s="29">
        <v>1</v>
      </c>
      <c r="AC54" s="29">
        <v>0</v>
      </c>
      <c r="AD54" s="29">
        <v>0</v>
      </c>
      <c r="AE54" s="159">
        <v>1</v>
      </c>
      <c r="AF54" s="159">
        <v>1</v>
      </c>
      <c r="AG54" s="160">
        <v>0</v>
      </c>
      <c r="AH54" s="160">
        <v>0</v>
      </c>
      <c r="AI54" s="160">
        <v>0</v>
      </c>
      <c r="AJ54" s="160">
        <v>1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160">
        <v>0</v>
      </c>
      <c r="AQ54" s="161">
        <v>0</v>
      </c>
      <c r="AR54" s="161">
        <v>0</v>
      </c>
      <c r="AS54" s="161">
        <v>0</v>
      </c>
      <c r="AT54" s="161">
        <v>0</v>
      </c>
      <c r="AU54" s="161">
        <v>0</v>
      </c>
      <c r="AV54" s="161">
        <v>0</v>
      </c>
      <c r="AW54" s="161">
        <v>0</v>
      </c>
      <c r="AX54" s="162">
        <v>0</v>
      </c>
      <c r="AY54" s="162">
        <v>0</v>
      </c>
      <c r="AZ54" s="162">
        <v>0</v>
      </c>
      <c r="BA54" s="162">
        <v>0</v>
      </c>
      <c r="BB54" s="32"/>
      <c r="BC54" s="63"/>
      <c r="BD54" s="63">
        <f t="shared" si="9"/>
        <v>0</v>
      </c>
      <c r="BE54" s="63"/>
      <c r="BF54" s="32"/>
      <c r="BG54" s="32"/>
      <c r="BH54" s="63"/>
      <c r="BI54" s="64">
        <f t="shared" si="10"/>
        <v>0</v>
      </c>
      <c r="BJ54" s="63"/>
      <c r="BK54" s="32"/>
      <c r="BL54" s="32"/>
      <c r="BM54" s="33"/>
      <c r="BN54" s="33">
        <f t="shared" si="11"/>
        <v>0</v>
      </c>
      <c r="BO54" s="33"/>
      <c r="BP54" s="32"/>
      <c r="BQ54" s="32"/>
      <c r="BR54" s="33"/>
      <c r="BS54" s="33">
        <f t="shared" si="12"/>
        <v>0</v>
      </c>
      <c r="BT54" s="33"/>
      <c r="BU54" s="32"/>
      <c r="BV54" s="32"/>
      <c r="BW54" s="63"/>
      <c r="BX54" s="63">
        <f t="shared" si="13"/>
        <v>0</v>
      </c>
      <c r="BY54" s="63"/>
      <c r="BZ54" s="32"/>
      <c r="CA54" s="32"/>
      <c r="CB54" s="33"/>
      <c r="CC54" s="33">
        <f t="shared" si="14"/>
        <v>0</v>
      </c>
      <c r="CD54" s="33"/>
      <c r="CE54" s="32"/>
      <c r="CF54" s="33"/>
      <c r="CG54" s="33">
        <f t="shared" si="15"/>
        <v>0</v>
      </c>
      <c r="CH54" s="33"/>
      <c r="CI54" s="32"/>
      <c r="CJ54" s="33"/>
      <c r="CK54" s="33">
        <f t="shared" si="16"/>
        <v>0</v>
      </c>
      <c r="CL54" s="33"/>
      <c r="CM54" s="32"/>
      <c r="CN54" s="23"/>
      <c r="CO54" s="5">
        <f t="shared" si="17"/>
        <v>0</v>
      </c>
      <c r="CP54" s="10"/>
      <c r="CQ54" s="6"/>
      <c r="CR54" s="31"/>
      <c r="CS54" s="124"/>
      <c r="CT54" s="124"/>
      <c r="CU54" s="31"/>
      <c r="CV54" s="124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</row>
    <row r="55" spans="1:126" s="7" customFormat="1" ht="15" customHeight="1" x14ac:dyDescent="0.3">
      <c r="A55" s="138">
        <v>120</v>
      </c>
      <c r="B55" s="35" t="s">
        <v>200</v>
      </c>
      <c r="C55" s="12">
        <v>7401914</v>
      </c>
      <c r="D55" s="14" t="s">
        <v>429</v>
      </c>
      <c r="E55" s="14" t="s">
        <v>430</v>
      </c>
      <c r="F55" s="167">
        <v>1</v>
      </c>
      <c r="G55" s="25">
        <v>0</v>
      </c>
      <c r="H55" s="9">
        <v>0</v>
      </c>
      <c r="I55" s="26">
        <v>0</v>
      </c>
      <c r="J55" s="30">
        <v>0</v>
      </c>
      <c r="K55" s="29">
        <v>1</v>
      </c>
      <c r="L55" s="29">
        <v>0</v>
      </c>
      <c r="M55" s="29">
        <v>0</v>
      </c>
      <c r="N55" s="29">
        <v>0</v>
      </c>
      <c r="O55" s="29">
        <v>0</v>
      </c>
      <c r="P55" s="158">
        <v>0</v>
      </c>
      <c r="Q55" s="158">
        <v>1</v>
      </c>
      <c r="R55" s="158">
        <v>1</v>
      </c>
      <c r="S55" s="158">
        <v>0</v>
      </c>
      <c r="T55" s="158">
        <v>0</v>
      </c>
      <c r="U55" s="158">
        <v>0</v>
      </c>
      <c r="V55" s="29">
        <v>0</v>
      </c>
      <c r="W55" s="29">
        <v>0</v>
      </c>
      <c r="X55" s="159">
        <v>0</v>
      </c>
      <c r="Y55" s="159">
        <v>0</v>
      </c>
      <c r="Z55" s="29">
        <v>0</v>
      </c>
      <c r="AA55" s="29">
        <v>0</v>
      </c>
      <c r="AB55" s="29">
        <v>0</v>
      </c>
      <c r="AC55" s="29">
        <v>0</v>
      </c>
      <c r="AD55" s="29">
        <v>0</v>
      </c>
      <c r="AE55" s="159">
        <v>1</v>
      </c>
      <c r="AF55" s="159">
        <v>1</v>
      </c>
      <c r="AG55" s="160">
        <v>0</v>
      </c>
      <c r="AH55" s="160">
        <v>0</v>
      </c>
      <c r="AI55" s="160">
        <v>0</v>
      </c>
      <c r="AJ55" s="160">
        <v>0</v>
      </c>
      <c r="AK55" s="29">
        <v>1</v>
      </c>
      <c r="AL55" s="29">
        <v>0</v>
      </c>
      <c r="AM55" s="29">
        <v>0</v>
      </c>
      <c r="AN55" s="29">
        <v>1</v>
      </c>
      <c r="AO55" s="29">
        <v>1</v>
      </c>
      <c r="AP55" s="160">
        <v>0</v>
      </c>
      <c r="AQ55" s="161">
        <v>0</v>
      </c>
      <c r="AR55" s="161">
        <v>0</v>
      </c>
      <c r="AS55" s="161">
        <v>0</v>
      </c>
      <c r="AT55" s="161">
        <v>0</v>
      </c>
      <c r="AU55" s="161">
        <v>0</v>
      </c>
      <c r="AV55" s="161">
        <v>0</v>
      </c>
      <c r="AW55" s="161">
        <v>0</v>
      </c>
      <c r="AX55" s="162">
        <v>0</v>
      </c>
      <c r="AY55" s="162">
        <v>0</v>
      </c>
      <c r="AZ55" s="162">
        <v>0</v>
      </c>
      <c r="BA55" s="162">
        <v>1</v>
      </c>
      <c r="BB55" s="32"/>
      <c r="BC55" s="63"/>
      <c r="BD55" s="63">
        <f t="shared" si="9"/>
        <v>0</v>
      </c>
      <c r="BE55" s="63"/>
      <c r="BF55" s="32"/>
      <c r="BG55" s="32"/>
      <c r="BH55" s="63"/>
      <c r="BI55" s="64">
        <f t="shared" si="10"/>
        <v>0</v>
      </c>
      <c r="BJ55" s="63"/>
      <c r="BK55" s="32"/>
      <c r="BL55" s="32"/>
      <c r="BM55" s="33"/>
      <c r="BN55" s="33">
        <f t="shared" si="11"/>
        <v>0</v>
      </c>
      <c r="BO55" s="33"/>
      <c r="BP55" s="32"/>
      <c r="BQ55" s="32"/>
      <c r="BR55" s="33"/>
      <c r="BS55" s="33">
        <f t="shared" si="12"/>
        <v>0</v>
      </c>
      <c r="BT55" s="33"/>
      <c r="BU55" s="32"/>
      <c r="BV55" s="32"/>
      <c r="BW55" s="63"/>
      <c r="BX55" s="63">
        <f t="shared" si="13"/>
        <v>0</v>
      </c>
      <c r="BY55" s="63"/>
      <c r="BZ55" s="32"/>
      <c r="CA55" s="32"/>
      <c r="CB55" s="33"/>
      <c r="CC55" s="33">
        <f t="shared" si="14"/>
        <v>0</v>
      </c>
      <c r="CD55" s="33"/>
      <c r="CE55" s="32"/>
      <c r="CF55" s="33"/>
      <c r="CG55" s="33">
        <f t="shared" si="15"/>
        <v>0</v>
      </c>
      <c r="CH55" s="33"/>
      <c r="CI55" s="32"/>
      <c r="CJ55" s="33"/>
      <c r="CK55" s="33">
        <f t="shared" si="16"/>
        <v>0</v>
      </c>
      <c r="CL55" s="33"/>
      <c r="CM55" s="32"/>
      <c r="CN55" s="23"/>
      <c r="CO55" s="5">
        <f t="shared" si="17"/>
        <v>0</v>
      </c>
      <c r="CP55" s="10"/>
      <c r="CQ55" s="6"/>
      <c r="CR55" s="31"/>
      <c r="CS55" s="124"/>
      <c r="CT55" s="124"/>
      <c r="CU55" s="31"/>
      <c r="CV55" s="124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</row>
    <row r="56" spans="1:126" s="7" customFormat="1" ht="15" customHeight="1" x14ac:dyDescent="0.3">
      <c r="A56" s="134">
        <v>73</v>
      </c>
      <c r="B56" s="34" t="s">
        <v>397</v>
      </c>
      <c r="C56" s="14">
        <v>7092980</v>
      </c>
      <c r="D56" s="14" t="s">
        <v>184</v>
      </c>
      <c r="E56" s="14" t="s">
        <v>99</v>
      </c>
      <c r="F56" s="167">
        <v>1</v>
      </c>
      <c r="G56" s="25">
        <v>0</v>
      </c>
      <c r="H56" s="9">
        <v>0</v>
      </c>
      <c r="I56" s="26">
        <v>0</v>
      </c>
      <c r="J56" s="30">
        <v>0</v>
      </c>
      <c r="K56" s="29">
        <v>1</v>
      </c>
      <c r="L56" s="29">
        <v>0</v>
      </c>
      <c r="M56" s="29">
        <v>0</v>
      </c>
      <c r="N56" s="29">
        <v>0</v>
      </c>
      <c r="O56" s="29">
        <v>0</v>
      </c>
      <c r="P56" s="158">
        <v>0</v>
      </c>
      <c r="Q56" s="158">
        <v>0</v>
      </c>
      <c r="R56" s="158">
        <v>0</v>
      </c>
      <c r="S56" s="158">
        <v>0</v>
      </c>
      <c r="T56" s="158">
        <v>0</v>
      </c>
      <c r="U56" s="158">
        <v>0</v>
      </c>
      <c r="V56" s="29">
        <v>0</v>
      </c>
      <c r="W56" s="29">
        <v>0</v>
      </c>
      <c r="X56" s="159">
        <v>0</v>
      </c>
      <c r="Y56" s="159">
        <v>0</v>
      </c>
      <c r="Z56" s="29">
        <v>1</v>
      </c>
      <c r="AA56" s="29">
        <v>0</v>
      </c>
      <c r="AB56" s="29">
        <v>1</v>
      </c>
      <c r="AC56" s="29">
        <v>1</v>
      </c>
      <c r="AD56" s="29">
        <v>0</v>
      </c>
      <c r="AE56" s="159">
        <v>1</v>
      </c>
      <c r="AF56" s="159">
        <v>1</v>
      </c>
      <c r="AG56" s="160">
        <v>0</v>
      </c>
      <c r="AH56" s="160">
        <v>0</v>
      </c>
      <c r="AI56" s="160">
        <v>0</v>
      </c>
      <c r="AJ56" s="160">
        <v>1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160">
        <v>0</v>
      </c>
      <c r="AQ56" s="161">
        <v>0</v>
      </c>
      <c r="AR56" s="161">
        <v>0</v>
      </c>
      <c r="AS56" s="161">
        <v>0</v>
      </c>
      <c r="AT56" s="161">
        <v>0</v>
      </c>
      <c r="AU56" s="161">
        <v>0</v>
      </c>
      <c r="AV56" s="161">
        <v>0</v>
      </c>
      <c r="AW56" s="161">
        <v>0</v>
      </c>
      <c r="AX56" s="162">
        <v>0</v>
      </c>
      <c r="AY56" s="162">
        <v>0</v>
      </c>
      <c r="AZ56" s="162">
        <v>0</v>
      </c>
      <c r="BA56" s="162">
        <v>0</v>
      </c>
      <c r="BB56" s="32"/>
      <c r="BC56" s="63"/>
      <c r="BD56" s="63">
        <f t="shared" si="9"/>
        <v>0</v>
      </c>
      <c r="BE56" s="63"/>
      <c r="BF56" s="32"/>
      <c r="BG56" s="32"/>
      <c r="BH56" s="63"/>
      <c r="BI56" s="64">
        <f t="shared" si="10"/>
        <v>0</v>
      </c>
      <c r="BJ56" s="63"/>
      <c r="BK56" s="32"/>
      <c r="BL56" s="32"/>
      <c r="BM56" s="33"/>
      <c r="BN56" s="33">
        <f t="shared" si="11"/>
        <v>0</v>
      </c>
      <c r="BO56" s="33"/>
      <c r="BP56" s="32"/>
      <c r="BQ56" s="32"/>
      <c r="BR56" s="33"/>
      <c r="BS56" s="33">
        <f t="shared" si="12"/>
        <v>0</v>
      </c>
      <c r="BT56" s="33"/>
      <c r="BU56" s="32"/>
      <c r="BV56" s="32"/>
      <c r="BW56" s="63"/>
      <c r="BX56" s="63">
        <f t="shared" si="13"/>
        <v>0</v>
      </c>
      <c r="BY56" s="63"/>
      <c r="BZ56" s="32"/>
      <c r="CA56" s="32"/>
      <c r="CB56" s="33"/>
      <c r="CC56" s="33">
        <f t="shared" si="14"/>
        <v>0</v>
      </c>
      <c r="CD56" s="33"/>
      <c r="CE56" s="32"/>
      <c r="CF56" s="33"/>
      <c r="CG56" s="33">
        <f t="shared" si="15"/>
        <v>0</v>
      </c>
      <c r="CH56" s="33"/>
      <c r="CI56" s="32"/>
      <c r="CJ56" s="33"/>
      <c r="CK56" s="33">
        <f t="shared" si="16"/>
        <v>0</v>
      </c>
      <c r="CL56" s="33"/>
      <c r="CM56" s="32"/>
      <c r="CN56" s="23"/>
      <c r="CO56" s="5">
        <f t="shared" si="17"/>
        <v>0</v>
      </c>
      <c r="CP56" s="10"/>
      <c r="CQ56" s="6"/>
      <c r="CR56" s="31"/>
      <c r="CS56" s="124"/>
      <c r="CT56" s="124"/>
      <c r="CU56" s="31"/>
      <c r="CV56" s="124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</row>
    <row r="57" spans="1:126" s="7" customFormat="1" ht="15" customHeight="1" x14ac:dyDescent="0.3">
      <c r="A57" s="134">
        <v>110</v>
      </c>
      <c r="B57" s="35" t="s">
        <v>397</v>
      </c>
      <c r="C57" s="17">
        <v>7401949</v>
      </c>
      <c r="D57" s="13" t="s">
        <v>412</v>
      </c>
      <c r="E57" s="13" t="s">
        <v>413</v>
      </c>
      <c r="F57" s="167">
        <v>1</v>
      </c>
      <c r="G57" s="25">
        <v>0</v>
      </c>
      <c r="H57" s="9">
        <v>0</v>
      </c>
      <c r="I57" s="26">
        <v>0</v>
      </c>
      <c r="J57" s="30">
        <v>0</v>
      </c>
      <c r="K57" s="29">
        <v>1</v>
      </c>
      <c r="L57" s="29">
        <v>0</v>
      </c>
      <c r="M57" s="29">
        <v>1</v>
      </c>
      <c r="N57" s="29">
        <v>0</v>
      </c>
      <c r="O57" s="29">
        <v>0</v>
      </c>
      <c r="P57" s="158">
        <v>0</v>
      </c>
      <c r="Q57" s="158">
        <v>1</v>
      </c>
      <c r="R57" s="158">
        <v>1</v>
      </c>
      <c r="S57" s="158">
        <v>1</v>
      </c>
      <c r="T57" s="158">
        <v>0</v>
      </c>
      <c r="U57" s="158">
        <v>0</v>
      </c>
      <c r="V57" s="29">
        <v>0</v>
      </c>
      <c r="W57" s="29">
        <v>0</v>
      </c>
      <c r="X57" s="159">
        <v>0</v>
      </c>
      <c r="Y57" s="159">
        <v>0</v>
      </c>
      <c r="Z57" s="29">
        <v>0</v>
      </c>
      <c r="AA57" s="29">
        <v>0</v>
      </c>
      <c r="AB57" s="29">
        <v>1</v>
      </c>
      <c r="AC57" s="29">
        <v>0</v>
      </c>
      <c r="AD57" s="29">
        <v>0</v>
      </c>
      <c r="AE57" s="159">
        <v>0</v>
      </c>
      <c r="AF57" s="159">
        <v>1</v>
      </c>
      <c r="AG57" s="160">
        <v>0</v>
      </c>
      <c r="AH57" s="160">
        <v>0</v>
      </c>
      <c r="AI57" s="160">
        <v>0</v>
      </c>
      <c r="AJ57" s="160">
        <v>0</v>
      </c>
      <c r="AK57" s="29">
        <v>0</v>
      </c>
      <c r="AL57" s="29">
        <v>0</v>
      </c>
      <c r="AM57" s="29">
        <v>0</v>
      </c>
      <c r="AN57" s="29">
        <v>0</v>
      </c>
      <c r="AO57" s="29">
        <v>0</v>
      </c>
      <c r="AP57" s="160">
        <v>0</v>
      </c>
      <c r="AQ57" s="161">
        <v>0</v>
      </c>
      <c r="AR57" s="161">
        <v>0</v>
      </c>
      <c r="AS57" s="161">
        <v>0</v>
      </c>
      <c r="AT57" s="161">
        <v>0</v>
      </c>
      <c r="AU57" s="161">
        <v>0</v>
      </c>
      <c r="AV57" s="161">
        <v>0</v>
      </c>
      <c r="AW57" s="161">
        <v>0</v>
      </c>
      <c r="AX57" s="162">
        <v>0</v>
      </c>
      <c r="AY57" s="162">
        <v>0</v>
      </c>
      <c r="AZ57" s="162">
        <v>0</v>
      </c>
      <c r="BA57" s="162">
        <v>1</v>
      </c>
      <c r="BB57" s="32"/>
      <c r="BC57" s="63"/>
      <c r="BD57" s="63">
        <f t="shared" si="9"/>
        <v>0</v>
      </c>
      <c r="BE57" s="63"/>
      <c r="BF57" s="32"/>
      <c r="BG57" s="32"/>
      <c r="BH57" s="63"/>
      <c r="BI57" s="64">
        <f t="shared" si="10"/>
        <v>0</v>
      </c>
      <c r="BJ57" s="63"/>
      <c r="BK57" s="32"/>
      <c r="BL57" s="32"/>
      <c r="BM57" s="33"/>
      <c r="BN57" s="33">
        <f t="shared" si="11"/>
        <v>0</v>
      </c>
      <c r="BO57" s="33"/>
      <c r="BP57" s="32"/>
      <c r="BQ57" s="32"/>
      <c r="BR57" s="33"/>
      <c r="BS57" s="33">
        <f t="shared" si="12"/>
        <v>0</v>
      </c>
      <c r="BT57" s="33"/>
      <c r="BU57" s="32"/>
      <c r="BV57" s="32"/>
      <c r="BW57" s="63"/>
      <c r="BX57" s="63">
        <f t="shared" si="13"/>
        <v>0</v>
      </c>
      <c r="BY57" s="63"/>
      <c r="BZ57" s="32"/>
      <c r="CA57" s="32"/>
      <c r="CB57" s="33"/>
      <c r="CC57" s="33">
        <f t="shared" si="14"/>
        <v>0</v>
      </c>
      <c r="CD57" s="33"/>
      <c r="CE57" s="32"/>
      <c r="CF57" s="33"/>
      <c r="CG57" s="33">
        <f t="shared" si="15"/>
        <v>0</v>
      </c>
      <c r="CH57" s="33"/>
      <c r="CI57" s="32"/>
      <c r="CJ57" s="33"/>
      <c r="CK57" s="33">
        <f t="shared" si="16"/>
        <v>0</v>
      </c>
      <c r="CL57" s="33"/>
      <c r="CM57" s="32"/>
      <c r="CN57" s="23"/>
      <c r="CO57" s="5">
        <f t="shared" si="17"/>
        <v>0</v>
      </c>
      <c r="CP57" s="10"/>
      <c r="CQ57" s="6"/>
      <c r="CR57" s="31"/>
      <c r="CS57" s="124"/>
      <c r="CT57" s="124"/>
      <c r="CU57" s="31"/>
      <c r="CV57" s="124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</row>
    <row r="58" spans="1:126" s="7" customFormat="1" ht="15" customHeight="1" x14ac:dyDescent="0.3">
      <c r="A58" s="134">
        <v>30</v>
      </c>
      <c r="B58" s="35" t="s">
        <v>42</v>
      </c>
      <c r="C58" s="102">
        <v>7051932</v>
      </c>
      <c r="D58" s="102" t="s">
        <v>80</v>
      </c>
      <c r="E58" s="103" t="s">
        <v>81</v>
      </c>
      <c r="F58" s="167">
        <v>1</v>
      </c>
      <c r="G58" s="25">
        <v>0</v>
      </c>
      <c r="H58" s="9">
        <v>0</v>
      </c>
      <c r="I58" s="26">
        <v>0</v>
      </c>
      <c r="J58" s="30">
        <v>0</v>
      </c>
      <c r="K58" s="29">
        <v>1</v>
      </c>
      <c r="L58" s="29">
        <v>0</v>
      </c>
      <c r="M58" s="29">
        <v>0</v>
      </c>
      <c r="N58" s="29">
        <v>1</v>
      </c>
      <c r="O58" s="29">
        <v>1</v>
      </c>
      <c r="P58" s="158">
        <v>1</v>
      </c>
      <c r="Q58" s="158">
        <v>1</v>
      </c>
      <c r="R58" s="158">
        <v>0</v>
      </c>
      <c r="S58" s="158">
        <v>0</v>
      </c>
      <c r="T58" s="158">
        <v>0</v>
      </c>
      <c r="U58" s="158">
        <v>0</v>
      </c>
      <c r="V58" s="29">
        <v>0</v>
      </c>
      <c r="W58" s="29">
        <v>0</v>
      </c>
      <c r="X58" s="159">
        <v>0</v>
      </c>
      <c r="Y58" s="159">
        <v>1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159">
        <v>1</v>
      </c>
      <c r="AF58" s="159">
        <v>1</v>
      </c>
      <c r="AG58" s="160">
        <v>0</v>
      </c>
      <c r="AH58" s="160">
        <v>0</v>
      </c>
      <c r="AI58" s="160">
        <v>0</v>
      </c>
      <c r="AJ58" s="160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160">
        <v>0</v>
      </c>
      <c r="AQ58" s="161">
        <v>0</v>
      </c>
      <c r="AR58" s="161">
        <v>0</v>
      </c>
      <c r="AS58" s="161">
        <v>0</v>
      </c>
      <c r="AT58" s="161">
        <v>0</v>
      </c>
      <c r="AU58" s="161">
        <v>0</v>
      </c>
      <c r="AV58" s="161">
        <v>0</v>
      </c>
      <c r="AW58" s="161">
        <v>0</v>
      </c>
      <c r="AX58" s="162">
        <v>0</v>
      </c>
      <c r="AY58" s="162">
        <v>0</v>
      </c>
      <c r="AZ58" s="162">
        <v>0</v>
      </c>
      <c r="BA58" s="162">
        <v>1</v>
      </c>
      <c r="BB58" s="32"/>
      <c r="BC58" s="63"/>
      <c r="BD58" s="63">
        <f t="shared" si="9"/>
        <v>0</v>
      </c>
      <c r="BE58" s="63"/>
      <c r="BF58" s="32"/>
      <c r="BG58" s="32"/>
      <c r="BH58" s="63"/>
      <c r="BI58" s="64">
        <f t="shared" si="10"/>
        <v>0</v>
      </c>
      <c r="BJ58" s="63"/>
      <c r="BK58" s="32"/>
      <c r="BL58" s="32"/>
      <c r="BM58" s="33"/>
      <c r="BN58" s="33">
        <f t="shared" si="11"/>
        <v>0</v>
      </c>
      <c r="BO58" s="33"/>
      <c r="BP58" s="32"/>
      <c r="BQ58" s="32"/>
      <c r="BR58" s="33"/>
      <c r="BS58" s="33">
        <f t="shared" si="12"/>
        <v>0</v>
      </c>
      <c r="BT58" s="33"/>
      <c r="BU58" s="32"/>
      <c r="BV58" s="32"/>
      <c r="BW58" s="63"/>
      <c r="BX58" s="63">
        <f t="shared" si="13"/>
        <v>0</v>
      </c>
      <c r="BY58" s="63"/>
      <c r="BZ58" s="32"/>
      <c r="CA58" s="32"/>
      <c r="CB58" s="33"/>
      <c r="CC58" s="33">
        <f t="shared" si="14"/>
        <v>0</v>
      </c>
      <c r="CD58" s="33"/>
      <c r="CE58" s="32"/>
      <c r="CF58" s="33"/>
      <c r="CG58" s="33">
        <f t="shared" si="15"/>
        <v>0</v>
      </c>
      <c r="CH58" s="33"/>
      <c r="CI58" s="32"/>
      <c r="CJ58" s="33"/>
      <c r="CK58" s="33">
        <f t="shared" si="16"/>
        <v>0</v>
      </c>
      <c r="CL58" s="33"/>
      <c r="CM58" s="32"/>
      <c r="CN58" s="23"/>
      <c r="CO58" s="5">
        <f t="shared" si="17"/>
        <v>0</v>
      </c>
      <c r="CP58" s="10"/>
      <c r="CQ58" s="6"/>
      <c r="CR58" s="31"/>
      <c r="CS58" s="124"/>
      <c r="CT58" s="124"/>
      <c r="CU58" s="31"/>
      <c r="CV58" s="124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</row>
    <row r="59" spans="1:126" s="7" customFormat="1" ht="15" customHeight="1" x14ac:dyDescent="0.3">
      <c r="A59" s="134">
        <v>113</v>
      </c>
      <c r="B59" s="35" t="s">
        <v>397</v>
      </c>
      <c r="C59" s="17">
        <v>7401950</v>
      </c>
      <c r="D59" s="135" t="s">
        <v>80</v>
      </c>
      <c r="E59" s="135" t="s">
        <v>414</v>
      </c>
      <c r="F59" s="167">
        <v>1</v>
      </c>
      <c r="G59" s="25">
        <v>0</v>
      </c>
      <c r="H59" s="9">
        <v>0</v>
      </c>
      <c r="I59" s="26">
        <v>0</v>
      </c>
      <c r="J59" s="30">
        <v>0</v>
      </c>
      <c r="K59" s="29">
        <v>1</v>
      </c>
      <c r="L59" s="29">
        <v>0</v>
      </c>
      <c r="M59" s="29">
        <v>0</v>
      </c>
      <c r="N59" s="29">
        <v>1</v>
      </c>
      <c r="O59" s="29">
        <v>1</v>
      </c>
      <c r="P59" s="158">
        <v>1</v>
      </c>
      <c r="Q59" s="158">
        <v>1</v>
      </c>
      <c r="R59" s="158">
        <v>0</v>
      </c>
      <c r="S59" s="158">
        <v>0</v>
      </c>
      <c r="T59" s="158">
        <v>0</v>
      </c>
      <c r="U59" s="158">
        <v>0</v>
      </c>
      <c r="V59" s="29">
        <v>0</v>
      </c>
      <c r="W59" s="29">
        <v>0</v>
      </c>
      <c r="X59" s="159">
        <v>0</v>
      </c>
      <c r="Y59" s="159">
        <v>0</v>
      </c>
      <c r="Z59" s="29">
        <v>0</v>
      </c>
      <c r="AA59" s="29">
        <v>0</v>
      </c>
      <c r="AB59" s="29">
        <v>0</v>
      </c>
      <c r="AC59" s="29">
        <v>0</v>
      </c>
      <c r="AD59" s="29">
        <v>0</v>
      </c>
      <c r="AE59" s="159">
        <v>1</v>
      </c>
      <c r="AF59" s="159">
        <v>1</v>
      </c>
      <c r="AG59" s="160">
        <v>0</v>
      </c>
      <c r="AH59" s="160">
        <v>0</v>
      </c>
      <c r="AI59" s="160">
        <v>0</v>
      </c>
      <c r="AJ59" s="160">
        <v>0</v>
      </c>
      <c r="AK59" s="29">
        <v>0</v>
      </c>
      <c r="AL59" s="29">
        <v>0</v>
      </c>
      <c r="AM59" s="29">
        <v>0</v>
      </c>
      <c r="AN59" s="29">
        <v>0</v>
      </c>
      <c r="AO59" s="29">
        <v>0</v>
      </c>
      <c r="AP59" s="160">
        <v>0</v>
      </c>
      <c r="AQ59" s="161">
        <v>0</v>
      </c>
      <c r="AR59" s="161">
        <v>0</v>
      </c>
      <c r="AS59" s="161">
        <v>0</v>
      </c>
      <c r="AT59" s="161">
        <v>0</v>
      </c>
      <c r="AU59" s="161">
        <v>0</v>
      </c>
      <c r="AV59" s="161">
        <v>0</v>
      </c>
      <c r="AW59" s="161">
        <v>0</v>
      </c>
      <c r="AX59" s="162">
        <v>0</v>
      </c>
      <c r="AY59" s="162">
        <v>0</v>
      </c>
      <c r="AZ59" s="162">
        <v>0</v>
      </c>
      <c r="BA59" s="162">
        <v>1</v>
      </c>
      <c r="BB59" s="32"/>
      <c r="BC59" s="63"/>
      <c r="BD59" s="63">
        <f t="shared" si="9"/>
        <v>0</v>
      </c>
      <c r="BE59" s="63"/>
      <c r="BF59" s="32"/>
      <c r="BG59" s="32"/>
      <c r="BH59" s="63"/>
      <c r="BI59" s="64">
        <f t="shared" si="10"/>
        <v>0</v>
      </c>
      <c r="BJ59" s="63"/>
      <c r="BK59" s="32"/>
      <c r="BL59" s="32"/>
      <c r="BM59" s="33"/>
      <c r="BN59" s="33">
        <f t="shared" si="11"/>
        <v>0</v>
      </c>
      <c r="BO59" s="33"/>
      <c r="BP59" s="32"/>
      <c r="BQ59" s="32"/>
      <c r="BR59" s="33"/>
      <c r="BS59" s="33">
        <f t="shared" si="12"/>
        <v>0</v>
      </c>
      <c r="BT59" s="33"/>
      <c r="BU59" s="32"/>
      <c r="BV59" s="32"/>
      <c r="BW59" s="63"/>
      <c r="BX59" s="63">
        <f t="shared" si="13"/>
        <v>0</v>
      </c>
      <c r="BY59" s="63"/>
      <c r="BZ59" s="32"/>
      <c r="CA59" s="32"/>
      <c r="CB59" s="33"/>
      <c r="CC59" s="33">
        <f t="shared" si="14"/>
        <v>0</v>
      </c>
      <c r="CD59" s="33"/>
      <c r="CE59" s="32"/>
      <c r="CF59" s="33"/>
      <c r="CG59" s="33">
        <f t="shared" si="15"/>
        <v>0</v>
      </c>
      <c r="CH59" s="33"/>
      <c r="CI59" s="32"/>
      <c r="CJ59" s="33"/>
      <c r="CK59" s="33">
        <f t="shared" si="16"/>
        <v>0</v>
      </c>
      <c r="CL59" s="33"/>
      <c r="CM59" s="32"/>
      <c r="CN59" s="23"/>
      <c r="CO59" s="5">
        <f t="shared" si="17"/>
        <v>0</v>
      </c>
      <c r="CP59" s="10"/>
      <c r="CQ59" s="6"/>
      <c r="CR59" s="31"/>
      <c r="CS59" s="124"/>
      <c r="CT59" s="124"/>
      <c r="CU59" s="31"/>
      <c r="CV59" s="124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</row>
    <row r="60" spans="1:126" s="7" customFormat="1" ht="15" customHeight="1" x14ac:dyDescent="0.3">
      <c r="A60" s="134">
        <v>26</v>
      </c>
      <c r="B60" s="34" t="s">
        <v>49</v>
      </c>
      <c r="C60" s="17">
        <v>7051763</v>
      </c>
      <c r="D60" s="13" t="s">
        <v>82</v>
      </c>
      <c r="E60" s="13" t="s">
        <v>83</v>
      </c>
      <c r="F60" s="167">
        <v>1</v>
      </c>
      <c r="G60" s="25">
        <v>0</v>
      </c>
      <c r="H60" s="9">
        <v>0</v>
      </c>
      <c r="I60" s="26">
        <v>0</v>
      </c>
      <c r="J60" s="30">
        <v>0</v>
      </c>
      <c r="K60" s="29">
        <v>1</v>
      </c>
      <c r="L60" s="29">
        <v>0</v>
      </c>
      <c r="M60" s="29">
        <v>0</v>
      </c>
      <c r="N60" s="29">
        <v>0</v>
      </c>
      <c r="O60" s="29">
        <v>0</v>
      </c>
      <c r="P60" s="158">
        <v>0</v>
      </c>
      <c r="Q60" s="158">
        <v>1</v>
      </c>
      <c r="R60" s="158">
        <v>0</v>
      </c>
      <c r="S60" s="158">
        <v>0</v>
      </c>
      <c r="T60" s="158">
        <v>0</v>
      </c>
      <c r="U60" s="158">
        <v>1</v>
      </c>
      <c r="V60" s="29">
        <v>0</v>
      </c>
      <c r="W60" s="29">
        <v>0</v>
      </c>
      <c r="X60" s="159">
        <v>1</v>
      </c>
      <c r="Y60" s="159">
        <v>1</v>
      </c>
      <c r="Z60" s="29">
        <v>1</v>
      </c>
      <c r="AA60" s="29">
        <v>0</v>
      </c>
      <c r="AB60" s="29">
        <v>0</v>
      </c>
      <c r="AC60" s="29">
        <v>1</v>
      </c>
      <c r="AD60" s="29">
        <v>0</v>
      </c>
      <c r="AE60" s="159">
        <v>1</v>
      </c>
      <c r="AF60" s="159">
        <v>1</v>
      </c>
      <c r="AG60" s="160">
        <v>0</v>
      </c>
      <c r="AH60" s="160">
        <v>0</v>
      </c>
      <c r="AI60" s="160">
        <v>0</v>
      </c>
      <c r="AJ60" s="160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160">
        <v>0</v>
      </c>
      <c r="AQ60" s="161">
        <v>0</v>
      </c>
      <c r="AR60" s="161">
        <v>0</v>
      </c>
      <c r="AS60" s="161">
        <v>0</v>
      </c>
      <c r="AT60" s="161">
        <v>0</v>
      </c>
      <c r="AU60" s="161">
        <v>0</v>
      </c>
      <c r="AV60" s="161">
        <v>0</v>
      </c>
      <c r="AW60" s="161">
        <v>0</v>
      </c>
      <c r="AX60" s="162">
        <v>0</v>
      </c>
      <c r="AY60" s="162">
        <v>0</v>
      </c>
      <c r="AZ60" s="162">
        <v>0</v>
      </c>
      <c r="BA60" s="162">
        <v>0</v>
      </c>
      <c r="BB60" s="32"/>
      <c r="BC60" s="63"/>
      <c r="BD60" s="63">
        <f t="shared" si="9"/>
        <v>0</v>
      </c>
      <c r="BE60" s="63"/>
      <c r="BF60" s="32"/>
      <c r="BG60" s="32"/>
      <c r="BH60" s="63"/>
      <c r="BI60" s="64">
        <f t="shared" si="10"/>
        <v>0</v>
      </c>
      <c r="BJ60" s="63"/>
      <c r="BK60" s="32"/>
      <c r="BL60" s="32"/>
      <c r="BM60" s="33"/>
      <c r="BN60" s="33">
        <f t="shared" si="11"/>
        <v>0</v>
      </c>
      <c r="BO60" s="33"/>
      <c r="BP60" s="32"/>
      <c r="BQ60" s="32"/>
      <c r="BR60" s="33"/>
      <c r="BS60" s="33">
        <f t="shared" si="12"/>
        <v>0</v>
      </c>
      <c r="BT60" s="33"/>
      <c r="BU60" s="32"/>
      <c r="BV60" s="32"/>
      <c r="BW60" s="63"/>
      <c r="BX60" s="63">
        <f t="shared" si="13"/>
        <v>0</v>
      </c>
      <c r="BY60" s="63"/>
      <c r="BZ60" s="32"/>
      <c r="CA60" s="32"/>
      <c r="CB60" s="33"/>
      <c r="CC60" s="33">
        <f t="shared" si="14"/>
        <v>0</v>
      </c>
      <c r="CD60" s="33"/>
      <c r="CE60" s="32"/>
      <c r="CF60" s="33"/>
      <c r="CG60" s="33">
        <f t="shared" si="15"/>
        <v>0</v>
      </c>
      <c r="CH60" s="33"/>
      <c r="CI60" s="32"/>
      <c r="CJ60" s="33"/>
      <c r="CK60" s="33">
        <f t="shared" si="16"/>
        <v>0</v>
      </c>
      <c r="CL60" s="33"/>
      <c r="CM60" s="32"/>
      <c r="CN60" s="23"/>
      <c r="CO60" s="5">
        <f t="shared" si="17"/>
        <v>0</v>
      </c>
      <c r="CP60" s="10"/>
      <c r="CQ60" s="6"/>
      <c r="CR60" s="31"/>
      <c r="CS60" s="124"/>
      <c r="CT60" s="124"/>
      <c r="CU60" s="31"/>
      <c r="CV60" s="124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</row>
    <row r="61" spans="1:126" s="7" customFormat="1" ht="15" customHeight="1" x14ac:dyDescent="0.3">
      <c r="A61" s="134">
        <v>147</v>
      </c>
      <c r="B61" s="34" t="s">
        <v>455</v>
      </c>
      <c r="C61" s="14">
        <v>7402634</v>
      </c>
      <c r="D61" s="14" t="s">
        <v>465</v>
      </c>
      <c r="E61" s="14" t="s">
        <v>364</v>
      </c>
      <c r="F61" s="167">
        <v>1</v>
      </c>
      <c r="G61" s="25">
        <v>0</v>
      </c>
      <c r="H61" s="9">
        <v>0</v>
      </c>
      <c r="I61" s="26">
        <v>0</v>
      </c>
      <c r="J61" s="30">
        <v>0</v>
      </c>
      <c r="K61" s="29">
        <v>0</v>
      </c>
      <c r="L61" s="29">
        <v>0</v>
      </c>
      <c r="M61" s="29">
        <v>0</v>
      </c>
      <c r="N61" s="29">
        <v>0</v>
      </c>
      <c r="O61" s="29">
        <v>0</v>
      </c>
      <c r="P61" s="158">
        <v>0</v>
      </c>
      <c r="Q61" s="158">
        <v>0</v>
      </c>
      <c r="R61" s="158">
        <v>0</v>
      </c>
      <c r="S61" s="158">
        <v>0</v>
      </c>
      <c r="T61" s="158">
        <v>0</v>
      </c>
      <c r="U61" s="158">
        <v>0</v>
      </c>
      <c r="V61" s="29">
        <v>0</v>
      </c>
      <c r="W61" s="29">
        <v>0</v>
      </c>
      <c r="X61" s="159">
        <v>0</v>
      </c>
      <c r="Y61" s="159">
        <v>0</v>
      </c>
      <c r="Z61" s="29">
        <v>0</v>
      </c>
      <c r="AA61" s="29">
        <v>0</v>
      </c>
      <c r="AB61" s="29">
        <v>0</v>
      </c>
      <c r="AC61" s="29">
        <v>0</v>
      </c>
      <c r="AD61" s="29">
        <v>0</v>
      </c>
      <c r="AE61" s="159">
        <v>0</v>
      </c>
      <c r="AF61" s="159">
        <v>1</v>
      </c>
      <c r="AG61" s="160">
        <v>0</v>
      </c>
      <c r="AH61" s="160">
        <v>0</v>
      </c>
      <c r="AI61" s="160">
        <v>0</v>
      </c>
      <c r="AJ61" s="160">
        <v>0</v>
      </c>
      <c r="AK61" s="29">
        <v>0</v>
      </c>
      <c r="AL61" s="29">
        <v>0</v>
      </c>
      <c r="AM61" s="29">
        <v>0</v>
      </c>
      <c r="AN61" s="29">
        <v>0</v>
      </c>
      <c r="AO61" s="29">
        <v>1</v>
      </c>
      <c r="AP61" s="160">
        <v>0</v>
      </c>
      <c r="AQ61" s="161">
        <v>0</v>
      </c>
      <c r="AR61" s="161">
        <v>1</v>
      </c>
      <c r="AS61" s="161">
        <v>0</v>
      </c>
      <c r="AT61" s="161">
        <v>0</v>
      </c>
      <c r="AU61" s="161">
        <v>0</v>
      </c>
      <c r="AV61" s="161">
        <v>0</v>
      </c>
      <c r="AW61" s="161">
        <v>0</v>
      </c>
      <c r="AX61" s="162">
        <v>0</v>
      </c>
      <c r="AY61" s="162">
        <v>0</v>
      </c>
      <c r="AZ61" s="162">
        <v>0</v>
      </c>
      <c r="BA61" s="162">
        <v>0</v>
      </c>
      <c r="BB61" s="32"/>
      <c r="BC61" s="63"/>
      <c r="BD61" s="63">
        <f t="shared" si="9"/>
        <v>0</v>
      </c>
      <c r="BE61" s="63"/>
      <c r="BF61" s="32"/>
      <c r="BG61" s="32"/>
      <c r="BH61" s="63"/>
      <c r="BI61" s="64">
        <f t="shared" si="10"/>
        <v>0</v>
      </c>
      <c r="BJ61" s="63"/>
      <c r="BK61" s="32"/>
      <c r="BL61" s="32"/>
      <c r="BM61" s="33"/>
      <c r="BN61" s="33">
        <f t="shared" si="11"/>
        <v>0</v>
      </c>
      <c r="BO61" s="33"/>
      <c r="BP61" s="32"/>
      <c r="BQ61" s="32"/>
      <c r="BR61" s="33"/>
      <c r="BS61" s="33">
        <f t="shared" si="12"/>
        <v>0</v>
      </c>
      <c r="BT61" s="33"/>
      <c r="BU61" s="32"/>
      <c r="BV61" s="32"/>
      <c r="BW61" s="63"/>
      <c r="BX61" s="63">
        <f t="shared" si="13"/>
        <v>0</v>
      </c>
      <c r="BY61" s="63"/>
      <c r="BZ61" s="32"/>
      <c r="CA61" s="32"/>
      <c r="CB61" s="33"/>
      <c r="CC61" s="33">
        <f t="shared" si="14"/>
        <v>0</v>
      </c>
      <c r="CD61" s="33"/>
      <c r="CE61" s="32"/>
      <c r="CF61" s="33"/>
      <c r="CG61" s="33">
        <f t="shared" si="15"/>
        <v>0</v>
      </c>
      <c r="CH61" s="33"/>
      <c r="CI61" s="32"/>
      <c r="CJ61" s="33"/>
      <c r="CK61" s="33">
        <f t="shared" si="16"/>
        <v>0</v>
      </c>
      <c r="CL61" s="33"/>
      <c r="CM61" s="32"/>
      <c r="CN61" s="23"/>
      <c r="CO61" s="5">
        <f t="shared" si="17"/>
        <v>0</v>
      </c>
      <c r="CP61" s="10"/>
      <c r="CQ61" s="6"/>
      <c r="CR61" s="31"/>
      <c r="CS61" s="124"/>
      <c r="CT61" s="124"/>
      <c r="CU61" s="31"/>
      <c r="CV61" s="124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</row>
    <row r="62" spans="1:126" s="7" customFormat="1" ht="15" customHeight="1" x14ac:dyDescent="0.3">
      <c r="A62" s="134">
        <v>89</v>
      </c>
      <c r="B62" s="35" t="s">
        <v>42</v>
      </c>
      <c r="C62" s="100">
        <v>7095767</v>
      </c>
      <c r="D62" s="14" t="s">
        <v>360</v>
      </c>
      <c r="E62" s="15" t="s">
        <v>348</v>
      </c>
      <c r="F62" s="167">
        <v>1</v>
      </c>
      <c r="G62" s="25">
        <v>0</v>
      </c>
      <c r="H62" s="9">
        <v>0</v>
      </c>
      <c r="I62" s="26">
        <v>0</v>
      </c>
      <c r="J62" s="30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158">
        <v>0</v>
      </c>
      <c r="Q62" s="158">
        <v>1</v>
      </c>
      <c r="R62" s="158">
        <v>0</v>
      </c>
      <c r="S62" s="158">
        <v>0</v>
      </c>
      <c r="T62" s="158">
        <v>0</v>
      </c>
      <c r="U62" s="158">
        <v>0</v>
      </c>
      <c r="V62" s="29">
        <v>0</v>
      </c>
      <c r="W62" s="29">
        <v>0</v>
      </c>
      <c r="X62" s="159">
        <v>0</v>
      </c>
      <c r="Y62" s="159">
        <v>0</v>
      </c>
      <c r="Z62" s="29">
        <v>1</v>
      </c>
      <c r="AA62" s="29">
        <v>0</v>
      </c>
      <c r="AB62" s="29">
        <v>0</v>
      </c>
      <c r="AC62" s="29">
        <v>0</v>
      </c>
      <c r="AD62" s="29">
        <v>0</v>
      </c>
      <c r="AE62" s="159">
        <v>1</v>
      </c>
      <c r="AF62" s="159">
        <v>1</v>
      </c>
      <c r="AG62" s="160">
        <v>0</v>
      </c>
      <c r="AH62" s="160">
        <v>0</v>
      </c>
      <c r="AI62" s="160">
        <v>0</v>
      </c>
      <c r="AJ62" s="160">
        <v>0</v>
      </c>
      <c r="AK62" s="29">
        <v>0</v>
      </c>
      <c r="AL62" s="29">
        <v>1</v>
      </c>
      <c r="AM62" s="29">
        <v>1</v>
      </c>
      <c r="AN62" s="29">
        <v>1</v>
      </c>
      <c r="AO62" s="29">
        <v>1</v>
      </c>
      <c r="AP62" s="160">
        <v>0</v>
      </c>
      <c r="AQ62" s="161">
        <v>0</v>
      </c>
      <c r="AR62" s="161">
        <v>0</v>
      </c>
      <c r="AS62" s="161">
        <v>0</v>
      </c>
      <c r="AT62" s="161">
        <v>0</v>
      </c>
      <c r="AU62" s="161">
        <v>0</v>
      </c>
      <c r="AV62" s="161">
        <v>0</v>
      </c>
      <c r="AW62" s="161">
        <v>0</v>
      </c>
      <c r="AX62" s="162">
        <v>0</v>
      </c>
      <c r="AY62" s="162">
        <v>0</v>
      </c>
      <c r="AZ62" s="162">
        <v>0</v>
      </c>
      <c r="BA62" s="162">
        <v>0</v>
      </c>
      <c r="BB62" s="32"/>
      <c r="BC62" s="63"/>
      <c r="BD62" s="63">
        <f t="shared" si="9"/>
        <v>0</v>
      </c>
      <c r="BE62" s="63"/>
      <c r="BF62" s="32"/>
      <c r="BG62" s="32"/>
      <c r="BH62" s="63"/>
      <c r="BI62" s="64">
        <f t="shared" si="10"/>
        <v>0</v>
      </c>
      <c r="BJ62" s="63"/>
      <c r="BK62" s="32"/>
      <c r="BL62" s="32"/>
      <c r="BM62" s="33"/>
      <c r="BN62" s="33">
        <f t="shared" si="11"/>
        <v>0</v>
      </c>
      <c r="BO62" s="33"/>
      <c r="BP62" s="32"/>
      <c r="BQ62" s="32"/>
      <c r="BR62" s="33"/>
      <c r="BS62" s="33">
        <f t="shared" si="12"/>
        <v>0</v>
      </c>
      <c r="BT62" s="33"/>
      <c r="BU62" s="32"/>
      <c r="BV62" s="32"/>
      <c r="BW62" s="63"/>
      <c r="BX62" s="63">
        <f t="shared" si="13"/>
        <v>0</v>
      </c>
      <c r="BY62" s="63"/>
      <c r="BZ62" s="32"/>
      <c r="CA62" s="32"/>
      <c r="CB62" s="33"/>
      <c r="CC62" s="33">
        <f t="shared" si="14"/>
        <v>0</v>
      </c>
      <c r="CD62" s="33"/>
      <c r="CE62" s="32"/>
      <c r="CF62" s="33"/>
      <c r="CG62" s="33">
        <f t="shared" si="15"/>
        <v>0</v>
      </c>
      <c r="CH62" s="33"/>
      <c r="CI62" s="32"/>
      <c r="CJ62" s="33"/>
      <c r="CK62" s="33">
        <f t="shared" si="16"/>
        <v>0</v>
      </c>
      <c r="CL62" s="33"/>
      <c r="CM62" s="32"/>
      <c r="CN62" s="23"/>
      <c r="CO62" s="5">
        <f t="shared" si="17"/>
        <v>0</v>
      </c>
      <c r="CP62" s="10"/>
      <c r="CQ62" s="6"/>
      <c r="CR62" s="31"/>
      <c r="CS62" s="124"/>
      <c r="CT62" s="124"/>
      <c r="CU62" s="31"/>
      <c r="CV62" s="124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</row>
    <row r="63" spans="1:126" s="7" customFormat="1" ht="15" customHeight="1" x14ac:dyDescent="0.3">
      <c r="A63" s="134">
        <v>13</v>
      </c>
      <c r="B63" s="123" t="s">
        <v>356</v>
      </c>
      <c r="C63" s="122">
        <v>7051784</v>
      </c>
      <c r="D63" s="28" t="s">
        <v>344</v>
      </c>
      <c r="E63" s="28" t="s">
        <v>345</v>
      </c>
      <c r="F63" s="167">
        <v>1</v>
      </c>
      <c r="G63" s="25">
        <v>0</v>
      </c>
      <c r="H63" s="9">
        <v>0</v>
      </c>
      <c r="I63" s="26">
        <v>0</v>
      </c>
      <c r="J63" s="30">
        <v>0</v>
      </c>
      <c r="K63" s="29">
        <v>0</v>
      </c>
      <c r="L63" s="29">
        <v>0</v>
      </c>
      <c r="M63" s="29">
        <v>0</v>
      </c>
      <c r="N63" s="29">
        <v>0</v>
      </c>
      <c r="O63" s="29">
        <v>0</v>
      </c>
      <c r="P63" s="158">
        <v>0</v>
      </c>
      <c r="Q63" s="158">
        <v>0</v>
      </c>
      <c r="R63" s="158">
        <v>0</v>
      </c>
      <c r="S63" s="158">
        <v>0</v>
      </c>
      <c r="T63" s="158">
        <v>0</v>
      </c>
      <c r="U63" s="158">
        <v>0</v>
      </c>
      <c r="V63" s="29">
        <v>0</v>
      </c>
      <c r="W63" s="29">
        <v>0</v>
      </c>
      <c r="X63" s="159">
        <v>0</v>
      </c>
      <c r="Y63" s="159">
        <v>0</v>
      </c>
      <c r="Z63" s="29">
        <v>0</v>
      </c>
      <c r="AA63" s="29">
        <v>0</v>
      </c>
      <c r="AB63" s="29">
        <v>0</v>
      </c>
      <c r="AC63" s="29">
        <v>0</v>
      </c>
      <c r="AD63" s="29">
        <v>0</v>
      </c>
      <c r="AE63" s="159">
        <v>0</v>
      </c>
      <c r="AF63" s="159">
        <v>0</v>
      </c>
      <c r="AG63" s="160">
        <v>0</v>
      </c>
      <c r="AH63" s="160">
        <v>0</v>
      </c>
      <c r="AI63" s="160">
        <v>0</v>
      </c>
      <c r="AJ63" s="160">
        <v>0</v>
      </c>
      <c r="AK63" s="29">
        <v>0</v>
      </c>
      <c r="AL63" s="29">
        <v>0</v>
      </c>
      <c r="AM63" s="29">
        <v>0</v>
      </c>
      <c r="AN63" s="29">
        <v>0</v>
      </c>
      <c r="AO63" s="29">
        <v>0</v>
      </c>
      <c r="AP63" s="160">
        <v>0</v>
      </c>
      <c r="AQ63" s="161">
        <v>0</v>
      </c>
      <c r="AR63" s="161">
        <v>0</v>
      </c>
      <c r="AS63" s="161">
        <v>0</v>
      </c>
      <c r="AT63" s="161">
        <v>0</v>
      </c>
      <c r="AU63" s="161">
        <v>0</v>
      </c>
      <c r="AV63" s="161">
        <v>0</v>
      </c>
      <c r="AW63" s="161">
        <v>0</v>
      </c>
      <c r="AX63" s="162">
        <v>0</v>
      </c>
      <c r="AY63" s="162">
        <v>0</v>
      </c>
      <c r="AZ63" s="162">
        <v>0</v>
      </c>
      <c r="BA63" s="162">
        <v>0</v>
      </c>
      <c r="BB63" s="32"/>
      <c r="BC63" s="63"/>
      <c r="BD63" s="63">
        <f t="shared" si="9"/>
        <v>0</v>
      </c>
      <c r="BE63" s="63"/>
      <c r="BF63" s="32"/>
      <c r="BG63" s="32"/>
      <c r="BH63" s="63"/>
      <c r="BI63" s="64">
        <f t="shared" si="10"/>
        <v>0</v>
      </c>
      <c r="BJ63" s="63"/>
      <c r="BK63" s="32"/>
      <c r="BL63" s="32"/>
      <c r="BM63" s="33"/>
      <c r="BN63" s="33">
        <f t="shared" si="11"/>
        <v>0</v>
      </c>
      <c r="BO63" s="33"/>
      <c r="BP63" s="32"/>
      <c r="BQ63" s="32"/>
      <c r="BR63" s="33"/>
      <c r="BS63" s="33">
        <f t="shared" si="12"/>
        <v>0</v>
      </c>
      <c r="BT63" s="33"/>
      <c r="BU63" s="32"/>
      <c r="BV63" s="32"/>
      <c r="BW63" s="63"/>
      <c r="BX63" s="63">
        <f t="shared" si="13"/>
        <v>0</v>
      </c>
      <c r="BY63" s="63"/>
      <c r="BZ63" s="32"/>
      <c r="CA63" s="32"/>
      <c r="CB63" s="33"/>
      <c r="CC63" s="33">
        <f t="shared" si="14"/>
        <v>0</v>
      </c>
      <c r="CD63" s="33"/>
      <c r="CE63" s="32"/>
      <c r="CF63" s="33"/>
      <c r="CG63" s="33">
        <f t="shared" si="15"/>
        <v>0</v>
      </c>
      <c r="CH63" s="33"/>
      <c r="CI63" s="32"/>
      <c r="CJ63" s="33"/>
      <c r="CK63" s="33">
        <f t="shared" si="16"/>
        <v>0</v>
      </c>
      <c r="CL63" s="33"/>
      <c r="CM63" s="32"/>
      <c r="CN63" s="23"/>
      <c r="CO63" s="5">
        <f t="shared" si="17"/>
        <v>0</v>
      </c>
      <c r="CP63" s="10"/>
      <c r="CQ63" s="6"/>
      <c r="CR63" s="31"/>
      <c r="CS63" s="124"/>
      <c r="CT63" s="124"/>
      <c r="CU63" s="31"/>
      <c r="CV63" s="124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</row>
    <row r="64" spans="1:126" s="7" customFormat="1" ht="15" customHeight="1" x14ac:dyDescent="0.3">
      <c r="A64" s="134">
        <v>38</v>
      </c>
      <c r="B64" s="35" t="s">
        <v>397</v>
      </c>
      <c r="C64" s="14">
        <v>7077415</v>
      </c>
      <c r="D64" s="14" t="s">
        <v>84</v>
      </c>
      <c r="E64" s="15" t="s">
        <v>85</v>
      </c>
      <c r="F64" s="167">
        <v>1</v>
      </c>
      <c r="G64" s="25">
        <v>0</v>
      </c>
      <c r="H64" s="9">
        <v>0</v>
      </c>
      <c r="I64" s="26">
        <v>0</v>
      </c>
      <c r="J64" s="30">
        <v>0</v>
      </c>
      <c r="K64" s="29">
        <v>1</v>
      </c>
      <c r="L64" s="29">
        <v>0</v>
      </c>
      <c r="M64" s="29">
        <v>0</v>
      </c>
      <c r="N64" s="29">
        <v>0</v>
      </c>
      <c r="O64" s="29">
        <v>0</v>
      </c>
      <c r="P64" s="158">
        <v>0</v>
      </c>
      <c r="Q64" s="158">
        <v>0</v>
      </c>
      <c r="R64" s="158">
        <v>0</v>
      </c>
      <c r="S64" s="158">
        <v>0</v>
      </c>
      <c r="T64" s="158">
        <v>0</v>
      </c>
      <c r="U64" s="158">
        <v>0</v>
      </c>
      <c r="V64" s="29">
        <v>0</v>
      </c>
      <c r="W64" s="29">
        <v>0</v>
      </c>
      <c r="X64" s="159">
        <v>0</v>
      </c>
      <c r="Y64" s="15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159">
        <v>1</v>
      </c>
      <c r="AF64" s="159">
        <v>1</v>
      </c>
      <c r="AG64" s="160">
        <v>0</v>
      </c>
      <c r="AH64" s="160">
        <v>0</v>
      </c>
      <c r="AI64" s="160">
        <v>0</v>
      </c>
      <c r="AJ64" s="160">
        <v>0</v>
      </c>
      <c r="AK64" s="29">
        <v>1</v>
      </c>
      <c r="AL64" s="29">
        <v>0</v>
      </c>
      <c r="AM64" s="29">
        <v>0</v>
      </c>
      <c r="AN64" s="29">
        <v>1</v>
      </c>
      <c r="AO64" s="29">
        <v>1</v>
      </c>
      <c r="AP64" s="160">
        <v>0</v>
      </c>
      <c r="AQ64" s="161">
        <v>0</v>
      </c>
      <c r="AR64" s="161">
        <v>0</v>
      </c>
      <c r="AS64" s="161">
        <v>0</v>
      </c>
      <c r="AT64" s="161">
        <v>0</v>
      </c>
      <c r="AU64" s="161">
        <v>0</v>
      </c>
      <c r="AV64" s="161">
        <v>0</v>
      </c>
      <c r="AW64" s="161">
        <v>0</v>
      </c>
      <c r="AX64" s="162">
        <v>0</v>
      </c>
      <c r="AY64" s="162">
        <v>0</v>
      </c>
      <c r="AZ64" s="162">
        <v>0</v>
      </c>
      <c r="BA64" s="162">
        <v>0</v>
      </c>
      <c r="BB64" s="32"/>
      <c r="BC64" s="63"/>
      <c r="BD64" s="63">
        <f t="shared" si="9"/>
        <v>0</v>
      </c>
      <c r="BE64" s="63"/>
      <c r="BF64" s="32"/>
      <c r="BG64" s="32"/>
      <c r="BH64" s="63"/>
      <c r="BI64" s="64">
        <f t="shared" si="10"/>
        <v>0</v>
      </c>
      <c r="BJ64" s="63"/>
      <c r="BK64" s="32"/>
      <c r="BL64" s="32"/>
      <c r="BM64" s="33"/>
      <c r="BN64" s="33">
        <f t="shared" si="11"/>
        <v>0</v>
      </c>
      <c r="BO64" s="33"/>
      <c r="BP64" s="32"/>
      <c r="BQ64" s="32"/>
      <c r="BR64" s="33"/>
      <c r="BS64" s="33">
        <f t="shared" si="12"/>
        <v>0</v>
      </c>
      <c r="BT64" s="33"/>
      <c r="BU64" s="32"/>
      <c r="BV64" s="32"/>
      <c r="BW64" s="63"/>
      <c r="BX64" s="63">
        <f t="shared" si="13"/>
        <v>0</v>
      </c>
      <c r="BY64" s="63"/>
      <c r="BZ64" s="32"/>
      <c r="CA64" s="32"/>
      <c r="CB64" s="33"/>
      <c r="CC64" s="33">
        <f t="shared" si="14"/>
        <v>0</v>
      </c>
      <c r="CD64" s="33"/>
      <c r="CE64" s="32"/>
      <c r="CF64" s="33"/>
      <c r="CG64" s="33">
        <f t="shared" si="15"/>
        <v>0</v>
      </c>
      <c r="CH64" s="33"/>
      <c r="CI64" s="32"/>
      <c r="CJ64" s="33"/>
      <c r="CK64" s="33">
        <f t="shared" si="16"/>
        <v>0</v>
      </c>
      <c r="CL64" s="33"/>
      <c r="CM64" s="32"/>
      <c r="CN64" s="23"/>
      <c r="CO64" s="5">
        <f t="shared" si="17"/>
        <v>0</v>
      </c>
      <c r="CP64" s="10"/>
      <c r="CQ64" s="6"/>
      <c r="CR64" s="31"/>
      <c r="CS64" s="124"/>
      <c r="CT64" s="124"/>
      <c r="CU64" s="31"/>
      <c r="CV64" s="124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</row>
    <row r="65" spans="1:126" s="7" customFormat="1" ht="15" customHeight="1" x14ac:dyDescent="0.3">
      <c r="A65" s="134">
        <v>140</v>
      </c>
      <c r="B65" s="34" t="s">
        <v>455</v>
      </c>
      <c r="C65" s="14">
        <v>7402470</v>
      </c>
      <c r="D65" s="14" t="s">
        <v>466</v>
      </c>
      <c r="E65" s="14" t="s">
        <v>444</v>
      </c>
      <c r="F65" s="167">
        <v>1</v>
      </c>
      <c r="G65" s="25">
        <v>0</v>
      </c>
      <c r="H65" s="9">
        <v>0</v>
      </c>
      <c r="I65" s="26">
        <v>0</v>
      </c>
      <c r="J65" s="30">
        <v>0</v>
      </c>
      <c r="K65" s="29">
        <v>0</v>
      </c>
      <c r="L65" s="29">
        <v>0</v>
      </c>
      <c r="M65" s="29">
        <v>0</v>
      </c>
      <c r="N65" s="29">
        <v>0</v>
      </c>
      <c r="O65" s="29">
        <v>0</v>
      </c>
      <c r="P65" s="158">
        <v>0</v>
      </c>
      <c r="Q65" s="158">
        <v>0</v>
      </c>
      <c r="R65" s="158">
        <v>0</v>
      </c>
      <c r="S65" s="158">
        <v>0</v>
      </c>
      <c r="T65" s="158">
        <v>0</v>
      </c>
      <c r="U65" s="158">
        <v>0</v>
      </c>
      <c r="V65" s="29">
        <v>0</v>
      </c>
      <c r="W65" s="29">
        <v>0</v>
      </c>
      <c r="X65" s="159">
        <v>0</v>
      </c>
      <c r="Y65" s="159">
        <v>0</v>
      </c>
      <c r="Z65" s="29">
        <v>0</v>
      </c>
      <c r="AA65" s="29">
        <v>0</v>
      </c>
      <c r="AB65" s="29">
        <v>0</v>
      </c>
      <c r="AC65" s="29">
        <v>0</v>
      </c>
      <c r="AD65" s="29">
        <v>0</v>
      </c>
      <c r="AE65" s="159">
        <v>0</v>
      </c>
      <c r="AF65" s="159">
        <v>0</v>
      </c>
      <c r="AG65" s="160">
        <v>0</v>
      </c>
      <c r="AH65" s="160">
        <v>0</v>
      </c>
      <c r="AI65" s="160">
        <v>0</v>
      </c>
      <c r="AJ65" s="160">
        <v>0</v>
      </c>
      <c r="AK65" s="29">
        <v>0</v>
      </c>
      <c r="AL65" s="29">
        <v>0</v>
      </c>
      <c r="AM65" s="29">
        <v>0</v>
      </c>
      <c r="AN65" s="29">
        <v>0</v>
      </c>
      <c r="AO65" s="29">
        <v>0</v>
      </c>
      <c r="AP65" s="160">
        <v>0</v>
      </c>
      <c r="AQ65" s="161">
        <v>0</v>
      </c>
      <c r="AR65" s="161">
        <v>0</v>
      </c>
      <c r="AS65" s="161">
        <v>0</v>
      </c>
      <c r="AT65" s="161">
        <v>0</v>
      </c>
      <c r="AU65" s="161">
        <v>0</v>
      </c>
      <c r="AV65" s="161">
        <v>0</v>
      </c>
      <c r="AW65" s="161">
        <v>0</v>
      </c>
      <c r="AX65" s="162">
        <v>0</v>
      </c>
      <c r="AY65" s="162">
        <v>0</v>
      </c>
      <c r="AZ65" s="162">
        <v>0</v>
      </c>
      <c r="BA65" s="162">
        <v>0</v>
      </c>
      <c r="BB65" s="32"/>
      <c r="BC65" s="63"/>
      <c r="BD65" s="63">
        <f t="shared" si="9"/>
        <v>0</v>
      </c>
      <c r="BE65" s="63"/>
      <c r="BF65" s="32"/>
      <c r="BG65" s="32"/>
      <c r="BH65" s="63"/>
      <c r="BI65" s="64">
        <f t="shared" si="10"/>
        <v>0</v>
      </c>
      <c r="BJ65" s="63"/>
      <c r="BK65" s="32"/>
      <c r="BL65" s="32"/>
      <c r="BM65" s="33"/>
      <c r="BN65" s="33">
        <f t="shared" si="11"/>
        <v>0</v>
      </c>
      <c r="BO65" s="33"/>
      <c r="BP65" s="32"/>
      <c r="BQ65" s="32"/>
      <c r="BR65" s="33"/>
      <c r="BS65" s="33">
        <f t="shared" si="12"/>
        <v>0</v>
      </c>
      <c r="BT65" s="33"/>
      <c r="BU65" s="32"/>
      <c r="BV65" s="32"/>
      <c r="BW65" s="63"/>
      <c r="BX65" s="63">
        <f t="shared" si="13"/>
        <v>0</v>
      </c>
      <c r="BY65" s="63"/>
      <c r="BZ65" s="32"/>
      <c r="CA65" s="32"/>
      <c r="CB65" s="33"/>
      <c r="CC65" s="33">
        <f t="shared" si="14"/>
        <v>0</v>
      </c>
      <c r="CD65" s="33"/>
      <c r="CE65" s="32"/>
      <c r="CF65" s="33"/>
      <c r="CG65" s="33">
        <f t="shared" si="15"/>
        <v>0</v>
      </c>
      <c r="CH65" s="33"/>
      <c r="CI65" s="32"/>
      <c r="CJ65" s="33"/>
      <c r="CK65" s="33">
        <f t="shared" si="16"/>
        <v>0</v>
      </c>
      <c r="CL65" s="33"/>
      <c r="CM65" s="32"/>
      <c r="CN65" s="23"/>
      <c r="CO65" s="5">
        <f t="shared" si="17"/>
        <v>0</v>
      </c>
      <c r="CP65" s="10"/>
      <c r="CQ65" s="6"/>
      <c r="CR65" s="31"/>
      <c r="CS65" s="124"/>
      <c r="CT65" s="124"/>
      <c r="CU65" s="31"/>
      <c r="CV65" s="124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</row>
    <row r="66" spans="1:126" s="7" customFormat="1" ht="15" customHeight="1" x14ac:dyDescent="0.3">
      <c r="A66" s="134">
        <v>36</v>
      </c>
      <c r="B66" s="123" t="s">
        <v>397</v>
      </c>
      <c r="C66" s="14">
        <v>7077878</v>
      </c>
      <c r="D66" s="14" t="s">
        <v>86</v>
      </c>
      <c r="E66" s="15" t="s">
        <v>87</v>
      </c>
      <c r="F66" s="167">
        <v>1</v>
      </c>
      <c r="G66" s="25">
        <v>0</v>
      </c>
      <c r="H66" s="9">
        <v>0</v>
      </c>
      <c r="I66" s="26">
        <v>0</v>
      </c>
      <c r="J66" s="30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158">
        <v>0</v>
      </c>
      <c r="Q66" s="158">
        <v>0</v>
      </c>
      <c r="R66" s="158">
        <v>0</v>
      </c>
      <c r="S66" s="158">
        <v>0</v>
      </c>
      <c r="T66" s="158">
        <v>0</v>
      </c>
      <c r="U66" s="158">
        <v>0</v>
      </c>
      <c r="V66" s="29">
        <v>0</v>
      </c>
      <c r="W66" s="29">
        <v>0</v>
      </c>
      <c r="X66" s="159">
        <v>0</v>
      </c>
      <c r="Y66" s="15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159">
        <v>1</v>
      </c>
      <c r="AF66" s="159">
        <v>1</v>
      </c>
      <c r="AG66" s="160">
        <v>0</v>
      </c>
      <c r="AH66" s="160">
        <v>0</v>
      </c>
      <c r="AI66" s="160">
        <v>0</v>
      </c>
      <c r="AJ66" s="160">
        <v>0</v>
      </c>
      <c r="AK66" s="29">
        <v>1</v>
      </c>
      <c r="AL66" s="29">
        <v>1</v>
      </c>
      <c r="AM66" s="29">
        <v>0</v>
      </c>
      <c r="AN66" s="29">
        <v>1</v>
      </c>
      <c r="AO66" s="29">
        <v>1</v>
      </c>
      <c r="AP66" s="160">
        <v>0</v>
      </c>
      <c r="AQ66" s="161">
        <v>0</v>
      </c>
      <c r="AR66" s="161">
        <v>0</v>
      </c>
      <c r="AS66" s="161">
        <v>0</v>
      </c>
      <c r="AT66" s="161">
        <v>0</v>
      </c>
      <c r="AU66" s="161">
        <v>0</v>
      </c>
      <c r="AV66" s="161">
        <v>0</v>
      </c>
      <c r="AW66" s="161">
        <v>0</v>
      </c>
      <c r="AX66" s="162">
        <v>0</v>
      </c>
      <c r="AY66" s="162">
        <v>0</v>
      </c>
      <c r="AZ66" s="162">
        <v>0</v>
      </c>
      <c r="BA66" s="162">
        <v>0</v>
      </c>
      <c r="BB66" s="32"/>
      <c r="BC66" s="63"/>
      <c r="BD66" s="63">
        <f t="shared" si="9"/>
        <v>0</v>
      </c>
      <c r="BE66" s="63"/>
      <c r="BF66" s="32"/>
      <c r="BG66" s="32"/>
      <c r="BH66" s="63"/>
      <c r="BI66" s="64">
        <f t="shared" si="10"/>
        <v>0</v>
      </c>
      <c r="BJ66" s="63"/>
      <c r="BK66" s="32"/>
      <c r="BL66" s="32"/>
      <c r="BM66" s="33"/>
      <c r="BN66" s="33">
        <f t="shared" si="11"/>
        <v>0</v>
      </c>
      <c r="BO66" s="33"/>
      <c r="BP66" s="32"/>
      <c r="BQ66" s="32"/>
      <c r="BR66" s="33"/>
      <c r="BS66" s="33">
        <f t="shared" si="12"/>
        <v>0</v>
      </c>
      <c r="BT66" s="33"/>
      <c r="BU66" s="32"/>
      <c r="BV66" s="32"/>
      <c r="BW66" s="63"/>
      <c r="BX66" s="63">
        <f t="shared" si="13"/>
        <v>0</v>
      </c>
      <c r="BY66" s="63"/>
      <c r="BZ66" s="32"/>
      <c r="CA66" s="32"/>
      <c r="CB66" s="33"/>
      <c r="CC66" s="33">
        <f t="shared" si="14"/>
        <v>0</v>
      </c>
      <c r="CD66" s="33"/>
      <c r="CE66" s="32"/>
      <c r="CF66" s="33"/>
      <c r="CG66" s="33">
        <f t="shared" si="15"/>
        <v>0</v>
      </c>
      <c r="CH66" s="33"/>
      <c r="CI66" s="32"/>
      <c r="CJ66" s="33"/>
      <c r="CK66" s="33">
        <f t="shared" si="16"/>
        <v>0</v>
      </c>
      <c r="CL66" s="33"/>
      <c r="CM66" s="32"/>
      <c r="CN66" s="23"/>
      <c r="CO66" s="5">
        <f t="shared" si="17"/>
        <v>0</v>
      </c>
      <c r="CP66" s="10"/>
      <c r="CQ66" s="6"/>
      <c r="CR66" s="31"/>
      <c r="CS66" s="124"/>
      <c r="CT66" s="124"/>
      <c r="CU66" s="31"/>
      <c r="CV66" s="124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</row>
    <row r="67" spans="1:126" ht="15" customHeight="1" x14ac:dyDescent="0.3">
      <c r="A67" s="138">
        <v>119</v>
      </c>
      <c r="B67" s="35" t="s">
        <v>200</v>
      </c>
      <c r="C67" s="14">
        <v>7400394</v>
      </c>
      <c r="D67" s="14" t="s">
        <v>89</v>
      </c>
      <c r="E67" s="163" t="s">
        <v>202</v>
      </c>
      <c r="F67" s="167">
        <v>1</v>
      </c>
      <c r="G67" s="25">
        <v>0</v>
      </c>
      <c r="H67" s="9">
        <v>0</v>
      </c>
      <c r="I67" s="26">
        <v>0</v>
      </c>
      <c r="J67" s="30">
        <v>0</v>
      </c>
      <c r="K67" s="29">
        <v>1</v>
      </c>
      <c r="L67" s="29">
        <v>0</v>
      </c>
      <c r="M67" s="29">
        <v>0</v>
      </c>
      <c r="N67" s="29">
        <v>1</v>
      </c>
      <c r="O67" s="29">
        <v>1</v>
      </c>
      <c r="P67" s="158">
        <v>1</v>
      </c>
      <c r="Q67" s="158">
        <v>1</v>
      </c>
      <c r="R67" s="158">
        <v>0</v>
      </c>
      <c r="S67" s="158">
        <v>0</v>
      </c>
      <c r="T67" s="158">
        <v>0</v>
      </c>
      <c r="U67" s="158">
        <v>1</v>
      </c>
      <c r="V67" s="29">
        <v>0</v>
      </c>
      <c r="W67" s="29">
        <v>0</v>
      </c>
      <c r="X67" s="159">
        <v>0</v>
      </c>
      <c r="Y67" s="159">
        <v>0</v>
      </c>
      <c r="Z67" s="29">
        <v>0</v>
      </c>
      <c r="AA67" s="29">
        <v>0</v>
      </c>
      <c r="AB67" s="29">
        <v>0</v>
      </c>
      <c r="AC67" s="29">
        <v>0</v>
      </c>
      <c r="AD67" s="29">
        <v>0</v>
      </c>
      <c r="AE67" s="159">
        <v>1</v>
      </c>
      <c r="AF67" s="159">
        <v>1</v>
      </c>
      <c r="AG67" s="160">
        <v>0</v>
      </c>
      <c r="AH67" s="160">
        <v>0</v>
      </c>
      <c r="AI67" s="160">
        <v>0</v>
      </c>
      <c r="AJ67" s="160">
        <v>0</v>
      </c>
      <c r="AK67" s="29">
        <v>0</v>
      </c>
      <c r="AL67" s="29">
        <v>0</v>
      </c>
      <c r="AM67" s="29">
        <v>0</v>
      </c>
      <c r="AN67" s="29">
        <v>0</v>
      </c>
      <c r="AO67" s="29">
        <v>0</v>
      </c>
      <c r="AP67" s="160">
        <v>0</v>
      </c>
      <c r="AQ67" s="161">
        <v>0</v>
      </c>
      <c r="AR67" s="161">
        <v>0</v>
      </c>
      <c r="AS67" s="161">
        <v>0</v>
      </c>
      <c r="AT67" s="161">
        <v>0</v>
      </c>
      <c r="AU67" s="161">
        <v>0</v>
      </c>
      <c r="AV67" s="161">
        <v>0</v>
      </c>
      <c r="AW67" s="161">
        <v>0</v>
      </c>
      <c r="AX67" s="162">
        <v>0</v>
      </c>
      <c r="AY67" s="162">
        <v>0</v>
      </c>
      <c r="AZ67" s="162">
        <v>0</v>
      </c>
      <c r="BA67" s="162">
        <v>1</v>
      </c>
      <c r="BB67" s="32"/>
      <c r="BC67" s="63"/>
      <c r="BD67" s="63">
        <f t="shared" si="9"/>
        <v>0</v>
      </c>
      <c r="BE67" s="63"/>
      <c r="BF67" s="32"/>
      <c r="BG67" s="32"/>
      <c r="BH67" s="63"/>
      <c r="BI67" s="64">
        <f t="shared" si="10"/>
        <v>0</v>
      </c>
      <c r="BJ67" s="63"/>
      <c r="BK67" s="32"/>
      <c r="BL67" s="32"/>
      <c r="BM67" s="33"/>
      <c r="BN67" s="33">
        <f t="shared" si="11"/>
        <v>0</v>
      </c>
      <c r="BO67" s="33"/>
      <c r="BP67" s="32"/>
      <c r="BQ67" s="32"/>
      <c r="BR67" s="33"/>
      <c r="BS67" s="33">
        <f t="shared" si="12"/>
        <v>0</v>
      </c>
      <c r="BT67" s="33"/>
      <c r="BU67" s="32"/>
      <c r="BV67" s="32"/>
      <c r="BW67" s="63"/>
      <c r="BX67" s="63">
        <f t="shared" si="13"/>
        <v>0</v>
      </c>
      <c r="BY67" s="63"/>
      <c r="BZ67" s="32"/>
      <c r="CA67" s="32"/>
      <c r="CB67" s="33"/>
      <c r="CC67" s="33">
        <f t="shared" si="14"/>
        <v>0</v>
      </c>
      <c r="CD67" s="33"/>
      <c r="CE67" s="32"/>
      <c r="CF67" s="33"/>
      <c r="CG67" s="33">
        <f t="shared" si="15"/>
        <v>0</v>
      </c>
      <c r="CH67" s="33"/>
      <c r="CI67" s="32"/>
      <c r="CJ67" s="33"/>
      <c r="CK67" s="33">
        <f t="shared" si="16"/>
        <v>0</v>
      </c>
      <c r="CL67" s="33"/>
      <c r="CM67" s="32"/>
      <c r="CN67" s="23"/>
      <c r="CO67" s="5">
        <f t="shared" si="17"/>
        <v>0</v>
      </c>
      <c r="CP67" s="10"/>
      <c r="CQ67" s="6"/>
      <c r="CR67" s="31"/>
      <c r="CS67" s="124"/>
      <c r="CT67" s="124"/>
      <c r="CU67" s="31"/>
      <c r="CV67" s="124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</row>
    <row r="68" spans="1:126" ht="15" customHeight="1" x14ac:dyDescent="0.3">
      <c r="A68" s="134">
        <v>37</v>
      </c>
      <c r="B68" s="35" t="s">
        <v>42</v>
      </c>
      <c r="C68" s="14">
        <v>7092620</v>
      </c>
      <c r="D68" s="14" t="s">
        <v>89</v>
      </c>
      <c r="E68" s="15" t="s">
        <v>90</v>
      </c>
      <c r="F68" s="167">
        <v>1</v>
      </c>
      <c r="G68" s="25">
        <v>0</v>
      </c>
      <c r="H68" s="9">
        <v>0</v>
      </c>
      <c r="I68" s="26">
        <v>0</v>
      </c>
      <c r="J68" s="30">
        <v>0</v>
      </c>
      <c r="K68" s="29">
        <v>0</v>
      </c>
      <c r="L68" s="29">
        <v>1</v>
      </c>
      <c r="M68" s="29">
        <v>0</v>
      </c>
      <c r="N68" s="29">
        <v>1</v>
      </c>
      <c r="O68" s="29">
        <v>0</v>
      </c>
      <c r="P68" s="158">
        <v>0</v>
      </c>
      <c r="Q68" s="158">
        <v>1</v>
      </c>
      <c r="R68" s="158">
        <v>1</v>
      </c>
      <c r="S68" s="158">
        <v>1</v>
      </c>
      <c r="T68" s="158">
        <v>1</v>
      </c>
      <c r="U68" s="158">
        <v>0</v>
      </c>
      <c r="V68" s="29">
        <v>1</v>
      </c>
      <c r="W68" s="29">
        <v>1</v>
      </c>
      <c r="X68" s="159">
        <v>1</v>
      </c>
      <c r="Y68" s="159">
        <v>1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159">
        <v>1</v>
      </c>
      <c r="AF68" s="159">
        <v>1</v>
      </c>
      <c r="AG68" s="160">
        <v>1</v>
      </c>
      <c r="AH68" s="160">
        <v>0</v>
      </c>
      <c r="AI68" s="160">
        <v>0</v>
      </c>
      <c r="AJ68" s="160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160">
        <v>0</v>
      </c>
      <c r="AQ68" s="161">
        <v>0</v>
      </c>
      <c r="AR68" s="161">
        <v>0</v>
      </c>
      <c r="AS68" s="161">
        <v>0</v>
      </c>
      <c r="AT68" s="161">
        <v>0</v>
      </c>
      <c r="AU68" s="161">
        <v>0</v>
      </c>
      <c r="AV68" s="161">
        <v>0</v>
      </c>
      <c r="AW68" s="161">
        <v>0</v>
      </c>
      <c r="AX68" s="162">
        <v>0</v>
      </c>
      <c r="AY68" s="162">
        <v>0</v>
      </c>
      <c r="AZ68" s="162">
        <v>0</v>
      </c>
      <c r="BA68" s="162">
        <v>1</v>
      </c>
      <c r="BB68" s="32"/>
      <c r="BC68" s="63"/>
      <c r="BD68" s="63">
        <f t="shared" si="9"/>
        <v>0</v>
      </c>
      <c r="BE68" s="63"/>
      <c r="BF68" s="32"/>
      <c r="BG68" s="32"/>
      <c r="BH68" s="63"/>
      <c r="BI68" s="64">
        <f t="shared" si="10"/>
        <v>0</v>
      </c>
      <c r="BJ68" s="63"/>
      <c r="BK68" s="32"/>
      <c r="BL68" s="32"/>
      <c r="BM68" s="33"/>
      <c r="BN68" s="33">
        <f t="shared" si="11"/>
        <v>0</v>
      </c>
      <c r="BO68" s="33"/>
      <c r="BP68" s="32"/>
      <c r="BQ68" s="32"/>
      <c r="BR68" s="33"/>
      <c r="BS68" s="33">
        <f t="shared" si="12"/>
        <v>0</v>
      </c>
      <c r="BT68" s="33"/>
      <c r="BU68" s="32"/>
      <c r="BV68" s="32"/>
      <c r="BW68" s="63"/>
      <c r="BX68" s="63">
        <f t="shared" si="13"/>
        <v>0</v>
      </c>
      <c r="BY68" s="63"/>
      <c r="BZ68" s="32"/>
      <c r="CA68" s="32"/>
      <c r="CB68" s="33"/>
      <c r="CC68" s="33">
        <f t="shared" si="14"/>
        <v>0</v>
      </c>
      <c r="CD68" s="33"/>
      <c r="CE68" s="32"/>
      <c r="CF68" s="33"/>
      <c r="CG68" s="33">
        <f t="shared" si="15"/>
        <v>0</v>
      </c>
      <c r="CH68" s="33"/>
      <c r="CI68" s="32"/>
      <c r="CJ68" s="33"/>
      <c r="CK68" s="33">
        <f t="shared" si="16"/>
        <v>0</v>
      </c>
      <c r="CL68" s="33"/>
      <c r="CM68" s="32"/>
      <c r="CN68" s="23"/>
      <c r="CO68" s="5">
        <f t="shared" si="17"/>
        <v>0</v>
      </c>
      <c r="CP68" s="10"/>
      <c r="CQ68" s="6"/>
      <c r="CR68" s="31"/>
      <c r="CS68" s="124"/>
      <c r="CT68" s="124"/>
      <c r="CU68" s="31"/>
      <c r="CV68" s="124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</row>
    <row r="69" spans="1:126" s="7" customFormat="1" ht="15" customHeight="1" x14ac:dyDescent="0.3">
      <c r="A69" s="134">
        <v>91</v>
      </c>
      <c r="B69" s="34" t="s">
        <v>49</v>
      </c>
      <c r="C69" s="14">
        <v>7096575</v>
      </c>
      <c r="D69" s="14" t="s">
        <v>361</v>
      </c>
      <c r="E69" s="15" t="s">
        <v>362</v>
      </c>
      <c r="F69" s="167">
        <v>1</v>
      </c>
      <c r="G69" s="25">
        <v>0</v>
      </c>
      <c r="H69" s="9">
        <v>0</v>
      </c>
      <c r="I69" s="26">
        <v>0</v>
      </c>
      <c r="J69" s="30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158">
        <v>0</v>
      </c>
      <c r="Q69" s="158">
        <v>0</v>
      </c>
      <c r="R69" s="158">
        <v>0</v>
      </c>
      <c r="S69" s="158">
        <v>0</v>
      </c>
      <c r="T69" s="158">
        <v>0</v>
      </c>
      <c r="U69" s="158">
        <v>0</v>
      </c>
      <c r="V69" s="29">
        <v>0</v>
      </c>
      <c r="W69" s="29">
        <v>0</v>
      </c>
      <c r="X69" s="159">
        <v>0</v>
      </c>
      <c r="Y69" s="159">
        <v>0</v>
      </c>
      <c r="Z69" s="29">
        <v>0</v>
      </c>
      <c r="AA69" s="29">
        <v>0</v>
      </c>
      <c r="AB69" s="29">
        <v>0</v>
      </c>
      <c r="AC69" s="29">
        <v>0</v>
      </c>
      <c r="AD69" s="29">
        <v>0</v>
      </c>
      <c r="AE69" s="159">
        <v>1</v>
      </c>
      <c r="AF69" s="159">
        <v>1</v>
      </c>
      <c r="AG69" s="160">
        <v>0</v>
      </c>
      <c r="AH69" s="160">
        <v>0</v>
      </c>
      <c r="AI69" s="160">
        <v>0</v>
      </c>
      <c r="AJ69" s="160">
        <v>0</v>
      </c>
      <c r="AK69" s="29">
        <v>1</v>
      </c>
      <c r="AL69" s="29">
        <v>0</v>
      </c>
      <c r="AM69" s="29">
        <v>0</v>
      </c>
      <c r="AN69" s="29">
        <v>1</v>
      </c>
      <c r="AO69" s="29">
        <v>1</v>
      </c>
      <c r="AP69" s="160">
        <v>0</v>
      </c>
      <c r="AQ69" s="161">
        <v>0</v>
      </c>
      <c r="AR69" s="161">
        <v>0</v>
      </c>
      <c r="AS69" s="161">
        <v>0</v>
      </c>
      <c r="AT69" s="161">
        <v>0</v>
      </c>
      <c r="AU69" s="161">
        <v>0</v>
      </c>
      <c r="AV69" s="161">
        <v>0</v>
      </c>
      <c r="AW69" s="161">
        <v>0</v>
      </c>
      <c r="AX69" s="162">
        <v>0</v>
      </c>
      <c r="AY69" s="162">
        <v>0</v>
      </c>
      <c r="AZ69" s="162">
        <v>0</v>
      </c>
      <c r="BA69" s="162">
        <v>0</v>
      </c>
      <c r="BB69" s="32"/>
      <c r="BC69" s="63"/>
      <c r="BD69" s="63">
        <f t="shared" si="9"/>
        <v>0</v>
      </c>
      <c r="BE69" s="63"/>
      <c r="BF69" s="32"/>
      <c r="BG69" s="32"/>
      <c r="BH69" s="63"/>
      <c r="BI69" s="64">
        <f t="shared" si="10"/>
        <v>0</v>
      </c>
      <c r="BJ69" s="63"/>
      <c r="BK69" s="32"/>
      <c r="BL69" s="32"/>
      <c r="BM69" s="33"/>
      <c r="BN69" s="33">
        <f t="shared" si="11"/>
        <v>0</v>
      </c>
      <c r="BO69" s="33"/>
      <c r="BP69" s="32"/>
      <c r="BQ69" s="32"/>
      <c r="BR69" s="33"/>
      <c r="BS69" s="33">
        <f t="shared" si="12"/>
        <v>0</v>
      </c>
      <c r="BT69" s="33"/>
      <c r="BU69" s="32"/>
      <c r="BV69" s="32"/>
      <c r="BW69" s="63"/>
      <c r="BX69" s="63">
        <f t="shared" si="13"/>
        <v>0</v>
      </c>
      <c r="BY69" s="63"/>
      <c r="BZ69" s="32"/>
      <c r="CA69" s="32"/>
      <c r="CB69" s="33"/>
      <c r="CC69" s="33">
        <f t="shared" si="14"/>
        <v>0</v>
      </c>
      <c r="CD69" s="33"/>
      <c r="CE69" s="32"/>
      <c r="CF69" s="33"/>
      <c r="CG69" s="33">
        <f t="shared" si="15"/>
        <v>0</v>
      </c>
      <c r="CH69" s="33"/>
      <c r="CI69" s="32"/>
      <c r="CJ69" s="33"/>
      <c r="CK69" s="33">
        <f t="shared" si="16"/>
        <v>0</v>
      </c>
      <c r="CL69" s="33"/>
      <c r="CM69" s="32"/>
      <c r="CN69" s="23"/>
      <c r="CO69" s="5">
        <f t="shared" si="17"/>
        <v>0</v>
      </c>
      <c r="CP69" s="10"/>
      <c r="CQ69" s="6"/>
      <c r="CR69" s="31"/>
      <c r="CS69" s="124"/>
      <c r="CT69" s="124"/>
      <c r="CU69" s="31"/>
      <c r="CV69" s="124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</row>
    <row r="70" spans="1:126" s="7" customFormat="1" ht="15" customHeight="1" x14ac:dyDescent="0.3">
      <c r="A70" s="43">
        <v>274</v>
      </c>
      <c r="B70" s="38" t="s">
        <v>521</v>
      </c>
      <c r="C70" s="36">
        <v>7402915</v>
      </c>
      <c r="D70" s="36" t="s">
        <v>515</v>
      </c>
      <c r="E70" s="137" t="s">
        <v>516</v>
      </c>
      <c r="F70" s="167">
        <v>1</v>
      </c>
      <c r="G70" s="25">
        <v>0</v>
      </c>
      <c r="H70" s="9">
        <v>0</v>
      </c>
      <c r="I70" s="26">
        <v>0</v>
      </c>
      <c r="J70" s="30">
        <v>0</v>
      </c>
      <c r="K70" s="29">
        <v>1</v>
      </c>
      <c r="L70" s="29">
        <v>0</v>
      </c>
      <c r="M70" s="29">
        <v>1</v>
      </c>
      <c r="N70" s="29">
        <v>0</v>
      </c>
      <c r="O70" s="29">
        <v>0</v>
      </c>
      <c r="P70" s="158">
        <v>1</v>
      </c>
      <c r="Q70" s="158">
        <v>1</v>
      </c>
      <c r="R70" s="158">
        <v>0</v>
      </c>
      <c r="S70" s="158">
        <v>0</v>
      </c>
      <c r="T70" s="158">
        <v>0</v>
      </c>
      <c r="U70" s="158">
        <v>0</v>
      </c>
      <c r="V70" s="29">
        <v>0</v>
      </c>
      <c r="W70" s="29">
        <v>0</v>
      </c>
      <c r="X70" s="159">
        <v>0</v>
      </c>
      <c r="Y70" s="15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159">
        <v>0</v>
      </c>
      <c r="AF70" s="159">
        <v>0</v>
      </c>
      <c r="AG70" s="160">
        <v>0</v>
      </c>
      <c r="AH70" s="160">
        <v>0</v>
      </c>
      <c r="AI70" s="160">
        <v>0</v>
      </c>
      <c r="AJ70" s="160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160">
        <v>0</v>
      </c>
      <c r="AQ70" s="161">
        <v>0</v>
      </c>
      <c r="AR70" s="161">
        <v>0</v>
      </c>
      <c r="AS70" s="161">
        <v>0</v>
      </c>
      <c r="AT70" s="161">
        <v>0</v>
      </c>
      <c r="AU70" s="161">
        <v>0</v>
      </c>
      <c r="AV70" s="161">
        <v>0</v>
      </c>
      <c r="AW70" s="161">
        <v>0</v>
      </c>
      <c r="AX70" s="162">
        <v>0</v>
      </c>
      <c r="AY70" s="162">
        <v>0</v>
      </c>
      <c r="AZ70" s="162">
        <v>0</v>
      </c>
      <c r="BA70" s="162">
        <v>1</v>
      </c>
      <c r="BB70" s="32"/>
      <c r="BC70" s="63"/>
      <c r="BD70" s="63">
        <f t="shared" ref="BD70:BD133" si="18">BC70*2.5</f>
        <v>0</v>
      </c>
      <c r="BE70" s="63"/>
      <c r="BF70" s="32"/>
      <c r="BG70" s="32"/>
      <c r="BH70" s="63"/>
      <c r="BI70" s="64">
        <f t="shared" ref="BI70:BI133" si="19">IF(BH70&lt;4,BH70*1.5,BH70*1.625)</f>
        <v>0</v>
      </c>
      <c r="BJ70" s="63"/>
      <c r="BK70" s="32"/>
      <c r="BL70" s="32"/>
      <c r="BM70" s="33"/>
      <c r="BN70" s="33">
        <f t="shared" ref="BN70:BN133" si="20">IF(BM70&lt;4,BM70*1.5,BM70*1.625)</f>
        <v>0</v>
      </c>
      <c r="BO70" s="33"/>
      <c r="BP70" s="32"/>
      <c r="BQ70" s="32"/>
      <c r="BR70" s="33"/>
      <c r="BS70" s="33">
        <f t="shared" ref="BS70:BS133" si="21">IF(BR70&lt;4,BR70*1.5,BR70*1.625)</f>
        <v>0</v>
      </c>
      <c r="BT70" s="33"/>
      <c r="BU70" s="32"/>
      <c r="BV70" s="32"/>
      <c r="BW70" s="63"/>
      <c r="BX70" s="63">
        <f t="shared" ref="BX70:BX133" si="22">IF(BW70&lt;4,BW70*1.5,BW70*1.625)</f>
        <v>0</v>
      </c>
      <c r="BY70" s="63"/>
      <c r="BZ70" s="32"/>
      <c r="CA70" s="32"/>
      <c r="CB70" s="33"/>
      <c r="CC70" s="33">
        <f t="shared" ref="CC70:CC133" si="23">IF(CB70&lt;4,CB70*1.5,CB70*1.625)</f>
        <v>0</v>
      </c>
      <c r="CD70" s="33"/>
      <c r="CE70" s="32"/>
      <c r="CF70" s="33"/>
      <c r="CG70" s="33">
        <f t="shared" ref="CG70:CG133" si="24">IF(CF70&lt;4,CF70*1.5,CF70*1.625)</f>
        <v>0</v>
      </c>
      <c r="CH70" s="33"/>
      <c r="CI70" s="32"/>
      <c r="CJ70" s="33"/>
      <c r="CK70" s="33">
        <f t="shared" ref="CK70:CK133" si="25">IF(CJ70&gt;4,CJ70*1.5,CJ70*1.625)</f>
        <v>0</v>
      </c>
      <c r="CL70" s="33"/>
      <c r="CM70" s="32"/>
      <c r="CN70" s="23"/>
      <c r="CO70" s="5">
        <f t="shared" ref="CO70:CO133" si="26">CN70*2.5</f>
        <v>0</v>
      </c>
      <c r="CP70" s="10"/>
      <c r="CQ70" s="6"/>
      <c r="CR70" s="31"/>
      <c r="CS70" s="124"/>
      <c r="CT70" s="124"/>
      <c r="CU70" s="31"/>
      <c r="CV70" s="124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</row>
    <row r="71" spans="1:126" s="7" customFormat="1" ht="15" customHeight="1" x14ac:dyDescent="0.3">
      <c r="A71" s="134">
        <v>44</v>
      </c>
      <c r="B71" s="127" t="s">
        <v>42</v>
      </c>
      <c r="C71" s="14">
        <v>7091821</v>
      </c>
      <c r="D71" s="14" t="s">
        <v>91</v>
      </c>
      <c r="E71" s="14" t="s">
        <v>92</v>
      </c>
      <c r="F71" s="167">
        <v>1</v>
      </c>
      <c r="G71" s="25">
        <v>0</v>
      </c>
      <c r="H71" s="9">
        <v>0</v>
      </c>
      <c r="I71" s="26">
        <v>0</v>
      </c>
      <c r="J71" s="30">
        <v>0</v>
      </c>
      <c r="K71" s="29">
        <v>1</v>
      </c>
      <c r="L71" s="29">
        <v>0</v>
      </c>
      <c r="M71" s="29">
        <v>0</v>
      </c>
      <c r="N71" s="29">
        <v>0</v>
      </c>
      <c r="O71" s="29">
        <v>0</v>
      </c>
      <c r="P71" s="158">
        <v>0</v>
      </c>
      <c r="Q71" s="158">
        <v>1</v>
      </c>
      <c r="R71" s="158">
        <v>1</v>
      </c>
      <c r="S71" s="158">
        <v>1</v>
      </c>
      <c r="T71" s="158">
        <v>0</v>
      </c>
      <c r="U71" s="158">
        <v>0</v>
      </c>
      <c r="V71" s="29">
        <v>0</v>
      </c>
      <c r="W71" s="29">
        <v>0</v>
      </c>
      <c r="X71" s="159">
        <v>0</v>
      </c>
      <c r="Y71" s="159">
        <v>0</v>
      </c>
      <c r="Z71" s="29">
        <v>0</v>
      </c>
      <c r="AA71" s="29">
        <v>0</v>
      </c>
      <c r="AB71" s="29">
        <v>0</v>
      </c>
      <c r="AC71" s="29">
        <v>0</v>
      </c>
      <c r="AD71" s="29">
        <v>0</v>
      </c>
      <c r="AE71" s="159">
        <v>1</v>
      </c>
      <c r="AF71" s="159">
        <v>1</v>
      </c>
      <c r="AG71" s="160">
        <v>0</v>
      </c>
      <c r="AH71" s="160">
        <v>0</v>
      </c>
      <c r="AI71" s="160">
        <v>0</v>
      </c>
      <c r="AJ71" s="160">
        <v>0</v>
      </c>
      <c r="AK71" s="29">
        <v>0</v>
      </c>
      <c r="AL71" s="29">
        <v>0</v>
      </c>
      <c r="AM71" s="29">
        <v>0</v>
      </c>
      <c r="AN71" s="29">
        <v>0</v>
      </c>
      <c r="AO71" s="29">
        <v>0</v>
      </c>
      <c r="AP71" s="160">
        <v>0</v>
      </c>
      <c r="AQ71" s="161">
        <v>0</v>
      </c>
      <c r="AR71" s="161">
        <v>0</v>
      </c>
      <c r="AS71" s="161">
        <v>0</v>
      </c>
      <c r="AT71" s="161">
        <v>0</v>
      </c>
      <c r="AU71" s="161">
        <v>0</v>
      </c>
      <c r="AV71" s="161">
        <v>0</v>
      </c>
      <c r="AW71" s="161">
        <v>0</v>
      </c>
      <c r="AX71" s="162">
        <v>0</v>
      </c>
      <c r="AY71" s="162">
        <v>0</v>
      </c>
      <c r="AZ71" s="162">
        <v>0</v>
      </c>
      <c r="BA71" s="162">
        <v>1</v>
      </c>
      <c r="BB71" s="32"/>
      <c r="BC71" s="63"/>
      <c r="BD71" s="63">
        <f t="shared" si="18"/>
        <v>0</v>
      </c>
      <c r="BE71" s="63"/>
      <c r="BF71" s="32"/>
      <c r="BG71" s="32"/>
      <c r="BH71" s="63"/>
      <c r="BI71" s="64">
        <f t="shared" si="19"/>
        <v>0</v>
      </c>
      <c r="BJ71" s="63"/>
      <c r="BK71" s="32"/>
      <c r="BL71" s="32"/>
      <c r="BM71" s="33"/>
      <c r="BN71" s="33">
        <f t="shared" si="20"/>
        <v>0</v>
      </c>
      <c r="BO71" s="33"/>
      <c r="BP71" s="32"/>
      <c r="BQ71" s="32"/>
      <c r="BR71" s="33"/>
      <c r="BS71" s="33">
        <f t="shared" si="21"/>
        <v>0</v>
      </c>
      <c r="BT71" s="33"/>
      <c r="BU71" s="32"/>
      <c r="BV71" s="32"/>
      <c r="BW71" s="63"/>
      <c r="BX71" s="63">
        <f t="shared" si="22"/>
        <v>0</v>
      </c>
      <c r="BY71" s="63"/>
      <c r="BZ71" s="32"/>
      <c r="CA71" s="32"/>
      <c r="CB71" s="33"/>
      <c r="CC71" s="33">
        <f t="shared" si="23"/>
        <v>0</v>
      </c>
      <c r="CD71" s="33"/>
      <c r="CE71" s="32"/>
      <c r="CF71" s="33"/>
      <c r="CG71" s="33">
        <f t="shared" si="24"/>
        <v>0</v>
      </c>
      <c r="CH71" s="33"/>
      <c r="CI71" s="32"/>
      <c r="CJ71" s="33"/>
      <c r="CK71" s="33">
        <f t="shared" si="25"/>
        <v>0</v>
      </c>
      <c r="CL71" s="33"/>
      <c r="CM71" s="32"/>
      <c r="CN71" s="23"/>
      <c r="CO71" s="5">
        <f t="shared" si="26"/>
        <v>0</v>
      </c>
      <c r="CP71" s="10"/>
      <c r="CQ71" s="6"/>
      <c r="CR71" s="31"/>
      <c r="CS71" s="124"/>
      <c r="CT71" s="124"/>
      <c r="CU71" s="31"/>
      <c r="CV71" s="124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</row>
    <row r="72" spans="1:126" s="7" customFormat="1" ht="15" customHeight="1" x14ac:dyDescent="0.3">
      <c r="A72" s="134">
        <v>105</v>
      </c>
      <c r="B72" s="34" t="s">
        <v>49</v>
      </c>
      <c r="C72" s="14">
        <v>7401922</v>
      </c>
      <c r="D72" s="14" t="s">
        <v>393</v>
      </c>
      <c r="E72" s="14" t="s">
        <v>394</v>
      </c>
      <c r="F72" s="167">
        <v>1</v>
      </c>
      <c r="G72" s="25">
        <v>0</v>
      </c>
      <c r="H72" s="9">
        <v>0</v>
      </c>
      <c r="I72" s="26">
        <v>0</v>
      </c>
      <c r="J72" s="30">
        <v>0</v>
      </c>
      <c r="K72" s="29">
        <v>1</v>
      </c>
      <c r="L72" s="29">
        <v>0</v>
      </c>
      <c r="M72" s="29">
        <v>1</v>
      </c>
      <c r="N72" s="29">
        <v>0</v>
      </c>
      <c r="O72" s="29">
        <v>0</v>
      </c>
      <c r="P72" s="158">
        <v>0</v>
      </c>
      <c r="Q72" s="158">
        <v>0</v>
      </c>
      <c r="R72" s="158">
        <v>0</v>
      </c>
      <c r="S72" s="158">
        <v>0</v>
      </c>
      <c r="T72" s="158">
        <v>0</v>
      </c>
      <c r="U72" s="158">
        <v>0</v>
      </c>
      <c r="V72" s="29">
        <v>0</v>
      </c>
      <c r="W72" s="29">
        <v>0</v>
      </c>
      <c r="X72" s="159">
        <v>0</v>
      </c>
      <c r="Y72" s="15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159">
        <v>1</v>
      </c>
      <c r="AF72" s="159">
        <v>1</v>
      </c>
      <c r="AG72" s="160">
        <v>0</v>
      </c>
      <c r="AH72" s="160">
        <v>0</v>
      </c>
      <c r="AI72" s="160">
        <v>0</v>
      </c>
      <c r="AJ72" s="160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160">
        <v>0</v>
      </c>
      <c r="AQ72" s="161">
        <v>0</v>
      </c>
      <c r="AR72" s="161">
        <v>0</v>
      </c>
      <c r="AS72" s="161">
        <v>0</v>
      </c>
      <c r="AT72" s="161">
        <v>0</v>
      </c>
      <c r="AU72" s="161">
        <v>0</v>
      </c>
      <c r="AV72" s="161">
        <v>0</v>
      </c>
      <c r="AW72" s="161">
        <v>0</v>
      </c>
      <c r="AX72" s="162">
        <v>0</v>
      </c>
      <c r="AY72" s="162">
        <v>1</v>
      </c>
      <c r="AZ72" s="162">
        <v>1</v>
      </c>
      <c r="BA72" s="162">
        <v>1</v>
      </c>
      <c r="BB72" s="32"/>
      <c r="BC72" s="63"/>
      <c r="BD72" s="63">
        <f t="shared" si="18"/>
        <v>0</v>
      </c>
      <c r="BE72" s="63"/>
      <c r="BF72" s="32"/>
      <c r="BG72" s="32"/>
      <c r="BH72" s="63"/>
      <c r="BI72" s="64">
        <f t="shared" si="19"/>
        <v>0</v>
      </c>
      <c r="BJ72" s="63"/>
      <c r="BK72" s="32"/>
      <c r="BL72" s="32"/>
      <c r="BM72" s="33"/>
      <c r="BN72" s="33">
        <f t="shared" si="20"/>
        <v>0</v>
      </c>
      <c r="BO72" s="33"/>
      <c r="BP72" s="32"/>
      <c r="BQ72" s="32"/>
      <c r="BR72" s="33"/>
      <c r="BS72" s="33">
        <f t="shared" si="21"/>
        <v>0</v>
      </c>
      <c r="BT72" s="33"/>
      <c r="BU72" s="32"/>
      <c r="BV72" s="32"/>
      <c r="BW72" s="63"/>
      <c r="BX72" s="63">
        <f t="shared" si="22"/>
        <v>0</v>
      </c>
      <c r="BY72" s="63"/>
      <c r="BZ72" s="32"/>
      <c r="CA72" s="32"/>
      <c r="CB72" s="33"/>
      <c r="CC72" s="33">
        <f t="shared" si="23"/>
        <v>0</v>
      </c>
      <c r="CD72" s="33"/>
      <c r="CE72" s="32"/>
      <c r="CF72" s="33"/>
      <c r="CG72" s="33">
        <f t="shared" si="24"/>
        <v>0</v>
      </c>
      <c r="CH72" s="33"/>
      <c r="CI72" s="32"/>
      <c r="CJ72" s="33"/>
      <c r="CK72" s="33">
        <f t="shared" si="25"/>
        <v>0</v>
      </c>
      <c r="CL72" s="33"/>
      <c r="CM72" s="32"/>
      <c r="CN72" s="23"/>
      <c r="CO72" s="5">
        <f t="shared" si="26"/>
        <v>0</v>
      </c>
      <c r="CP72" s="10"/>
      <c r="CQ72" s="6"/>
      <c r="CR72" s="31"/>
      <c r="CS72" s="124"/>
      <c r="CT72" s="124"/>
      <c r="CU72" s="31"/>
      <c r="CV72" s="124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</row>
    <row r="73" spans="1:126" s="7" customFormat="1" ht="15" customHeight="1" x14ac:dyDescent="0.3">
      <c r="A73" s="134">
        <v>106</v>
      </c>
      <c r="B73" s="35" t="s">
        <v>42</v>
      </c>
      <c r="C73" s="14">
        <v>7402044</v>
      </c>
      <c r="D73" s="14" t="s">
        <v>415</v>
      </c>
      <c r="E73" s="15" t="s">
        <v>416</v>
      </c>
      <c r="F73" s="167">
        <v>1</v>
      </c>
      <c r="G73" s="25">
        <v>0</v>
      </c>
      <c r="H73" s="9">
        <v>0</v>
      </c>
      <c r="I73" s="26">
        <v>0</v>
      </c>
      <c r="J73" s="30">
        <v>0</v>
      </c>
      <c r="K73" s="29">
        <v>1</v>
      </c>
      <c r="L73" s="29">
        <v>0</v>
      </c>
      <c r="M73" s="29">
        <v>1</v>
      </c>
      <c r="N73" s="29">
        <v>1</v>
      </c>
      <c r="O73" s="29">
        <v>1</v>
      </c>
      <c r="P73" s="158">
        <v>1</v>
      </c>
      <c r="Q73" s="158">
        <v>1</v>
      </c>
      <c r="R73" s="158">
        <v>0</v>
      </c>
      <c r="S73" s="158">
        <v>0</v>
      </c>
      <c r="T73" s="158">
        <v>0</v>
      </c>
      <c r="U73" s="158">
        <v>0</v>
      </c>
      <c r="V73" s="29">
        <v>0</v>
      </c>
      <c r="W73" s="29">
        <v>0</v>
      </c>
      <c r="X73" s="159">
        <v>0</v>
      </c>
      <c r="Y73" s="159">
        <v>0</v>
      </c>
      <c r="Z73" s="29">
        <v>0</v>
      </c>
      <c r="AA73" s="29">
        <v>0</v>
      </c>
      <c r="AB73" s="29">
        <v>0</v>
      </c>
      <c r="AC73" s="29">
        <v>0</v>
      </c>
      <c r="AD73" s="29">
        <v>0</v>
      </c>
      <c r="AE73" s="159">
        <v>1</v>
      </c>
      <c r="AF73" s="159">
        <v>1</v>
      </c>
      <c r="AG73" s="160">
        <v>0</v>
      </c>
      <c r="AH73" s="160">
        <v>0</v>
      </c>
      <c r="AI73" s="160">
        <v>0</v>
      </c>
      <c r="AJ73" s="160">
        <v>0</v>
      </c>
      <c r="AK73" s="29">
        <v>0</v>
      </c>
      <c r="AL73" s="29">
        <v>0</v>
      </c>
      <c r="AM73" s="29">
        <v>0</v>
      </c>
      <c r="AN73" s="29">
        <v>0</v>
      </c>
      <c r="AO73" s="29">
        <v>0</v>
      </c>
      <c r="AP73" s="160">
        <v>0</v>
      </c>
      <c r="AQ73" s="161">
        <v>0</v>
      </c>
      <c r="AR73" s="161">
        <v>0</v>
      </c>
      <c r="AS73" s="161">
        <v>0</v>
      </c>
      <c r="AT73" s="161">
        <v>0</v>
      </c>
      <c r="AU73" s="161">
        <v>0</v>
      </c>
      <c r="AV73" s="161">
        <v>0</v>
      </c>
      <c r="AW73" s="161">
        <v>0</v>
      </c>
      <c r="AX73" s="162">
        <v>0</v>
      </c>
      <c r="AY73" s="162">
        <v>0</v>
      </c>
      <c r="AZ73" s="162">
        <v>0</v>
      </c>
      <c r="BA73" s="162">
        <v>1</v>
      </c>
      <c r="BB73" s="32"/>
      <c r="BC73" s="63"/>
      <c r="BD73" s="63">
        <f t="shared" si="18"/>
        <v>0</v>
      </c>
      <c r="BE73" s="63"/>
      <c r="BF73" s="32"/>
      <c r="BG73" s="32"/>
      <c r="BH73" s="63"/>
      <c r="BI73" s="64">
        <f t="shared" si="19"/>
        <v>0</v>
      </c>
      <c r="BJ73" s="63"/>
      <c r="BK73" s="32"/>
      <c r="BL73" s="32"/>
      <c r="BM73" s="33"/>
      <c r="BN73" s="33">
        <f t="shared" si="20"/>
        <v>0</v>
      </c>
      <c r="BO73" s="33"/>
      <c r="BP73" s="32"/>
      <c r="BQ73" s="32"/>
      <c r="BR73" s="33"/>
      <c r="BS73" s="33">
        <f t="shared" si="21"/>
        <v>0</v>
      </c>
      <c r="BT73" s="33"/>
      <c r="BU73" s="32"/>
      <c r="BV73" s="32"/>
      <c r="BW73" s="63"/>
      <c r="BX73" s="63">
        <f t="shared" si="22"/>
        <v>0</v>
      </c>
      <c r="BY73" s="63"/>
      <c r="BZ73" s="32"/>
      <c r="CA73" s="32"/>
      <c r="CB73" s="33"/>
      <c r="CC73" s="33">
        <f t="shared" si="23"/>
        <v>0</v>
      </c>
      <c r="CD73" s="33"/>
      <c r="CE73" s="32"/>
      <c r="CF73" s="33"/>
      <c r="CG73" s="33">
        <f t="shared" si="24"/>
        <v>0</v>
      </c>
      <c r="CH73" s="33"/>
      <c r="CI73" s="32"/>
      <c r="CJ73" s="33"/>
      <c r="CK73" s="33">
        <f t="shared" si="25"/>
        <v>0</v>
      </c>
      <c r="CL73" s="33"/>
      <c r="CM73" s="32"/>
      <c r="CN73" s="23"/>
      <c r="CO73" s="5">
        <f t="shared" si="26"/>
        <v>0</v>
      </c>
      <c r="CP73" s="10"/>
      <c r="CQ73" s="6"/>
      <c r="CR73" s="31"/>
      <c r="CS73" s="124"/>
      <c r="CT73" s="124"/>
      <c r="CU73" s="31"/>
      <c r="CV73" s="124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</row>
    <row r="74" spans="1:126" s="7" customFormat="1" ht="15" customHeight="1" x14ac:dyDescent="0.3">
      <c r="A74" s="134">
        <v>50</v>
      </c>
      <c r="B74" s="123" t="s">
        <v>397</v>
      </c>
      <c r="C74" s="11">
        <v>7095152</v>
      </c>
      <c r="D74" s="11" t="s">
        <v>93</v>
      </c>
      <c r="E74" s="11" t="s">
        <v>94</v>
      </c>
      <c r="F74" s="167">
        <v>1</v>
      </c>
      <c r="G74" s="25">
        <v>0</v>
      </c>
      <c r="H74" s="9">
        <v>0</v>
      </c>
      <c r="I74" s="26">
        <v>0</v>
      </c>
      <c r="J74" s="30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158">
        <v>0</v>
      </c>
      <c r="Q74" s="158">
        <v>1</v>
      </c>
      <c r="R74" s="158">
        <v>0</v>
      </c>
      <c r="S74" s="158">
        <v>0</v>
      </c>
      <c r="T74" s="158">
        <v>0</v>
      </c>
      <c r="U74" s="158">
        <v>0</v>
      </c>
      <c r="V74" s="29">
        <v>0</v>
      </c>
      <c r="W74" s="29">
        <v>0</v>
      </c>
      <c r="X74" s="159">
        <v>1</v>
      </c>
      <c r="Y74" s="159">
        <v>1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159">
        <v>1</v>
      </c>
      <c r="AF74" s="159">
        <v>1</v>
      </c>
      <c r="AG74" s="160">
        <v>1</v>
      </c>
      <c r="AH74" s="160">
        <v>0</v>
      </c>
      <c r="AI74" s="160">
        <v>0</v>
      </c>
      <c r="AJ74" s="160">
        <v>0</v>
      </c>
      <c r="AK74" s="29">
        <v>1</v>
      </c>
      <c r="AL74" s="29">
        <v>1</v>
      </c>
      <c r="AM74" s="29">
        <v>1</v>
      </c>
      <c r="AN74" s="29">
        <v>1</v>
      </c>
      <c r="AO74" s="29">
        <v>1</v>
      </c>
      <c r="AP74" s="160">
        <v>0</v>
      </c>
      <c r="AQ74" s="161">
        <v>0</v>
      </c>
      <c r="AR74" s="161">
        <v>1</v>
      </c>
      <c r="AS74" s="161">
        <v>0</v>
      </c>
      <c r="AT74" s="161">
        <v>0</v>
      </c>
      <c r="AU74" s="161">
        <v>0</v>
      </c>
      <c r="AV74" s="161">
        <v>0</v>
      </c>
      <c r="AW74" s="161">
        <v>0</v>
      </c>
      <c r="AX74" s="162">
        <v>0</v>
      </c>
      <c r="AY74" s="162">
        <v>0</v>
      </c>
      <c r="AZ74" s="162">
        <v>0</v>
      </c>
      <c r="BA74" s="162">
        <v>1</v>
      </c>
      <c r="BB74" s="32"/>
      <c r="BC74" s="63"/>
      <c r="BD74" s="63">
        <f t="shared" si="18"/>
        <v>0</v>
      </c>
      <c r="BE74" s="63"/>
      <c r="BF74" s="32"/>
      <c r="BG74" s="32"/>
      <c r="BH74" s="63"/>
      <c r="BI74" s="64">
        <f t="shared" si="19"/>
        <v>0</v>
      </c>
      <c r="BJ74" s="63"/>
      <c r="BK74" s="32"/>
      <c r="BL74" s="32"/>
      <c r="BM74" s="33"/>
      <c r="BN74" s="33">
        <f t="shared" si="20"/>
        <v>0</v>
      </c>
      <c r="BO74" s="33"/>
      <c r="BP74" s="32"/>
      <c r="BQ74" s="32"/>
      <c r="BR74" s="33"/>
      <c r="BS74" s="33">
        <f t="shared" si="21"/>
        <v>0</v>
      </c>
      <c r="BT74" s="33"/>
      <c r="BU74" s="32"/>
      <c r="BV74" s="32"/>
      <c r="BW74" s="63"/>
      <c r="BX74" s="63">
        <f t="shared" si="22"/>
        <v>0</v>
      </c>
      <c r="BY74" s="63"/>
      <c r="BZ74" s="32"/>
      <c r="CA74" s="32"/>
      <c r="CB74" s="33"/>
      <c r="CC74" s="33">
        <f t="shared" si="23"/>
        <v>0</v>
      </c>
      <c r="CD74" s="33"/>
      <c r="CE74" s="32"/>
      <c r="CF74" s="33"/>
      <c r="CG74" s="33">
        <f t="shared" si="24"/>
        <v>0</v>
      </c>
      <c r="CH74" s="33"/>
      <c r="CI74" s="32"/>
      <c r="CJ74" s="33"/>
      <c r="CK74" s="33">
        <f t="shared" si="25"/>
        <v>0</v>
      </c>
      <c r="CL74" s="33"/>
      <c r="CM74" s="32"/>
      <c r="CN74" s="23"/>
      <c r="CO74" s="5">
        <f t="shared" si="26"/>
        <v>0</v>
      </c>
      <c r="CP74" s="10"/>
      <c r="CQ74" s="6"/>
      <c r="CR74" s="31"/>
      <c r="CS74" s="124"/>
      <c r="CT74" s="124"/>
      <c r="CU74" s="31"/>
      <c r="CV74" s="124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</row>
    <row r="75" spans="1:126" s="31" customFormat="1" ht="15" customHeight="1" x14ac:dyDescent="0.3">
      <c r="A75" s="134">
        <v>82</v>
      </c>
      <c r="B75" s="34" t="s">
        <v>49</v>
      </c>
      <c r="C75" s="14">
        <v>7095148</v>
      </c>
      <c r="D75" s="14" t="s">
        <v>351</v>
      </c>
      <c r="E75" s="14" t="s">
        <v>352</v>
      </c>
      <c r="F75" s="167">
        <v>1</v>
      </c>
      <c r="G75" s="25">
        <v>0</v>
      </c>
      <c r="H75" s="9">
        <v>0</v>
      </c>
      <c r="I75" s="26">
        <v>0</v>
      </c>
      <c r="J75" s="30">
        <v>0</v>
      </c>
      <c r="K75" s="29">
        <v>1</v>
      </c>
      <c r="L75" s="29">
        <v>0</v>
      </c>
      <c r="M75" s="29">
        <v>0</v>
      </c>
      <c r="N75" s="29">
        <v>0</v>
      </c>
      <c r="O75" s="29">
        <v>0</v>
      </c>
      <c r="P75" s="158">
        <v>0</v>
      </c>
      <c r="Q75" s="158">
        <v>1</v>
      </c>
      <c r="R75" s="158">
        <v>0</v>
      </c>
      <c r="S75" s="158">
        <v>0</v>
      </c>
      <c r="T75" s="158">
        <v>0</v>
      </c>
      <c r="U75" s="158">
        <v>1</v>
      </c>
      <c r="V75" s="29">
        <v>0</v>
      </c>
      <c r="W75" s="29">
        <v>0</v>
      </c>
      <c r="X75" s="159">
        <v>0</v>
      </c>
      <c r="Y75" s="159">
        <v>0</v>
      </c>
      <c r="Z75" s="29">
        <v>0</v>
      </c>
      <c r="AA75" s="29">
        <v>0</v>
      </c>
      <c r="AB75" s="29">
        <v>0</v>
      </c>
      <c r="AC75" s="29">
        <v>0</v>
      </c>
      <c r="AD75" s="29">
        <v>0</v>
      </c>
      <c r="AE75" s="159">
        <v>1</v>
      </c>
      <c r="AF75" s="159">
        <v>1</v>
      </c>
      <c r="AG75" s="160">
        <v>0</v>
      </c>
      <c r="AH75" s="160">
        <v>0</v>
      </c>
      <c r="AI75" s="160">
        <v>0</v>
      </c>
      <c r="AJ75" s="160">
        <v>0</v>
      </c>
      <c r="AK75" s="29">
        <v>0</v>
      </c>
      <c r="AL75" s="29">
        <v>0</v>
      </c>
      <c r="AM75" s="29">
        <v>0</v>
      </c>
      <c r="AN75" s="29">
        <v>0</v>
      </c>
      <c r="AO75" s="29">
        <v>0</v>
      </c>
      <c r="AP75" s="160">
        <v>0</v>
      </c>
      <c r="AQ75" s="161">
        <v>0</v>
      </c>
      <c r="AR75" s="161">
        <v>0</v>
      </c>
      <c r="AS75" s="161">
        <v>0</v>
      </c>
      <c r="AT75" s="161">
        <v>0</v>
      </c>
      <c r="AU75" s="161">
        <v>0</v>
      </c>
      <c r="AV75" s="161">
        <v>0</v>
      </c>
      <c r="AW75" s="161">
        <v>0</v>
      </c>
      <c r="AX75" s="162">
        <v>1</v>
      </c>
      <c r="AY75" s="162">
        <v>1</v>
      </c>
      <c r="AZ75" s="162">
        <v>1</v>
      </c>
      <c r="BA75" s="162">
        <v>1</v>
      </c>
      <c r="BB75" s="32"/>
      <c r="BC75" s="63"/>
      <c r="BD75" s="63">
        <f t="shared" si="18"/>
        <v>0</v>
      </c>
      <c r="BE75" s="63"/>
      <c r="BF75" s="32"/>
      <c r="BG75" s="32"/>
      <c r="BH75" s="63"/>
      <c r="BI75" s="64">
        <f t="shared" si="19"/>
        <v>0</v>
      </c>
      <c r="BJ75" s="63"/>
      <c r="BK75" s="32"/>
      <c r="BL75" s="32"/>
      <c r="BM75" s="33"/>
      <c r="BN75" s="33">
        <f t="shared" si="20"/>
        <v>0</v>
      </c>
      <c r="BO75" s="33"/>
      <c r="BP75" s="32"/>
      <c r="BQ75" s="32"/>
      <c r="BR75" s="33"/>
      <c r="BS75" s="33">
        <f t="shared" si="21"/>
        <v>0</v>
      </c>
      <c r="BT75" s="33"/>
      <c r="BU75" s="32"/>
      <c r="BV75" s="32"/>
      <c r="BW75" s="63"/>
      <c r="BX75" s="63">
        <f t="shared" si="22"/>
        <v>0</v>
      </c>
      <c r="BY75" s="63"/>
      <c r="BZ75" s="32"/>
      <c r="CA75" s="32"/>
      <c r="CB75" s="33"/>
      <c r="CC75" s="33">
        <f t="shared" si="23"/>
        <v>0</v>
      </c>
      <c r="CD75" s="33"/>
      <c r="CE75" s="32"/>
      <c r="CF75" s="33"/>
      <c r="CG75" s="33">
        <f t="shared" si="24"/>
        <v>0</v>
      </c>
      <c r="CH75" s="33"/>
      <c r="CI75" s="32"/>
      <c r="CJ75" s="33"/>
      <c r="CK75" s="33">
        <f t="shared" si="25"/>
        <v>0</v>
      </c>
      <c r="CL75" s="33"/>
      <c r="CM75" s="32"/>
      <c r="CN75" s="23"/>
      <c r="CO75" s="5">
        <f t="shared" si="26"/>
        <v>0</v>
      </c>
      <c r="CP75" s="10"/>
      <c r="CQ75" s="6"/>
      <c r="CS75" s="124"/>
      <c r="CT75" s="124"/>
      <c r="CV75" s="124"/>
    </row>
    <row r="76" spans="1:126" s="31" customFormat="1" ht="15" customHeight="1" x14ac:dyDescent="0.3">
      <c r="A76" s="134">
        <v>63</v>
      </c>
      <c r="B76" s="34" t="s">
        <v>49</v>
      </c>
      <c r="C76" s="14">
        <v>7092653</v>
      </c>
      <c r="D76" s="14" t="s">
        <v>181</v>
      </c>
      <c r="E76" s="14" t="s">
        <v>182</v>
      </c>
      <c r="F76" s="167">
        <v>1</v>
      </c>
      <c r="G76" s="25">
        <v>0</v>
      </c>
      <c r="H76" s="9">
        <v>0</v>
      </c>
      <c r="I76" s="26">
        <v>0</v>
      </c>
      <c r="J76" s="30">
        <v>0</v>
      </c>
      <c r="K76" s="29">
        <v>1</v>
      </c>
      <c r="L76" s="29">
        <v>0</v>
      </c>
      <c r="M76" s="29">
        <v>0</v>
      </c>
      <c r="N76" s="29">
        <v>0</v>
      </c>
      <c r="O76" s="29">
        <v>0</v>
      </c>
      <c r="P76" s="158">
        <v>0</v>
      </c>
      <c r="Q76" s="158">
        <v>0</v>
      </c>
      <c r="R76" s="158">
        <v>0</v>
      </c>
      <c r="S76" s="158">
        <v>0</v>
      </c>
      <c r="T76" s="158">
        <v>0</v>
      </c>
      <c r="U76" s="158">
        <v>1</v>
      </c>
      <c r="V76" s="29">
        <v>0</v>
      </c>
      <c r="W76" s="29">
        <v>0</v>
      </c>
      <c r="X76" s="159">
        <v>0</v>
      </c>
      <c r="Y76" s="159">
        <v>0</v>
      </c>
      <c r="Z76" s="29">
        <v>1</v>
      </c>
      <c r="AA76" s="29">
        <v>0</v>
      </c>
      <c r="AB76" s="29">
        <v>0</v>
      </c>
      <c r="AC76" s="29">
        <v>1</v>
      </c>
      <c r="AD76" s="29">
        <v>0</v>
      </c>
      <c r="AE76" s="159">
        <v>1</v>
      </c>
      <c r="AF76" s="159">
        <v>1</v>
      </c>
      <c r="AG76" s="160">
        <v>0</v>
      </c>
      <c r="AH76" s="160">
        <v>0</v>
      </c>
      <c r="AI76" s="160">
        <v>0</v>
      </c>
      <c r="AJ76" s="160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160">
        <v>0</v>
      </c>
      <c r="AQ76" s="161">
        <v>0</v>
      </c>
      <c r="AR76" s="161">
        <v>0</v>
      </c>
      <c r="AS76" s="161">
        <v>0</v>
      </c>
      <c r="AT76" s="161">
        <v>0</v>
      </c>
      <c r="AU76" s="161">
        <v>0</v>
      </c>
      <c r="AV76" s="161">
        <v>0</v>
      </c>
      <c r="AW76" s="161">
        <v>1</v>
      </c>
      <c r="AX76" s="162">
        <v>0</v>
      </c>
      <c r="AY76" s="162">
        <v>0</v>
      </c>
      <c r="AZ76" s="162">
        <v>0</v>
      </c>
      <c r="BA76" s="162">
        <v>1</v>
      </c>
      <c r="BB76" s="32"/>
      <c r="BC76" s="63"/>
      <c r="BD76" s="63">
        <f t="shared" si="18"/>
        <v>0</v>
      </c>
      <c r="BE76" s="63"/>
      <c r="BF76" s="32"/>
      <c r="BG76" s="32"/>
      <c r="BH76" s="63"/>
      <c r="BI76" s="64">
        <f t="shared" si="19"/>
        <v>0</v>
      </c>
      <c r="BJ76" s="63"/>
      <c r="BK76" s="32"/>
      <c r="BL76" s="32"/>
      <c r="BM76" s="33"/>
      <c r="BN76" s="33">
        <f t="shared" si="20"/>
        <v>0</v>
      </c>
      <c r="BO76" s="33"/>
      <c r="BP76" s="32"/>
      <c r="BQ76" s="32"/>
      <c r="BR76" s="33"/>
      <c r="BS76" s="33">
        <f t="shared" si="21"/>
        <v>0</v>
      </c>
      <c r="BT76" s="33"/>
      <c r="BU76" s="32"/>
      <c r="BV76" s="32"/>
      <c r="BW76" s="63"/>
      <c r="BX76" s="63">
        <f t="shared" si="22"/>
        <v>0</v>
      </c>
      <c r="BY76" s="63"/>
      <c r="BZ76" s="32"/>
      <c r="CA76" s="32"/>
      <c r="CB76" s="33"/>
      <c r="CC76" s="33">
        <f t="shared" si="23"/>
        <v>0</v>
      </c>
      <c r="CD76" s="33"/>
      <c r="CE76" s="32"/>
      <c r="CF76" s="33"/>
      <c r="CG76" s="33">
        <f t="shared" si="24"/>
        <v>0</v>
      </c>
      <c r="CH76" s="33"/>
      <c r="CI76" s="32"/>
      <c r="CJ76" s="33"/>
      <c r="CK76" s="33">
        <f t="shared" si="25"/>
        <v>0</v>
      </c>
      <c r="CL76" s="33"/>
      <c r="CM76" s="32"/>
      <c r="CN76" s="23"/>
      <c r="CO76" s="5">
        <f t="shared" si="26"/>
        <v>0</v>
      </c>
      <c r="CP76" s="10"/>
      <c r="CQ76" s="6"/>
      <c r="CS76" s="124"/>
      <c r="CT76" s="124"/>
      <c r="CV76" s="124"/>
    </row>
    <row r="77" spans="1:126" s="31" customFormat="1" ht="15" customHeight="1" x14ac:dyDescent="0.3">
      <c r="A77" s="134">
        <v>133</v>
      </c>
      <c r="B77" s="35" t="s">
        <v>200</v>
      </c>
      <c r="C77" s="14">
        <v>7403495</v>
      </c>
      <c r="D77" s="14" t="s">
        <v>451</v>
      </c>
      <c r="E77" s="14" t="s">
        <v>452</v>
      </c>
      <c r="F77" s="167">
        <v>1</v>
      </c>
      <c r="G77" s="25">
        <v>0</v>
      </c>
      <c r="H77" s="9">
        <v>0</v>
      </c>
      <c r="I77" s="26">
        <v>0</v>
      </c>
      <c r="J77" s="30">
        <v>0</v>
      </c>
      <c r="K77" s="29">
        <v>0</v>
      </c>
      <c r="L77" s="29">
        <v>0</v>
      </c>
      <c r="M77" s="29">
        <v>0</v>
      </c>
      <c r="N77" s="29">
        <v>0</v>
      </c>
      <c r="O77" s="29">
        <v>0</v>
      </c>
      <c r="P77" s="158">
        <v>0</v>
      </c>
      <c r="Q77" s="158">
        <v>0</v>
      </c>
      <c r="R77" s="158">
        <v>0</v>
      </c>
      <c r="S77" s="158">
        <v>0</v>
      </c>
      <c r="T77" s="158">
        <v>0</v>
      </c>
      <c r="U77" s="158">
        <v>0</v>
      </c>
      <c r="V77" s="29">
        <v>0</v>
      </c>
      <c r="W77" s="29">
        <v>0</v>
      </c>
      <c r="X77" s="159">
        <v>0</v>
      </c>
      <c r="Y77" s="159">
        <v>0</v>
      </c>
      <c r="Z77" s="29">
        <v>0</v>
      </c>
      <c r="AA77" s="29">
        <v>0</v>
      </c>
      <c r="AB77" s="29">
        <v>0</v>
      </c>
      <c r="AC77" s="29">
        <v>0</v>
      </c>
      <c r="AD77" s="29">
        <v>0</v>
      </c>
      <c r="AE77" s="159">
        <v>0</v>
      </c>
      <c r="AF77" s="159">
        <v>0</v>
      </c>
      <c r="AG77" s="160">
        <v>0</v>
      </c>
      <c r="AH77" s="160">
        <v>0</v>
      </c>
      <c r="AI77" s="160">
        <v>0</v>
      </c>
      <c r="AJ77" s="160">
        <v>0</v>
      </c>
      <c r="AK77" s="29">
        <v>0</v>
      </c>
      <c r="AL77" s="29">
        <v>0</v>
      </c>
      <c r="AM77" s="29">
        <v>0</v>
      </c>
      <c r="AN77" s="29">
        <v>0</v>
      </c>
      <c r="AO77" s="29">
        <v>0</v>
      </c>
      <c r="AP77" s="160">
        <v>0</v>
      </c>
      <c r="AQ77" s="161">
        <v>1</v>
      </c>
      <c r="AR77" s="161">
        <v>0</v>
      </c>
      <c r="AS77" s="161">
        <v>1</v>
      </c>
      <c r="AT77" s="161">
        <v>1</v>
      </c>
      <c r="AU77" s="161">
        <v>1</v>
      </c>
      <c r="AV77" s="161">
        <v>1</v>
      </c>
      <c r="AW77" s="161">
        <v>0</v>
      </c>
      <c r="AX77" s="162">
        <v>0</v>
      </c>
      <c r="AY77" s="162">
        <v>0</v>
      </c>
      <c r="AZ77" s="162">
        <v>0</v>
      </c>
      <c r="BA77" s="162">
        <v>0</v>
      </c>
      <c r="BB77" s="32"/>
      <c r="BC77" s="63"/>
      <c r="BD77" s="63">
        <f t="shared" si="18"/>
        <v>0</v>
      </c>
      <c r="BE77" s="63"/>
      <c r="BF77" s="32"/>
      <c r="BG77" s="32"/>
      <c r="BH77" s="63"/>
      <c r="BI77" s="64">
        <f t="shared" si="19"/>
        <v>0</v>
      </c>
      <c r="BJ77" s="63"/>
      <c r="BK77" s="32"/>
      <c r="BL77" s="32"/>
      <c r="BM77" s="33"/>
      <c r="BN77" s="33">
        <f t="shared" si="20"/>
        <v>0</v>
      </c>
      <c r="BO77" s="33"/>
      <c r="BP77" s="32"/>
      <c r="BQ77" s="32"/>
      <c r="BR77" s="33"/>
      <c r="BS77" s="33">
        <f t="shared" si="21"/>
        <v>0</v>
      </c>
      <c r="BT77" s="33"/>
      <c r="BU77" s="32"/>
      <c r="BV77" s="32"/>
      <c r="BW77" s="63"/>
      <c r="BX77" s="63">
        <f t="shared" si="22"/>
        <v>0</v>
      </c>
      <c r="BY77" s="63"/>
      <c r="BZ77" s="32"/>
      <c r="CA77" s="32"/>
      <c r="CB77" s="33"/>
      <c r="CC77" s="33">
        <f t="shared" si="23"/>
        <v>0</v>
      </c>
      <c r="CD77" s="33"/>
      <c r="CE77" s="32"/>
      <c r="CF77" s="33"/>
      <c r="CG77" s="33">
        <f t="shared" si="24"/>
        <v>0</v>
      </c>
      <c r="CH77" s="33"/>
      <c r="CI77" s="32"/>
      <c r="CJ77" s="33"/>
      <c r="CK77" s="33">
        <f t="shared" si="25"/>
        <v>0</v>
      </c>
      <c r="CL77" s="33"/>
      <c r="CM77" s="32"/>
      <c r="CN77" s="23"/>
      <c r="CO77" s="5">
        <f t="shared" si="26"/>
        <v>0</v>
      </c>
      <c r="CP77" s="10"/>
      <c r="CQ77" s="6"/>
      <c r="CS77" s="124"/>
      <c r="CT77" s="124"/>
      <c r="CV77" s="124"/>
    </row>
    <row r="78" spans="1:126" s="7" customFormat="1" ht="15" customHeight="1" x14ac:dyDescent="0.3">
      <c r="A78" s="134">
        <v>31</v>
      </c>
      <c r="B78" s="35" t="s">
        <v>428</v>
      </c>
      <c r="C78" s="14">
        <v>7074373</v>
      </c>
      <c r="D78" s="14" t="s">
        <v>95</v>
      </c>
      <c r="E78" s="15" t="s">
        <v>74</v>
      </c>
      <c r="F78" s="167">
        <v>1</v>
      </c>
      <c r="G78" s="25">
        <v>0</v>
      </c>
      <c r="H78" s="9">
        <v>0</v>
      </c>
      <c r="I78" s="26">
        <v>0</v>
      </c>
      <c r="J78" s="30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158">
        <v>0</v>
      </c>
      <c r="Q78" s="158">
        <v>0</v>
      </c>
      <c r="R78" s="158">
        <v>0</v>
      </c>
      <c r="S78" s="158">
        <v>0</v>
      </c>
      <c r="T78" s="158">
        <v>0</v>
      </c>
      <c r="U78" s="158">
        <v>0</v>
      </c>
      <c r="V78" s="29">
        <v>0</v>
      </c>
      <c r="W78" s="29">
        <v>0</v>
      </c>
      <c r="X78" s="159">
        <v>0</v>
      </c>
      <c r="Y78" s="15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159">
        <v>1</v>
      </c>
      <c r="AF78" s="159">
        <v>1</v>
      </c>
      <c r="AG78" s="160">
        <v>1</v>
      </c>
      <c r="AH78" s="160">
        <v>0</v>
      </c>
      <c r="AI78" s="160">
        <v>0</v>
      </c>
      <c r="AJ78" s="160">
        <v>0</v>
      </c>
      <c r="AK78" s="29">
        <v>1</v>
      </c>
      <c r="AL78" s="29">
        <v>1</v>
      </c>
      <c r="AM78" s="29">
        <v>0</v>
      </c>
      <c r="AN78" s="29">
        <v>1</v>
      </c>
      <c r="AO78" s="29">
        <v>1</v>
      </c>
      <c r="AP78" s="160">
        <v>1</v>
      </c>
      <c r="AQ78" s="161">
        <v>0</v>
      </c>
      <c r="AR78" s="161">
        <v>0</v>
      </c>
      <c r="AS78" s="161">
        <v>0</v>
      </c>
      <c r="AT78" s="161">
        <v>0</v>
      </c>
      <c r="AU78" s="161">
        <v>0</v>
      </c>
      <c r="AV78" s="161">
        <v>0</v>
      </c>
      <c r="AW78" s="161">
        <v>0</v>
      </c>
      <c r="AX78" s="162">
        <v>0</v>
      </c>
      <c r="AY78" s="162">
        <v>0</v>
      </c>
      <c r="AZ78" s="162">
        <v>0</v>
      </c>
      <c r="BA78" s="162">
        <v>0</v>
      </c>
      <c r="BB78" s="32"/>
      <c r="BC78" s="63"/>
      <c r="BD78" s="63">
        <f t="shared" si="18"/>
        <v>0</v>
      </c>
      <c r="BE78" s="63"/>
      <c r="BF78" s="32"/>
      <c r="BG78" s="32"/>
      <c r="BH78" s="63"/>
      <c r="BI78" s="64">
        <f t="shared" si="19"/>
        <v>0</v>
      </c>
      <c r="BJ78" s="63"/>
      <c r="BK78" s="32"/>
      <c r="BL78" s="32"/>
      <c r="BM78" s="33"/>
      <c r="BN78" s="33">
        <f t="shared" si="20"/>
        <v>0</v>
      </c>
      <c r="BO78" s="33"/>
      <c r="BP78" s="32"/>
      <c r="BQ78" s="32"/>
      <c r="BR78" s="33"/>
      <c r="BS78" s="33">
        <f t="shared" si="21"/>
        <v>0</v>
      </c>
      <c r="BT78" s="33"/>
      <c r="BU78" s="32"/>
      <c r="BV78" s="32"/>
      <c r="BW78" s="63"/>
      <c r="BX78" s="63">
        <f t="shared" si="22"/>
        <v>0</v>
      </c>
      <c r="BY78" s="63"/>
      <c r="BZ78" s="32"/>
      <c r="CA78" s="32"/>
      <c r="CB78" s="33"/>
      <c r="CC78" s="33">
        <f t="shared" si="23"/>
        <v>0</v>
      </c>
      <c r="CD78" s="33"/>
      <c r="CE78" s="32"/>
      <c r="CF78" s="33"/>
      <c r="CG78" s="33">
        <f t="shared" si="24"/>
        <v>0</v>
      </c>
      <c r="CH78" s="33"/>
      <c r="CI78" s="32"/>
      <c r="CJ78" s="33"/>
      <c r="CK78" s="33">
        <f t="shared" si="25"/>
        <v>0</v>
      </c>
      <c r="CL78" s="33"/>
      <c r="CM78" s="32"/>
      <c r="CN78" s="23"/>
      <c r="CO78" s="5">
        <f t="shared" si="26"/>
        <v>0</v>
      </c>
      <c r="CP78" s="10"/>
      <c r="CQ78" s="6"/>
      <c r="CR78" s="31"/>
      <c r="CS78" s="124"/>
      <c r="CT78" s="124"/>
      <c r="CU78" s="31"/>
      <c r="CV78" s="124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</row>
    <row r="79" spans="1:126" s="7" customFormat="1" ht="15" customHeight="1" x14ac:dyDescent="0.3">
      <c r="A79" s="134">
        <v>14</v>
      </c>
      <c r="B79" s="34" t="s">
        <v>49</v>
      </c>
      <c r="C79" s="16">
        <v>7051769</v>
      </c>
      <c r="D79" s="14" t="s">
        <v>96</v>
      </c>
      <c r="E79" s="15" t="s">
        <v>97</v>
      </c>
      <c r="F79" s="167">
        <v>1</v>
      </c>
      <c r="G79" s="25">
        <v>0</v>
      </c>
      <c r="H79" s="9">
        <v>0</v>
      </c>
      <c r="I79" s="26">
        <v>0</v>
      </c>
      <c r="J79" s="30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158">
        <v>0</v>
      </c>
      <c r="Q79" s="158">
        <v>0</v>
      </c>
      <c r="R79" s="158">
        <v>0</v>
      </c>
      <c r="S79" s="158">
        <v>0</v>
      </c>
      <c r="T79" s="158">
        <v>0</v>
      </c>
      <c r="U79" s="158">
        <v>0</v>
      </c>
      <c r="V79" s="29">
        <v>0</v>
      </c>
      <c r="W79" s="29">
        <v>0</v>
      </c>
      <c r="X79" s="159">
        <v>0</v>
      </c>
      <c r="Y79" s="159">
        <v>0</v>
      </c>
      <c r="Z79" s="29">
        <v>0</v>
      </c>
      <c r="AA79" s="29">
        <v>0</v>
      </c>
      <c r="AB79" s="29">
        <v>0</v>
      </c>
      <c r="AC79" s="29">
        <v>0</v>
      </c>
      <c r="AD79" s="29">
        <v>0</v>
      </c>
      <c r="AE79" s="159">
        <v>0</v>
      </c>
      <c r="AF79" s="159">
        <v>0</v>
      </c>
      <c r="AG79" s="160">
        <v>0</v>
      </c>
      <c r="AH79" s="160">
        <v>0</v>
      </c>
      <c r="AI79" s="160">
        <v>0</v>
      </c>
      <c r="AJ79" s="160">
        <v>0</v>
      </c>
      <c r="AK79" s="29">
        <v>0</v>
      </c>
      <c r="AL79" s="29">
        <v>0</v>
      </c>
      <c r="AM79" s="29">
        <v>0</v>
      </c>
      <c r="AN79" s="29">
        <v>0</v>
      </c>
      <c r="AO79" s="29">
        <v>0</v>
      </c>
      <c r="AP79" s="160">
        <v>0</v>
      </c>
      <c r="AQ79" s="161">
        <v>0</v>
      </c>
      <c r="AR79" s="161">
        <v>0</v>
      </c>
      <c r="AS79" s="161">
        <v>0</v>
      </c>
      <c r="AT79" s="161">
        <v>0</v>
      </c>
      <c r="AU79" s="161">
        <v>0</v>
      </c>
      <c r="AV79" s="161">
        <v>0</v>
      </c>
      <c r="AW79" s="161">
        <v>0</v>
      </c>
      <c r="AX79" s="162">
        <v>0</v>
      </c>
      <c r="AY79" s="162">
        <v>0</v>
      </c>
      <c r="AZ79" s="162">
        <v>0</v>
      </c>
      <c r="BA79" s="162">
        <v>0</v>
      </c>
      <c r="BB79" s="32"/>
      <c r="BC79" s="63"/>
      <c r="BD79" s="63">
        <f t="shared" si="18"/>
        <v>0</v>
      </c>
      <c r="BE79" s="63"/>
      <c r="BF79" s="32"/>
      <c r="BG79" s="32"/>
      <c r="BH79" s="63"/>
      <c r="BI79" s="64">
        <f t="shared" si="19"/>
        <v>0</v>
      </c>
      <c r="BJ79" s="63"/>
      <c r="BK79" s="32"/>
      <c r="BL79" s="32"/>
      <c r="BM79" s="33"/>
      <c r="BN79" s="33">
        <f t="shared" si="20"/>
        <v>0</v>
      </c>
      <c r="BO79" s="33"/>
      <c r="BP79" s="32"/>
      <c r="BQ79" s="32"/>
      <c r="BR79" s="33"/>
      <c r="BS79" s="33">
        <f t="shared" si="21"/>
        <v>0</v>
      </c>
      <c r="BT79" s="33"/>
      <c r="BU79" s="32"/>
      <c r="BV79" s="32"/>
      <c r="BW79" s="63"/>
      <c r="BX79" s="63">
        <f t="shared" si="22"/>
        <v>0</v>
      </c>
      <c r="BY79" s="63"/>
      <c r="BZ79" s="32"/>
      <c r="CA79" s="32"/>
      <c r="CB79" s="33"/>
      <c r="CC79" s="33">
        <f t="shared" si="23"/>
        <v>0</v>
      </c>
      <c r="CD79" s="33"/>
      <c r="CE79" s="32"/>
      <c r="CF79" s="33"/>
      <c r="CG79" s="33">
        <f t="shared" si="24"/>
        <v>0</v>
      </c>
      <c r="CH79" s="33"/>
      <c r="CI79" s="32"/>
      <c r="CJ79" s="33"/>
      <c r="CK79" s="33">
        <f t="shared" si="25"/>
        <v>0</v>
      </c>
      <c r="CL79" s="33"/>
      <c r="CM79" s="32"/>
      <c r="CN79" s="23"/>
      <c r="CO79" s="5">
        <f t="shared" si="26"/>
        <v>0</v>
      </c>
      <c r="CP79" s="10"/>
      <c r="CQ79" s="6"/>
      <c r="CR79" s="31"/>
      <c r="CS79" s="124"/>
      <c r="CT79" s="124"/>
      <c r="CU79" s="31"/>
      <c r="CV79" s="124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</row>
    <row r="80" spans="1:126" s="7" customFormat="1" ht="15" customHeight="1" x14ac:dyDescent="0.3">
      <c r="A80" s="134">
        <v>83</v>
      </c>
      <c r="B80" s="34" t="s">
        <v>397</v>
      </c>
      <c r="C80" s="14">
        <v>7095156</v>
      </c>
      <c r="D80" s="14" t="s">
        <v>98</v>
      </c>
      <c r="E80" s="14" t="s">
        <v>353</v>
      </c>
      <c r="F80" s="167">
        <v>1</v>
      </c>
      <c r="G80" s="25">
        <v>0</v>
      </c>
      <c r="H80" s="9">
        <v>0</v>
      </c>
      <c r="I80" s="26">
        <v>0</v>
      </c>
      <c r="J80" s="30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158">
        <v>0</v>
      </c>
      <c r="Q80" s="158">
        <v>0</v>
      </c>
      <c r="R80" s="158">
        <v>0</v>
      </c>
      <c r="S80" s="158">
        <v>0</v>
      </c>
      <c r="T80" s="158">
        <v>0</v>
      </c>
      <c r="U80" s="158">
        <v>0</v>
      </c>
      <c r="V80" s="29">
        <v>0</v>
      </c>
      <c r="W80" s="29">
        <v>0</v>
      </c>
      <c r="X80" s="159">
        <v>0</v>
      </c>
      <c r="Y80" s="15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159">
        <v>1</v>
      </c>
      <c r="AF80" s="159">
        <v>1</v>
      </c>
      <c r="AG80" s="160">
        <v>0</v>
      </c>
      <c r="AH80" s="160">
        <v>0</v>
      </c>
      <c r="AI80" s="160">
        <v>0</v>
      </c>
      <c r="AJ80" s="160">
        <v>0</v>
      </c>
      <c r="AK80" s="29">
        <v>0</v>
      </c>
      <c r="AL80" s="29">
        <v>0</v>
      </c>
      <c r="AM80" s="29">
        <v>0</v>
      </c>
      <c r="AN80" s="29">
        <v>1</v>
      </c>
      <c r="AO80" s="29">
        <v>1</v>
      </c>
      <c r="AP80" s="160">
        <v>0</v>
      </c>
      <c r="AQ80" s="161">
        <v>0</v>
      </c>
      <c r="AR80" s="161">
        <v>0</v>
      </c>
      <c r="AS80" s="161">
        <v>1</v>
      </c>
      <c r="AT80" s="161">
        <v>1</v>
      </c>
      <c r="AU80" s="161">
        <v>1</v>
      </c>
      <c r="AV80" s="161">
        <v>1</v>
      </c>
      <c r="AW80" s="161">
        <v>0</v>
      </c>
      <c r="AX80" s="162">
        <v>0</v>
      </c>
      <c r="AY80" s="162">
        <v>0</v>
      </c>
      <c r="AZ80" s="162">
        <v>0</v>
      </c>
      <c r="BA80" s="162">
        <v>0</v>
      </c>
      <c r="BB80" s="32"/>
      <c r="BC80" s="63"/>
      <c r="BD80" s="63">
        <f t="shared" si="18"/>
        <v>0</v>
      </c>
      <c r="BE80" s="63"/>
      <c r="BF80" s="32"/>
      <c r="BG80" s="32"/>
      <c r="BH80" s="63"/>
      <c r="BI80" s="64">
        <f t="shared" si="19"/>
        <v>0</v>
      </c>
      <c r="BJ80" s="63"/>
      <c r="BK80" s="32"/>
      <c r="BL80" s="32"/>
      <c r="BM80" s="33"/>
      <c r="BN80" s="33">
        <f t="shared" si="20"/>
        <v>0</v>
      </c>
      <c r="BO80" s="33"/>
      <c r="BP80" s="32"/>
      <c r="BQ80" s="32"/>
      <c r="BR80" s="33"/>
      <c r="BS80" s="33">
        <f t="shared" si="21"/>
        <v>0</v>
      </c>
      <c r="BT80" s="33"/>
      <c r="BU80" s="32"/>
      <c r="BV80" s="32"/>
      <c r="BW80" s="63"/>
      <c r="BX80" s="63">
        <f t="shared" si="22"/>
        <v>0</v>
      </c>
      <c r="BY80" s="63"/>
      <c r="BZ80" s="32"/>
      <c r="CA80" s="32"/>
      <c r="CB80" s="33"/>
      <c r="CC80" s="33">
        <f t="shared" si="23"/>
        <v>0</v>
      </c>
      <c r="CD80" s="33"/>
      <c r="CE80" s="32"/>
      <c r="CF80" s="33"/>
      <c r="CG80" s="33">
        <f t="shared" si="24"/>
        <v>0</v>
      </c>
      <c r="CH80" s="33"/>
      <c r="CI80" s="32"/>
      <c r="CJ80" s="33"/>
      <c r="CK80" s="33">
        <f t="shared" si="25"/>
        <v>0</v>
      </c>
      <c r="CL80" s="33"/>
      <c r="CM80" s="32"/>
      <c r="CN80" s="23"/>
      <c r="CO80" s="5">
        <f t="shared" si="26"/>
        <v>0</v>
      </c>
      <c r="CP80" s="10"/>
      <c r="CQ80" s="6"/>
      <c r="CR80" s="31"/>
      <c r="CS80" s="124"/>
      <c r="CT80" s="124"/>
      <c r="CU80" s="31"/>
      <c r="CV80" s="124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</row>
    <row r="81" spans="1:126" s="7" customFormat="1" ht="15" customHeight="1" x14ac:dyDescent="0.3">
      <c r="A81" s="134">
        <v>98</v>
      </c>
      <c r="B81" s="35" t="s">
        <v>397</v>
      </c>
      <c r="C81" s="14">
        <v>7400330</v>
      </c>
      <c r="D81" s="14" t="s">
        <v>98</v>
      </c>
      <c r="E81" s="14" t="s">
        <v>382</v>
      </c>
      <c r="F81" s="167">
        <v>1</v>
      </c>
      <c r="G81" s="25">
        <v>0</v>
      </c>
      <c r="H81" s="9">
        <v>0</v>
      </c>
      <c r="I81" s="26">
        <v>0</v>
      </c>
      <c r="J81" s="30">
        <v>0</v>
      </c>
      <c r="K81" s="29">
        <v>1</v>
      </c>
      <c r="L81" s="29">
        <v>0</v>
      </c>
      <c r="M81" s="29">
        <v>0</v>
      </c>
      <c r="N81" s="29">
        <v>1</v>
      </c>
      <c r="O81" s="29">
        <v>1</v>
      </c>
      <c r="P81" s="158">
        <v>1</v>
      </c>
      <c r="Q81" s="158">
        <v>1</v>
      </c>
      <c r="R81" s="158">
        <v>1</v>
      </c>
      <c r="S81" s="158">
        <v>1</v>
      </c>
      <c r="T81" s="158">
        <v>0</v>
      </c>
      <c r="U81" s="158">
        <v>0</v>
      </c>
      <c r="V81" s="29">
        <v>1</v>
      </c>
      <c r="W81" s="29">
        <v>1</v>
      </c>
      <c r="X81" s="159">
        <v>0</v>
      </c>
      <c r="Y81" s="159">
        <v>1</v>
      </c>
      <c r="Z81" s="29">
        <v>0</v>
      </c>
      <c r="AA81" s="29">
        <v>0</v>
      </c>
      <c r="AB81" s="29">
        <v>0</v>
      </c>
      <c r="AC81" s="29">
        <v>0</v>
      </c>
      <c r="AD81" s="29">
        <v>0</v>
      </c>
      <c r="AE81" s="159">
        <v>1</v>
      </c>
      <c r="AF81" s="159">
        <v>1</v>
      </c>
      <c r="AG81" s="160">
        <v>0</v>
      </c>
      <c r="AH81" s="160">
        <v>0</v>
      </c>
      <c r="AI81" s="160">
        <v>0</v>
      </c>
      <c r="AJ81" s="160">
        <v>0</v>
      </c>
      <c r="AK81" s="29">
        <v>0</v>
      </c>
      <c r="AL81" s="29">
        <v>0</v>
      </c>
      <c r="AM81" s="29">
        <v>0</v>
      </c>
      <c r="AN81" s="29">
        <v>0</v>
      </c>
      <c r="AO81" s="29">
        <v>0</v>
      </c>
      <c r="AP81" s="160">
        <v>0</v>
      </c>
      <c r="AQ81" s="161">
        <v>0</v>
      </c>
      <c r="AR81" s="161">
        <v>0</v>
      </c>
      <c r="AS81" s="161">
        <v>0</v>
      </c>
      <c r="AT81" s="161">
        <v>0</v>
      </c>
      <c r="AU81" s="161">
        <v>0</v>
      </c>
      <c r="AV81" s="161">
        <v>0</v>
      </c>
      <c r="AW81" s="161">
        <v>0</v>
      </c>
      <c r="AX81" s="162">
        <v>0</v>
      </c>
      <c r="AY81" s="162">
        <v>0</v>
      </c>
      <c r="AZ81" s="162">
        <v>0</v>
      </c>
      <c r="BA81" s="162">
        <v>1</v>
      </c>
      <c r="BB81" s="32"/>
      <c r="BC81" s="63"/>
      <c r="BD81" s="63">
        <f t="shared" si="18"/>
        <v>0</v>
      </c>
      <c r="BE81" s="63"/>
      <c r="BF81" s="32"/>
      <c r="BG81" s="32"/>
      <c r="BH81" s="63"/>
      <c r="BI81" s="64">
        <f t="shared" si="19"/>
        <v>0</v>
      </c>
      <c r="BJ81" s="63"/>
      <c r="BK81" s="32"/>
      <c r="BL81" s="32"/>
      <c r="BM81" s="33"/>
      <c r="BN81" s="33">
        <f t="shared" si="20"/>
        <v>0</v>
      </c>
      <c r="BO81" s="33"/>
      <c r="BP81" s="32"/>
      <c r="BQ81" s="32"/>
      <c r="BR81" s="33"/>
      <c r="BS81" s="33">
        <f t="shared" si="21"/>
        <v>0</v>
      </c>
      <c r="BT81" s="33"/>
      <c r="BU81" s="32"/>
      <c r="BV81" s="32"/>
      <c r="BW81" s="63"/>
      <c r="BX81" s="63">
        <f t="shared" si="22"/>
        <v>0</v>
      </c>
      <c r="BY81" s="63"/>
      <c r="BZ81" s="32"/>
      <c r="CA81" s="32"/>
      <c r="CB81" s="33"/>
      <c r="CC81" s="33">
        <f t="shared" si="23"/>
        <v>0</v>
      </c>
      <c r="CD81" s="33"/>
      <c r="CE81" s="32"/>
      <c r="CF81" s="33"/>
      <c r="CG81" s="33">
        <f t="shared" si="24"/>
        <v>0</v>
      </c>
      <c r="CH81" s="33"/>
      <c r="CI81" s="32"/>
      <c r="CJ81" s="33"/>
      <c r="CK81" s="33">
        <f t="shared" si="25"/>
        <v>0</v>
      </c>
      <c r="CL81" s="33"/>
      <c r="CM81" s="32"/>
      <c r="CN81" s="23"/>
      <c r="CO81" s="5">
        <f t="shared" si="26"/>
        <v>0</v>
      </c>
      <c r="CP81" s="10"/>
      <c r="CQ81" s="6"/>
      <c r="CR81" s="31"/>
      <c r="CS81" s="124"/>
      <c r="CT81" s="124"/>
      <c r="CU81" s="31"/>
      <c r="CV81" s="124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</row>
    <row r="82" spans="1:126" s="31" customFormat="1" ht="15" customHeight="1" x14ac:dyDescent="0.3">
      <c r="A82" s="134">
        <v>75</v>
      </c>
      <c r="B82" s="123" t="s">
        <v>423</v>
      </c>
      <c r="C82" s="14">
        <v>7095158</v>
      </c>
      <c r="D82" s="14" t="s">
        <v>197</v>
      </c>
      <c r="E82" s="14" t="s">
        <v>198</v>
      </c>
      <c r="F82" s="167">
        <v>1</v>
      </c>
      <c r="G82" s="25">
        <v>0</v>
      </c>
      <c r="H82" s="9">
        <v>0</v>
      </c>
      <c r="I82" s="26">
        <v>0</v>
      </c>
      <c r="J82" s="30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158">
        <v>0</v>
      </c>
      <c r="Q82" s="158">
        <v>1</v>
      </c>
      <c r="R82" s="158">
        <v>0</v>
      </c>
      <c r="S82" s="158">
        <v>0</v>
      </c>
      <c r="T82" s="158">
        <v>0</v>
      </c>
      <c r="U82" s="158">
        <v>0</v>
      </c>
      <c r="V82" s="29">
        <v>0</v>
      </c>
      <c r="W82" s="29">
        <v>0</v>
      </c>
      <c r="X82" s="159">
        <v>0</v>
      </c>
      <c r="Y82" s="15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159">
        <v>1</v>
      </c>
      <c r="AF82" s="159">
        <v>1</v>
      </c>
      <c r="AG82" s="160">
        <v>0</v>
      </c>
      <c r="AH82" s="160">
        <v>0</v>
      </c>
      <c r="AI82" s="160">
        <v>0</v>
      </c>
      <c r="AJ82" s="160">
        <v>0</v>
      </c>
      <c r="AK82" s="29">
        <v>0</v>
      </c>
      <c r="AL82" s="29">
        <v>0</v>
      </c>
      <c r="AM82" s="29">
        <v>0</v>
      </c>
      <c r="AN82" s="29">
        <v>1</v>
      </c>
      <c r="AO82" s="29">
        <v>1</v>
      </c>
      <c r="AP82" s="160">
        <v>0</v>
      </c>
      <c r="AQ82" s="161">
        <v>0</v>
      </c>
      <c r="AR82" s="161">
        <v>0</v>
      </c>
      <c r="AS82" s="161">
        <v>0</v>
      </c>
      <c r="AT82" s="161">
        <v>0</v>
      </c>
      <c r="AU82" s="161">
        <v>0</v>
      </c>
      <c r="AV82" s="161">
        <v>0</v>
      </c>
      <c r="AW82" s="161">
        <v>0</v>
      </c>
      <c r="AX82" s="162">
        <v>0</v>
      </c>
      <c r="AY82" s="162">
        <v>0</v>
      </c>
      <c r="AZ82" s="162">
        <v>0</v>
      </c>
      <c r="BA82" s="162">
        <v>0</v>
      </c>
      <c r="BB82" s="32"/>
      <c r="BC82" s="63"/>
      <c r="BD82" s="63">
        <f t="shared" si="18"/>
        <v>0</v>
      </c>
      <c r="BE82" s="63"/>
      <c r="BF82" s="32"/>
      <c r="BG82" s="32"/>
      <c r="BH82" s="63"/>
      <c r="BI82" s="64">
        <f t="shared" si="19"/>
        <v>0</v>
      </c>
      <c r="BJ82" s="63"/>
      <c r="BK82" s="32"/>
      <c r="BL82" s="32"/>
      <c r="BM82" s="33"/>
      <c r="BN82" s="33">
        <f t="shared" si="20"/>
        <v>0</v>
      </c>
      <c r="BO82" s="33"/>
      <c r="BP82" s="32"/>
      <c r="BQ82" s="32"/>
      <c r="BR82" s="33"/>
      <c r="BS82" s="33">
        <f t="shared" si="21"/>
        <v>0</v>
      </c>
      <c r="BT82" s="33"/>
      <c r="BU82" s="32"/>
      <c r="BV82" s="32"/>
      <c r="BW82" s="63"/>
      <c r="BX82" s="63">
        <f t="shared" si="22"/>
        <v>0</v>
      </c>
      <c r="BY82" s="63"/>
      <c r="BZ82" s="32"/>
      <c r="CA82" s="32"/>
      <c r="CB82" s="33"/>
      <c r="CC82" s="33">
        <f t="shared" si="23"/>
        <v>0</v>
      </c>
      <c r="CD82" s="33"/>
      <c r="CE82" s="32"/>
      <c r="CF82" s="33"/>
      <c r="CG82" s="33">
        <f t="shared" si="24"/>
        <v>0</v>
      </c>
      <c r="CH82" s="33"/>
      <c r="CI82" s="32"/>
      <c r="CJ82" s="33"/>
      <c r="CK82" s="33">
        <f t="shared" si="25"/>
        <v>0</v>
      </c>
      <c r="CL82" s="33"/>
      <c r="CM82" s="32"/>
      <c r="CN82" s="23"/>
      <c r="CO82" s="5">
        <f t="shared" si="26"/>
        <v>0</v>
      </c>
      <c r="CP82" s="10"/>
      <c r="CQ82" s="6"/>
      <c r="CS82" s="124"/>
      <c r="CT82" s="124"/>
      <c r="CV82" s="124"/>
    </row>
    <row r="83" spans="1:126" ht="15" customHeight="1" x14ac:dyDescent="0.3">
      <c r="A83" s="134">
        <v>115</v>
      </c>
      <c r="B83" s="35" t="s">
        <v>42</v>
      </c>
      <c r="C83" s="14">
        <v>7400269</v>
      </c>
      <c r="D83" s="14" t="s">
        <v>426</v>
      </c>
      <c r="E83" s="14" t="s">
        <v>427</v>
      </c>
      <c r="F83" s="167">
        <v>1</v>
      </c>
      <c r="G83" s="25">
        <v>0</v>
      </c>
      <c r="H83" s="9">
        <v>0</v>
      </c>
      <c r="I83" s="26">
        <v>0</v>
      </c>
      <c r="J83" s="30">
        <v>0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158">
        <v>0</v>
      </c>
      <c r="Q83" s="158">
        <v>0</v>
      </c>
      <c r="R83" s="158">
        <v>0</v>
      </c>
      <c r="S83" s="158">
        <v>0</v>
      </c>
      <c r="T83" s="158">
        <v>0</v>
      </c>
      <c r="U83" s="158">
        <v>1</v>
      </c>
      <c r="V83" s="29">
        <v>0</v>
      </c>
      <c r="W83" s="29">
        <v>0</v>
      </c>
      <c r="X83" s="159">
        <v>0</v>
      </c>
      <c r="Y83" s="159">
        <v>0</v>
      </c>
      <c r="Z83" s="29">
        <v>0</v>
      </c>
      <c r="AA83" s="29">
        <v>0</v>
      </c>
      <c r="AB83" s="29">
        <v>0</v>
      </c>
      <c r="AC83" s="29">
        <v>1</v>
      </c>
      <c r="AD83" s="29">
        <v>0</v>
      </c>
      <c r="AE83" s="159">
        <v>0</v>
      </c>
      <c r="AF83" s="159">
        <v>1</v>
      </c>
      <c r="AG83" s="160">
        <v>0</v>
      </c>
      <c r="AH83" s="160">
        <v>0</v>
      </c>
      <c r="AI83" s="160">
        <v>0</v>
      </c>
      <c r="AJ83" s="160">
        <v>0</v>
      </c>
      <c r="AK83" s="29">
        <v>0</v>
      </c>
      <c r="AL83" s="29">
        <v>0</v>
      </c>
      <c r="AM83" s="29">
        <v>0</v>
      </c>
      <c r="AN83" s="29">
        <v>0</v>
      </c>
      <c r="AO83" s="29">
        <v>0</v>
      </c>
      <c r="AP83" s="160">
        <v>0</v>
      </c>
      <c r="AQ83" s="161">
        <v>0</v>
      </c>
      <c r="AR83" s="161">
        <v>0</v>
      </c>
      <c r="AS83" s="161">
        <v>0</v>
      </c>
      <c r="AT83" s="161">
        <v>0</v>
      </c>
      <c r="AU83" s="161">
        <v>0</v>
      </c>
      <c r="AV83" s="161">
        <v>0</v>
      </c>
      <c r="AW83" s="161">
        <v>0</v>
      </c>
      <c r="AX83" s="162">
        <v>0</v>
      </c>
      <c r="AY83" s="162">
        <v>0</v>
      </c>
      <c r="AZ83" s="162">
        <v>0</v>
      </c>
      <c r="BA83" s="162">
        <v>1</v>
      </c>
      <c r="BB83" s="32"/>
      <c r="BC83" s="63"/>
      <c r="BD83" s="63">
        <f t="shared" si="18"/>
        <v>0</v>
      </c>
      <c r="BE83" s="63"/>
      <c r="BF83" s="32"/>
      <c r="BG83" s="32"/>
      <c r="BH83" s="63"/>
      <c r="BI83" s="64">
        <f t="shared" si="19"/>
        <v>0</v>
      </c>
      <c r="BJ83" s="63"/>
      <c r="BK83" s="32"/>
      <c r="BL83" s="32"/>
      <c r="BM83" s="33"/>
      <c r="BN83" s="33">
        <f t="shared" si="20"/>
        <v>0</v>
      </c>
      <c r="BO83" s="33"/>
      <c r="BP83" s="32"/>
      <c r="BQ83" s="32"/>
      <c r="BR83" s="33"/>
      <c r="BS83" s="33">
        <f t="shared" si="21"/>
        <v>0</v>
      </c>
      <c r="BT83" s="33"/>
      <c r="BU83" s="32"/>
      <c r="BV83" s="32"/>
      <c r="BW83" s="63"/>
      <c r="BX83" s="63">
        <f t="shared" si="22"/>
        <v>0</v>
      </c>
      <c r="BY83" s="63"/>
      <c r="BZ83" s="32"/>
      <c r="CA83" s="32"/>
      <c r="CB83" s="33"/>
      <c r="CC83" s="33">
        <f t="shared" si="23"/>
        <v>0</v>
      </c>
      <c r="CD83" s="33"/>
      <c r="CE83" s="32"/>
      <c r="CF83" s="33"/>
      <c r="CG83" s="33">
        <f t="shared" si="24"/>
        <v>0</v>
      </c>
      <c r="CH83" s="33"/>
      <c r="CI83" s="32"/>
      <c r="CJ83" s="33"/>
      <c r="CK83" s="33">
        <f t="shared" si="25"/>
        <v>0</v>
      </c>
      <c r="CL83" s="33"/>
      <c r="CM83" s="32"/>
      <c r="CN83" s="23"/>
      <c r="CO83" s="5">
        <f t="shared" si="26"/>
        <v>0</v>
      </c>
      <c r="CP83" s="10"/>
      <c r="CQ83" s="6"/>
      <c r="CR83" s="31"/>
      <c r="CS83" s="124"/>
      <c r="CT83" s="124"/>
      <c r="CU83" s="31"/>
      <c r="CV83" s="124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</row>
    <row r="84" spans="1:126" ht="15" customHeight="1" x14ac:dyDescent="0.3">
      <c r="A84" s="134">
        <v>99</v>
      </c>
      <c r="B84" s="123" t="s">
        <v>43</v>
      </c>
      <c r="C84" s="100">
        <v>7401131</v>
      </c>
      <c r="D84" s="14" t="s">
        <v>383</v>
      </c>
      <c r="E84" s="15" t="s">
        <v>384</v>
      </c>
      <c r="F84" s="167">
        <v>1</v>
      </c>
      <c r="G84" s="25">
        <v>0</v>
      </c>
      <c r="H84" s="9">
        <v>0</v>
      </c>
      <c r="I84" s="26">
        <v>0</v>
      </c>
      <c r="J84" s="30">
        <v>0</v>
      </c>
      <c r="K84" s="29">
        <v>1</v>
      </c>
      <c r="L84" s="29">
        <v>0</v>
      </c>
      <c r="M84" s="29">
        <v>0</v>
      </c>
      <c r="N84" s="29">
        <v>0</v>
      </c>
      <c r="O84" s="29">
        <v>0</v>
      </c>
      <c r="P84" s="158">
        <v>0</v>
      </c>
      <c r="Q84" s="158">
        <v>0</v>
      </c>
      <c r="R84" s="158">
        <v>0</v>
      </c>
      <c r="S84" s="158">
        <v>0</v>
      </c>
      <c r="T84" s="158">
        <v>0</v>
      </c>
      <c r="U84" s="158">
        <v>0</v>
      </c>
      <c r="V84" s="29">
        <v>0</v>
      </c>
      <c r="W84" s="29">
        <v>0</v>
      </c>
      <c r="X84" s="159">
        <v>0</v>
      </c>
      <c r="Y84" s="159">
        <v>0</v>
      </c>
      <c r="Z84" s="29">
        <v>0</v>
      </c>
      <c r="AA84" s="29">
        <v>0</v>
      </c>
      <c r="AB84" s="29">
        <v>1</v>
      </c>
      <c r="AC84" s="29">
        <v>0</v>
      </c>
      <c r="AD84" s="29">
        <v>1</v>
      </c>
      <c r="AE84" s="159">
        <v>1</v>
      </c>
      <c r="AF84" s="159">
        <v>1</v>
      </c>
      <c r="AG84" s="160">
        <v>0</v>
      </c>
      <c r="AH84" s="160">
        <v>0</v>
      </c>
      <c r="AI84" s="160">
        <v>0</v>
      </c>
      <c r="AJ84" s="160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160">
        <v>0</v>
      </c>
      <c r="AQ84" s="161">
        <v>0</v>
      </c>
      <c r="AR84" s="161">
        <v>0</v>
      </c>
      <c r="AS84" s="161">
        <v>0</v>
      </c>
      <c r="AT84" s="161">
        <v>0</v>
      </c>
      <c r="AU84" s="161">
        <v>0</v>
      </c>
      <c r="AV84" s="161">
        <v>0</v>
      </c>
      <c r="AW84" s="161">
        <v>0</v>
      </c>
      <c r="AX84" s="162">
        <v>0</v>
      </c>
      <c r="AY84" s="162">
        <v>1</v>
      </c>
      <c r="AZ84" s="162">
        <v>1</v>
      </c>
      <c r="BA84" s="162">
        <v>1</v>
      </c>
      <c r="BB84" s="32"/>
      <c r="BC84" s="63"/>
      <c r="BD84" s="63">
        <f t="shared" si="18"/>
        <v>0</v>
      </c>
      <c r="BE84" s="63"/>
      <c r="BF84" s="32"/>
      <c r="BG84" s="32"/>
      <c r="BH84" s="63"/>
      <c r="BI84" s="64">
        <f t="shared" si="19"/>
        <v>0</v>
      </c>
      <c r="BJ84" s="63"/>
      <c r="BK84" s="32"/>
      <c r="BL84" s="32"/>
      <c r="BM84" s="33"/>
      <c r="BN84" s="33">
        <f t="shared" si="20"/>
        <v>0</v>
      </c>
      <c r="BO84" s="33"/>
      <c r="BP84" s="32"/>
      <c r="BQ84" s="32"/>
      <c r="BR84" s="33"/>
      <c r="BS84" s="33">
        <f t="shared" si="21"/>
        <v>0</v>
      </c>
      <c r="BT84" s="33"/>
      <c r="BU84" s="32"/>
      <c r="BV84" s="32"/>
      <c r="BW84" s="63"/>
      <c r="BX84" s="63">
        <f t="shared" si="22"/>
        <v>0</v>
      </c>
      <c r="BY84" s="63"/>
      <c r="BZ84" s="32"/>
      <c r="CA84" s="32"/>
      <c r="CB84" s="33"/>
      <c r="CC84" s="33">
        <f t="shared" si="23"/>
        <v>0</v>
      </c>
      <c r="CD84" s="33"/>
      <c r="CE84" s="32"/>
      <c r="CF84" s="33"/>
      <c r="CG84" s="33">
        <f t="shared" si="24"/>
        <v>0</v>
      </c>
      <c r="CH84" s="33"/>
      <c r="CI84" s="32"/>
      <c r="CJ84" s="33"/>
      <c r="CK84" s="33">
        <f t="shared" si="25"/>
        <v>0</v>
      </c>
      <c r="CL84" s="33"/>
      <c r="CM84" s="32"/>
      <c r="CN84" s="23"/>
      <c r="CO84" s="5">
        <f t="shared" si="26"/>
        <v>0</v>
      </c>
      <c r="CP84" s="10"/>
      <c r="CQ84" s="6"/>
      <c r="CR84" s="31"/>
      <c r="CS84" s="124"/>
      <c r="CT84" s="124"/>
      <c r="CU84" s="31"/>
      <c r="CV84" s="124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</row>
    <row r="85" spans="1:126" ht="15" customHeight="1" x14ac:dyDescent="0.3">
      <c r="A85" s="43">
        <v>269</v>
      </c>
      <c r="B85" s="38" t="s">
        <v>521</v>
      </c>
      <c r="C85" s="36">
        <v>7403380</v>
      </c>
      <c r="D85" s="36" t="s">
        <v>505</v>
      </c>
      <c r="E85" s="137" t="s">
        <v>506</v>
      </c>
      <c r="F85" s="167">
        <v>1</v>
      </c>
      <c r="G85" s="25">
        <v>0</v>
      </c>
      <c r="H85" s="9">
        <v>0</v>
      </c>
      <c r="I85" s="26">
        <v>0</v>
      </c>
      <c r="J85" s="30">
        <v>0</v>
      </c>
      <c r="K85" s="29">
        <v>1</v>
      </c>
      <c r="L85" s="29">
        <v>0</v>
      </c>
      <c r="M85" s="29">
        <v>0</v>
      </c>
      <c r="N85" s="29">
        <v>0</v>
      </c>
      <c r="O85" s="29">
        <v>0</v>
      </c>
      <c r="P85" s="158">
        <v>0</v>
      </c>
      <c r="Q85" s="158">
        <v>0</v>
      </c>
      <c r="R85" s="158">
        <v>0</v>
      </c>
      <c r="S85" s="158">
        <v>0</v>
      </c>
      <c r="T85" s="158">
        <v>0</v>
      </c>
      <c r="U85" s="158">
        <v>1</v>
      </c>
      <c r="V85" s="29">
        <v>0</v>
      </c>
      <c r="W85" s="29">
        <v>0</v>
      </c>
      <c r="X85" s="159">
        <v>0</v>
      </c>
      <c r="Y85" s="159">
        <v>0</v>
      </c>
      <c r="Z85" s="29">
        <v>0</v>
      </c>
      <c r="AA85" s="29">
        <v>0</v>
      </c>
      <c r="AB85" s="29">
        <v>0</v>
      </c>
      <c r="AC85" s="29">
        <v>0</v>
      </c>
      <c r="AD85" s="29">
        <v>0</v>
      </c>
      <c r="AE85" s="159">
        <v>0</v>
      </c>
      <c r="AF85" s="159">
        <v>0</v>
      </c>
      <c r="AG85" s="160">
        <v>0</v>
      </c>
      <c r="AH85" s="160">
        <v>0</v>
      </c>
      <c r="AI85" s="160">
        <v>0</v>
      </c>
      <c r="AJ85" s="160">
        <v>0</v>
      </c>
      <c r="AK85" s="29">
        <v>0</v>
      </c>
      <c r="AL85" s="29">
        <v>0</v>
      </c>
      <c r="AM85" s="29">
        <v>0</v>
      </c>
      <c r="AN85" s="29">
        <v>0</v>
      </c>
      <c r="AO85" s="29">
        <v>0</v>
      </c>
      <c r="AP85" s="160">
        <v>0</v>
      </c>
      <c r="AQ85" s="161">
        <v>0</v>
      </c>
      <c r="AR85" s="161">
        <v>0</v>
      </c>
      <c r="AS85" s="161">
        <v>0</v>
      </c>
      <c r="AT85" s="161">
        <v>0</v>
      </c>
      <c r="AU85" s="161">
        <v>0</v>
      </c>
      <c r="AV85" s="161">
        <v>0</v>
      </c>
      <c r="AW85" s="161">
        <v>0</v>
      </c>
      <c r="AX85" s="162">
        <v>0</v>
      </c>
      <c r="AY85" s="162">
        <v>0</v>
      </c>
      <c r="AZ85" s="162">
        <v>0</v>
      </c>
      <c r="BA85" s="162">
        <v>0</v>
      </c>
      <c r="BB85" s="32"/>
      <c r="BC85" s="63"/>
      <c r="BD85" s="63">
        <f t="shared" si="18"/>
        <v>0</v>
      </c>
      <c r="BE85" s="63"/>
      <c r="BF85" s="32"/>
      <c r="BG85" s="32"/>
      <c r="BH85" s="63"/>
      <c r="BI85" s="64">
        <f t="shared" si="19"/>
        <v>0</v>
      </c>
      <c r="BJ85" s="63"/>
      <c r="BK85" s="32"/>
      <c r="BL85" s="32"/>
      <c r="BM85" s="33"/>
      <c r="BN85" s="33">
        <f t="shared" si="20"/>
        <v>0</v>
      </c>
      <c r="BO85" s="33"/>
      <c r="BP85" s="32"/>
      <c r="BQ85" s="32"/>
      <c r="BR85" s="33"/>
      <c r="BS85" s="33">
        <f t="shared" si="21"/>
        <v>0</v>
      </c>
      <c r="BT85" s="33"/>
      <c r="BU85" s="32"/>
      <c r="BV85" s="32"/>
      <c r="BW85" s="63"/>
      <c r="BX85" s="63">
        <f t="shared" si="22"/>
        <v>0</v>
      </c>
      <c r="BY85" s="63"/>
      <c r="BZ85" s="32"/>
      <c r="CA85" s="32"/>
      <c r="CB85" s="33"/>
      <c r="CC85" s="33">
        <f t="shared" si="23"/>
        <v>0</v>
      </c>
      <c r="CD85" s="33"/>
      <c r="CE85" s="32"/>
      <c r="CF85" s="33"/>
      <c r="CG85" s="33">
        <f t="shared" si="24"/>
        <v>0</v>
      </c>
      <c r="CH85" s="33"/>
      <c r="CI85" s="32"/>
      <c r="CJ85" s="33"/>
      <c r="CK85" s="33">
        <f t="shared" si="25"/>
        <v>0</v>
      </c>
      <c r="CL85" s="33"/>
      <c r="CM85" s="32"/>
      <c r="CN85" s="23"/>
      <c r="CO85" s="5">
        <f t="shared" si="26"/>
        <v>0</v>
      </c>
      <c r="CP85" s="10"/>
      <c r="CQ85" s="6"/>
      <c r="CR85" s="31"/>
      <c r="CS85" s="124"/>
      <c r="CT85" s="124"/>
      <c r="CU85" s="31"/>
      <c r="CV85" s="124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</row>
    <row r="86" spans="1:126" s="7" customFormat="1" ht="15" customHeight="1" x14ac:dyDescent="0.3">
      <c r="A86" s="134">
        <v>22</v>
      </c>
      <c r="B86" s="123" t="s">
        <v>397</v>
      </c>
      <c r="C86" s="16">
        <v>7051907</v>
      </c>
      <c r="D86" s="14" t="s">
        <v>102</v>
      </c>
      <c r="E86" s="15" t="s">
        <v>103</v>
      </c>
      <c r="F86" s="167">
        <v>1</v>
      </c>
      <c r="G86" s="25">
        <v>0</v>
      </c>
      <c r="H86" s="9">
        <v>0</v>
      </c>
      <c r="I86" s="26">
        <v>0</v>
      </c>
      <c r="J86" s="30">
        <v>0</v>
      </c>
      <c r="K86" s="29">
        <v>1</v>
      </c>
      <c r="L86" s="29">
        <v>0</v>
      </c>
      <c r="M86" s="29">
        <v>0</v>
      </c>
      <c r="N86" s="29">
        <v>0</v>
      </c>
      <c r="O86" s="29">
        <v>0</v>
      </c>
      <c r="P86" s="158">
        <v>1</v>
      </c>
      <c r="Q86" s="158">
        <v>1</v>
      </c>
      <c r="R86" s="158">
        <v>1</v>
      </c>
      <c r="S86" s="158">
        <v>1</v>
      </c>
      <c r="T86" s="158">
        <v>0</v>
      </c>
      <c r="U86" s="158">
        <v>0</v>
      </c>
      <c r="V86" s="29">
        <v>0</v>
      </c>
      <c r="W86" s="29">
        <v>0</v>
      </c>
      <c r="X86" s="159">
        <v>1</v>
      </c>
      <c r="Y86" s="159">
        <v>1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159">
        <v>1</v>
      </c>
      <c r="AF86" s="159">
        <v>1</v>
      </c>
      <c r="AG86" s="160">
        <v>0</v>
      </c>
      <c r="AH86" s="160">
        <v>0</v>
      </c>
      <c r="AI86" s="160">
        <v>0</v>
      </c>
      <c r="AJ86" s="160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160">
        <v>0</v>
      </c>
      <c r="AQ86" s="161">
        <v>0</v>
      </c>
      <c r="AR86" s="161">
        <v>0</v>
      </c>
      <c r="AS86" s="161">
        <v>0</v>
      </c>
      <c r="AT86" s="161">
        <v>0</v>
      </c>
      <c r="AU86" s="161">
        <v>0</v>
      </c>
      <c r="AV86" s="161">
        <v>0</v>
      </c>
      <c r="AW86" s="161">
        <v>0</v>
      </c>
      <c r="AX86" s="162">
        <v>0</v>
      </c>
      <c r="AY86" s="162">
        <v>0</v>
      </c>
      <c r="AZ86" s="162">
        <v>0</v>
      </c>
      <c r="BA86" s="162">
        <v>0</v>
      </c>
      <c r="BB86" s="32"/>
      <c r="BC86" s="63"/>
      <c r="BD86" s="63">
        <f t="shared" si="18"/>
        <v>0</v>
      </c>
      <c r="BE86" s="63"/>
      <c r="BF86" s="32"/>
      <c r="BG86" s="32"/>
      <c r="BH86" s="63"/>
      <c r="BI86" s="64">
        <f t="shared" si="19"/>
        <v>0</v>
      </c>
      <c r="BJ86" s="63"/>
      <c r="BK86" s="32"/>
      <c r="BL86" s="32"/>
      <c r="BM86" s="33"/>
      <c r="BN86" s="33">
        <f t="shared" si="20"/>
        <v>0</v>
      </c>
      <c r="BO86" s="33"/>
      <c r="BP86" s="32"/>
      <c r="BQ86" s="32"/>
      <c r="BR86" s="33"/>
      <c r="BS86" s="33">
        <f t="shared" si="21"/>
        <v>0</v>
      </c>
      <c r="BT86" s="33"/>
      <c r="BU86" s="32"/>
      <c r="BV86" s="32"/>
      <c r="BW86" s="63"/>
      <c r="BX86" s="63">
        <f t="shared" si="22"/>
        <v>0</v>
      </c>
      <c r="BY86" s="63"/>
      <c r="BZ86" s="32"/>
      <c r="CA86" s="32"/>
      <c r="CB86" s="33"/>
      <c r="CC86" s="33">
        <f t="shared" si="23"/>
        <v>0</v>
      </c>
      <c r="CD86" s="33"/>
      <c r="CE86" s="32"/>
      <c r="CF86" s="33"/>
      <c r="CG86" s="33">
        <f t="shared" si="24"/>
        <v>0</v>
      </c>
      <c r="CH86" s="33"/>
      <c r="CI86" s="32"/>
      <c r="CJ86" s="33"/>
      <c r="CK86" s="33">
        <f t="shared" si="25"/>
        <v>0</v>
      </c>
      <c r="CL86" s="33"/>
      <c r="CM86" s="32"/>
      <c r="CN86" s="23"/>
      <c r="CO86" s="5">
        <f t="shared" si="26"/>
        <v>0</v>
      </c>
      <c r="CP86" s="10"/>
      <c r="CQ86" s="6"/>
      <c r="CR86" s="31"/>
      <c r="CS86" s="124"/>
      <c r="CT86" s="124"/>
      <c r="CU86" s="31"/>
      <c r="CV86" s="124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</row>
    <row r="87" spans="1:126" s="7" customFormat="1" ht="15" customHeight="1" x14ac:dyDescent="0.3">
      <c r="A87" s="138">
        <v>125</v>
      </c>
      <c r="B87" s="35" t="s">
        <v>200</v>
      </c>
      <c r="C87" s="14">
        <v>7400855</v>
      </c>
      <c r="D87" s="14" t="s">
        <v>435</v>
      </c>
      <c r="E87" s="14" t="s">
        <v>88</v>
      </c>
      <c r="F87" s="167">
        <v>1</v>
      </c>
      <c r="G87" s="25">
        <v>0</v>
      </c>
      <c r="H87" s="9">
        <v>0</v>
      </c>
      <c r="I87" s="26">
        <v>0</v>
      </c>
      <c r="J87" s="30">
        <v>0</v>
      </c>
      <c r="K87" s="29">
        <v>1</v>
      </c>
      <c r="L87" s="29">
        <v>0</v>
      </c>
      <c r="M87" s="29">
        <v>0</v>
      </c>
      <c r="N87" s="29">
        <v>0</v>
      </c>
      <c r="O87" s="29">
        <v>0</v>
      </c>
      <c r="P87" s="158">
        <v>0</v>
      </c>
      <c r="Q87" s="158">
        <v>1</v>
      </c>
      <c r="R87" s="158">
        <v>0</v>
      </c>
      <c r="S87" s="158">
        <v>0</v>
      </c>
      <c r="T87" s="158">
        <v>0</v>
      </c>
      <c r="U87" s="158">
        <v>0</v>
      </c>
      <c r="V87" s="29">
        <v>0</v>
      </c>
      <c r="W87" s="29">
        <v>0</v>
      </c>
      <c r="X87" s="159">
        <v>0</v>
      </c>
      <c r="Y87" s="159">
        <v>0</v>
      </c>
      <c r="Z87" s="29">
        <v>0</v>
      </c>
      <c r="AA87" s="29">
        <v>0</v>
      </c>
      <c r="AB87" s="29">
        <v>0</v>
      </c>
      <c r="AC87" s="29">
        <v>0</v>
      </c>
      <c r="AD87" s="29">
        <v>0</v>
      </c>
      <c r="AE87" s="159">
        <v>1</v>
      </c>
      <c r="AF87" s="159">
        <v>1</v>
      </c>
      <c r="AG87" s="160">
        <v>0</v>
      </c>
      <c r="AH87" s="160">
        <v>0</v>
      </c>
      <c r="AI87" s="160">
        <v>0</v>
      </c>
      <c r="AJ87" s="160">
        <v>0</v>
      </c>
      <c r="AK87" s="29">
        <v>0</v>
      </c>
      <c r="AL87" s="29">
        <v>0</v>
      </c>
      <c r="AM87" s="29">
        <v>1</v>
      </c>
      <c r="AN87" s="29">
        <v>1</v>
      </c>
      <c r="AO87" s="29">
        <v>1</v>
      </c>
      <c r="AP87" s="160">
        <v>0</v>
      </c>
      <c r="AQ87" s="161">
        <v>0</v>
      </c>
      <c r="AR87" s="161">
        <v>0</v>
      </c>
      <c r="AS87" s="161">
        <v>0</v>
      </c>
      <c r="AT87" s="161">
        <v>0</v>
      </c>
      <c r="AU87" s="161">
        <v>0</v>
      </c>
      <c r="AV87" s="161">
        <v>0</v>
      </c>
      <c r="AW87" s="161">
        <v>0</v>
      </c>
      <c r="AX87" s="162">
        <v>0</v>
      </c>
      <c r="AY87" s="162">
        <v>0</v>
      </c>
      <c r="AZ87" s="162">
        <v>0</v>
      </c>
      <c r="BA87" s="162">
        <v>1</v>
      </c>
      <c r="BB87" s="32"/>
      <c r="BC87" s="63"/>
      <c r="BD87" s="63">
        <f t="shared" si="18"/>
        <v>0</v>
      </c>
      <c r="BE87" s="63"/>
      <c r="BF87" s="32"/>
      <c r="BG87" s="32"/>
      <c r="BH87" s="63"/>
      <c r="BI87" s="64">
        <f t="shared" si="19"/>
        <v>0</v>
      </c>
      <c r="BJ87" s="63"/>
      <c r="BK87" s="32"/>
      <c r="BL87" s="32"/>
      <c r="BM87" s="33"/>
      <c r="BN87" s="33">
        <f t="shared" si="20"/>
        <v>0</v>
      </c>
      <c r="BO87" s="33"/>
      <c r="BP87" s="32"/>
      <c r="BQ87" s="32"/>
      <c r="BR87" s="33"/>
      <c r="BS87" s="33">
        <f t="shared" si="21"/>
        <v>0</v>
      </c>
      <c r="BT87" s="33"/>
      <c r="BU87" s="32"/>
      <c r="BV87" s="32"/>
      <c r="BW87" s="63"/>
      <c r="BX87" s="63">
        <f t="shared" si="22"/>
        <v>0</v>
      </c>
      <c r="BY87" s="63"/>
      <c r="BZ87" s="32"/>
      <c r="CA87" s="32"/>
      <c r="CB87" s="33"/>
      <c r="CC87" s="33">
        <f t="shared" si="23"/>
        <v>0</v>
      </c>
      <c r="CD87" s="33"/>
      <c r="CE87" s="32"/>
      <c r="CF87" s="33"/>
      <c r="CG87" s="33">
        <f t="shared" si="24"/>
        <v>0</v>
      </c>
      <c r="CH87" s="33"/>
      <c r="CI87" s="32"/>
      <c r="CJ87" s="33"/>
      <c r="CK87" s="33">
        <f t="shared" si="25"/>
        <v>0</v>
      </c>
      <c r="CL87" s="33"/>
      <c r="CM87" s="32"/>
      <c r="CN87" s="23"/>
      <c r="CO87" s="5">
        <f t="shared" si="26"/>
        <v>0</v>
      </c>
      <c r="CP87" s="10"/>
      <c r="CQ87" s="6"/>
      <c r="CR87" s="31"/>
      <c r="CS87" s="124"/>
      <c r="CT87" s="124"/>
      <c r="CU87" s="31"/>
      <c r="CV87" s="124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</row>
    <row r="88" spans="1:126" s="7" customFormat="1" ht="15" customHeight="1" x14ac:dyDescent="0.3">
      <c r="A88" s="138">
        <v>124</v>
      </c>
      <c r="B88" s="35" t="s">
        <v>200</v>
      </c>
      <c r="C88" s="14">
        <v>7402547</v>
      </c>
      <c r="D88" s="14" t="s">
        <v>445</v>
      </c>
      <c r="E88" s="14" t="s">
        <v>364</v>
      </c>
      <c r="F88" s="167">
        <v>1</v>
      </c>
      <c r="G88" s="25">
        <v>0</v>
      </c>
      <c r="H88" s="9">
        <v>0</v>
      </c>
      <c r="I88" s="26">
        <v>0</v>
      </c>
      <c r="J88" s="30">
        <v>0</v>
      </c>
      <c r="K88" s="29">
        <v>1</v>
      </c>
      <c r="L88" s="29">
        <v>0</v>
      </c>
      <c r="M88" s="29">
        <v>0</v>
      </c>
      <c r="N88" s="29">
        <v>0</v>
      </c>
      <c r="O88" s="29">
        <v>0</v>
      </c>
      <c r="P88" s="158">
        <v>0</v>
      </c>
      <c r="Q88" s="158">
        <v>0</v>
      </c>
      <c r="R88" s="158">
        <v>0</v>
      </c>
      <c r="S88" s="158">
        <v>0</v>
      </c>
      <c r="T88" s="158">
        <v>0</v>
      </c>
      <c r="U88" s="158">
        <v>0</v>
      </c>
      <c r="V88" s="29">
        <v>0</v>
      </c>
      <c r="W88" s="29">
        <v>0</v>
      </c>
      <c r="X88" s="159">
        <v>0</v>
      </c>
      <c r="Y88" s="15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159">
        <v>0</v>
      </c>
      <c r="AF88" s="159">
        <v>0</v>
      </c>
      <c r="AG88" s="160">
        <v>0</v>
      </c>
      <c r="AH88" s="160">
        <v>0</v>
      </c>
      <c r="AI88" s="160">
        <v>0</v>
      </c>
      <c r="AJ88" s="160">
        <v>0</v>
      </c>
      <c r="AK88" s="29">
        <v>1</v>
      </c>
      <c r="AL88" s="29">
        <v>0</v>
      </c>
      <c r="AM88" s="29">
        <v>0</v>
      </c>
      <c r="AN88" s="29">
        <v>1</v>
      </c>
      <c r="AO88" s="29">
        <v>0</v>
      </c>
      <c r="AP88" s="160">
        <v>0</v>
      </c>
      <c r="AQ88" s="161">
        <v>0</v>
      </c>
      <c r="AR88" s="161">
        <v>0</v>
      </c>
      <c r="AS88" s="161">
        <v>0</v>
      </c>
      <c r="AT88" s="161">
        <v>0</v>
      </c>
      <c r="AU88" s="161">
        <v>0</v>
      </c>
      <c r="AV88" s="161">
        <v>0</v>
      </c>
      <c r="AW88" s="161">
        <v>0</v>
      </c>
      <c r="AX88" s="162">
        <v>0</v>
      </c>
      <c r="AY88" s="162">
        <v>0</v>
      </c>
      <c r="AZ88" s="162">
        <v>0</v>
      </c>
      <c r="BA88" s="162">
        <v>0</v>
      </c>
      <c r="BB88" s="32"/>
      <c r="BC88" s="63"/>
      <c r="BD88" s="63">
        <f t="shared" si="18"/>
        <v>0</v>
      </c>
      <c r="BE88" s="63"/>
      <c r="BF88" s="32"/>
      <c r="BG88" s="32"/>
      <c r="BH88" s="63"/>
      <c r="BI88" s="64">
        <f t="shared" si="19"/>
        <v>0</v>
      </c>
      <c r="BJ88" s="63"/>
      <c r="BK88" s="32"/>
      <c r="BL88" s="32"/>
      <c r="BM88" s="33"/>
      <c r="BN88" s="33">
        <f t="shared" si="20"/>
        <v>0</v>
      </c>
      <c r="BO88" s="33"/>
      <c r="BP88" s="32"/>
      <c r="BQ88" s="32"/>
      <c r="BR88" s="33"/>
      <c r="BS88" s="33">
        <f t="shared" si="21"/>
        <v>0</v>
      </c>
      <c r="BT88" s="33"/>
      <c r="BU88" s="32"/>
      <c r="BV88" s="32"/>
      <c r="BW88" s="63"/>
      <c r="BX88" s="63">
        <f t="shared" si="22"/>
        <v>0</v>
      </c>
      <c r="BY88" s="63"/>
      <c r="BZ88" s="32"/>
      <c r="CA88" s="32"/>
      <c r="CB88" s="33"/>
      <c r="CC88" s="33">
        <f t="shared" si="23"/>
        <v>0</v>
      </c>
      <c r="CD88" s="33"/>
      <c r="CE88" s="32"/>
      <c r="CF88" s="33"/>
      <c r="CG88" s="33">
        <f t="shared" si="24"/>
        <v>0</v>
      </c>
      <c r="CH88" s="33"/>
      <c r="CI88" s="32"/>
      <c r="CJ88" s="33"/>
      <c r="CK88" s="33">
        <f t="shared" si="25"/>
        <v>0</v>
      </c>
      <c r="CL88" s="33"/>
      <c r="CM88" s="32"/>
      <c r="CN88" s="23"/>
      <c r="CO88" s="5">
        <f t="shared" si="26"/>
        <v>0</v>
      </c>
      <c r="CP88" s="10"/>
      <c r="CQ88" s="6"/>
      <c r="CR88" s="31"/>
      <c r="CS88" s="124"/>
      <c r="CT88" s="124"/>
      <c r="CU88" s="31"/>
      <c r="CV88" s="124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</row>
    <row r="89" spans="1:126" s="7" customFormat="1" ht="15" customHeight="1" x14ac:dyDescent="0.3">
      <c r="A89" s="43">
        <v>276</v>
      </c>
      <c r="B89" s="38" t="s">
        <v>521</v>
      </c>
      <c r="C89" s="36">
        <v>7403656</v>
      </c>
      <c r="D89" s="36" t="s">
        <v>519</v>
      </c>
      <c r="E89" s="137" t="s">
        <v>520</v>
      </c>
      <c r="F89" s="167">
        <v>1</v>
      </c>
      <c r="G89" s="25">
        <v>0</v>
      </c>
      <c r="H89" s="9">
        <v>0</v>
      </c>
      <c r="I89" s="26">
        <v>0</v>
      </c>
      <c r="J89" s="30">
        <v>0</v>
      </c>
      <c r="K89" s="29">
        <v>1</v>
      </c>
      <c r="L89" s="29">
        <v>0</v>
      </c>
      <c r="M89" s="29">
        <v>1</v>
      </c>
      <c r="N89" s="29">
        <v>0</v>
      </c>
      <c r="O89" s="29">
        <v>0</v>
      </c>
      <c r="P89" s="158">
        <v>0</v>
      </c>
      <c r="Q89" s="158">
        <v>0</v>
      </c>
      <c r="R89" s="158">
        <v>0</v>
      </c>
      <c r="S89" s="158">
        <v>0</v>
      </c>
      <c r="T89" s="158">
        <v>0</v>
      </c>
      <c r="U89" s="158">
        <v>0</v>
      </c>
      <c r="V89" s="29">
        <v>0</v>
      </c>
      <c r="W89" s="29">
        <v>0</v>
      </c>
      <c r="X89" s="159">
        <v>0</v>
      </c>
      <c r="Y89" s="159">
        <v>1</v>
      </c>
      <c r="Z89" s="29">
        <v>0</v>
      </c>
      <c r="AA89" s="29">
        <v>0</v>
      </c>
      <c r="AB89" s="29">
        <v>0</v>
      </c>
      <c r="AC89" s="29">
        <v>0</v>
      </c>
      <c r="AD89" s="29">
        <v>0</v>
      </c>
      <c r="AE89" s="159">
        <v>0</v>
      </c>
      <c r="AF89" s="159">
        <v>0</v>
      </c>
      <c r="AG89" s="160">
        <v>0</v>
      </c>
      <c r="AH89" s="160">
        <v>0</v>
      </c>
      <c r="AI89" s="160">
        <v>0</v>
      </c>
      <c r="AJ89" s="160">
        <v>0</v>
      </c>
      <c r="AK89" s="29">
        <v>0</v>
      </c>
      <c r="AL89" s="29">
        <v>0</v>
      </c>
      <c r="AM89" s="29">
        <v>0</v>
      </c>
      <c r="AN89" s="29">
        <v>0</v>
      </c>
      <c r="AO89" s="29">
        <v>0</v>
      </c>
      <c r="AP89" s="160">
        <v>0</v>
      </c>
      <c r="AQ89" s="161">
        <v>0</v>
      </c>
      <c r="AR89" s="161">
        <v>0</v>
      </c>
      <c r="AS89" s="161">
        <v>0</v>
      </c>
      <c r="AT89" s="161">
        <v>0</v>
      </c>
      <c r="AU89" s="161">
        <v>0</v>
      </c>
      <c r="AV89" s="161">
        <v>0</v>
      </c>
      <c r="AW89" s="161">
        <v>0</v>
      </c>
      <c r="AX89" s="162">
        <v>0</v>
      </c>
      <c r="AY89" s="162">
        <v>0</v>
      </c>
      <c r="AZ89" s="162">
        <v>0</v>
      </c>
      <c r="BA89" s="162">
        <v>0</v>
      </c>
      <c r="BB89" s="32"/>
      <c r="BC89" s="63"/>
      <c r="BD89" s="63">
        <f t="shared" si="18"/>
        <v>0</v>
      </c>
      <c r="BE89" s="63"/>
      <c r="BF89" s="32"/>
      <c r="BG89" s="32"/>
      <c r="BH89" s="63"/>
      <c r="BI89" s="64">
        <f t="shared" si="19"/>
        <v>0</v>
      </c>
      <c r="BJ89" s="63"/>
      <c r="BK89" s="32"/>
      <c r="BL89" s="32"/>
      <c r="BM89" s="33"/>
      <c r="BN89" s="33">
        <f t="shared" si="20"/>
        <v>0</v>
      </c>
      <c r="BO89" s="33"/>
      <c r="BP89" s="32"/>
      <c r="BQ89" s="32"/>
      <c r="BR89" s="33"/>
      <c r="BS89" s="33">
        <f t="shared" si="21"/>
        <v>0</v>
      </c>
      <c r="BT89" s="33"/>
      <c r="BU89" s="32"/>
      <c r="BV89" s="32"/>
      <c r="BW89" s="63"/>
      <c r="BX89" s="63">
        <f t="shared" si="22"/>
        <v>0</v>
      </c>
      <c r="BY89" s="63"/>
      <c r="BZ89" s="32"/>
      <c r="CA89" s="32"/>
      <c r="CB89" s="33"/>
      <c r="CC89" s="33">
        <f t="shared" si="23"/>
        <v>0</v>
      </c>
      <c r="CD89" s="33"/>
      <c r="CE89" s="32"/>
      <c r="CF89" s="33"/>
      <c r="CG89" s="33">
        <f t="shared" si="24"/>
        <v>0</v>
      </c>
      <c r="CH89" s="33"/>
      <c r="CI89" s="32"/>
      <c r="CJ89" s="33"/>
      <c r="CK89" s="33">
        <f t="shared" si="25"/>
        <v>0</v>
      </c>
      <c r="CL89" s="33"/>
      <c r="CM89" s="32"/>
      <c r="CN89" s="23"/>
      <c r="CO89" s="5">
        <f t="shared" si="26"/>
        <v>0</v>
      </c>
      <c r="CP89" s="10"/>
      <c r="CQ89" s="6"/>
      <c r="CR89" s="31"/>
      <c r="CS89" s="124"/>
      <c r="CT89" s="124"/>
      <c r="CU89" s="31"/>
      <c r="CV89" s="124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</row>
    <row r="90" spans="1:126" s="7" customFormat="1" ht="15" customHeight="1" x14ac:dyDescent="0.3">
      <c r="A90" s="134">
        <v>103</v>
      </c>
      <c r="B90" s="128" t="s">
        <v>49</v>
      </c>
      <c r="C90" s="12">
        <v>7400910</v>
      </c>
      <c r="D90" s="13" t="s">
        <v>390</v>
      </c>
      <c r="E90" s="13" t="s">
        <v>389</v>
      </c>
      <c r="F90" s="167">
        <v>1</v>
      </c>
      <c r="G90" s="25">
        <v>0</v>
      </c>
      <c r="H90" s="9">
        <v>0</v>
      </c>
      <c r="I90" s="26">
        <v>0</v>
      </c>
      <c r="J90" s="30">
        <v>0</v>
      </c>
      <c r="K90" s="29">
        <v>1</v>
      </c>
      <c r="L90" s="29">
        <v>0</v>
      </c>
      <c r="M90" s="29">
        <v>0</v>
      </c>
      <c r="N90" s="29">
        <v>0</v>
      </c>
      <c r="O90" s="29">
        <v>0</v>
      </c>
      <c r="P90" s="158">
        <v>0</v>
      </c>
      <c r="Q90" s="158">
        <v>0</v>
      </c>
      <c r="R90" s="158">
        <v>0</v>
      </c>
      <c r="S90" s="158">
        <v>0</v>
      </c>
      <c r="T90" s="158">
        <v>0</v>
      </c>
      <c r="U90" s="158">
        <v>0</v>
      </c>
      <c r="V90" s="29">
        <v>0</v>
      </c>
      <c r="W90" s="29">
        <v>0</v>
      </c>
      <c r="X90" s="159">
        <v>1</v>
      </c>
      <c r="Y90" s="159">
        <v>1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159">
        <v>1</v>
      </c>
      <c r="AF90" s="159">
        <v>1</v>
      </c>
      <c r="AG90" s="160">
        <v>0</v>
      </c>
      <c r="AH90" s="160">
        <v>0</v>
      </c>
      <c r="AI90" s="160">
        <v>0</v>
      </c>
      <c r="AJ90" s="160">
        <v>0</v>
      </c>
      <c r="AK90" s="29">
        <v>1</v>
      </c>
      <c r="AL90" s="29">
        <v>1</v>
      </c>
      <c r="AM90" s="29">
        <v>1</v>
      </c>
      <c r="AN90" s="29">
        <v>1</v>
      </c>
      <c r="AO90" s="29">
        <v>1</v>
      </c>
      <c r="AP90" s="160">
        <v>0</v>
      </c>
      <c r="AQ90" s="161">
        <v>0</v>
      </c>
      <c r="AR90" s="161">
        <v>1</v>
      </c>
      <c r="AS90" s="161">
        <v>0</v>
      </c>
      <c r="AT90" s="161">
        <v>0</v>
      </c>
      <c r="AU90" s="161">
        <v>0</v>
      </c>
      <c r="AV90" s="161">
        <v>0</v>
      </c>
      <c r="AW90" s="161">
        <v>0</v>
      </c>
      <c r="AX90" s="162">
        <v>0</v>
      </c>
      <c r="AY90" s="162">
        <v>0</v>
      </c>
      <c r="AZ90" s="162">
        <v>0</v>
      </c>
      <c r="BA90" s="162">
        <v>1</v>
      </c>
      <c r="BB90" s="32"/>
      <c r="BC90" s="63"/>
      <c r="BD90" s="63">
        <f t="shared" si="18"/>
        <v>0</v>
      </c>
      <c r="BE90" s="63"/>
      <c r="BF90" s="32"/>
      <c r="BG90" s="32"/>
      <c r="BH90" s="63"/>
      <c r="BI90" s="64">
        <f t="shared" si="19"/>
        <v>0</v>
      </c>
      <c r="BJ90" s="63"/>
      <c r="BK90" s="32"/>
      <c r="BL90" s="32"/>
      <c r="BM90" s="33"/>
      <c r="BN90" s="33">
        <f t="shared" si="20"/>
        <v>0</v>
      </c>
      <c r="BO90" s="33"/>
      <c r="BP90" s="32"/>
      <c r="BQ90" s="32"/>
      <c r="BR90" s="33"/>
      <c r="BS90" s="33">
        <f t="shared" si="21"/>
        <v>0</v>
      </c>
      <c r="BT90" s="33"/>
      <c r="BU90" s="32"/>
      <c r="BV90" s="32"/>
      <c r="BW90" s="63"/>
      <c r="BX90" s="63">
        <f t="shared" si="22"/>
        <v>0</v>
      </c>
      <c r="BY90" s="63"/>
      <c r="BZ90" s="32"/>
      <c r="CA90" s="32"/>
      <c r="CB90" s="33"/>
      <c r="CC90" s="33">
        <f t="shared" si="23"/>
        <v>0</v>
      </c>
      <c r="CD90" s="33"/>
      <c r="CE90" s="32"/>
      <c r="CF90" s="33"/>
      <c r="CG90" s="33">
        <f t="shared" si="24"/>
        <v>0</v>
      </c>
      <c r="CH90" s="33"/>
      <c r="CI90" s="32"/>
      <c r="CJ90" s="33"/>
      <c r="CK90" s="33">
        <f t="shared" si="25"/>
        <v>0</v>
      </c>
      <c r="CL90" s="33"/>
      <c r="CM90" s="32"/>
      <c r="CN90" s="23"/>
      <c r="CO90" s="5">
        <f t="shared" si="26"/>
        <v>0</v>
      </c>
      <c r="CP90" s="10"/>
      <c r="CQ90" s="6"/>
      <c r="CR90" s="31"/>
      <c r="CS90" s="124"/>
      <c r="CT90" s="124"/>
      <c r="CU90" s="31"/>
      <c r="CV90" s="124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</row>
    <row r="91" spans="1:126" s="7" customFormat="1" ht="15" customHeight="1" x14ac:dyDescent="0.3">
      <c r="A91" s="134">
        <v>111</v>
      </c>
      <c r="B91" s="34" t="s">
        <v>49</v>
      </c>
      <c r="C91" s="12">
        <v>7076186</v>
      </c>
      <c r="D91" s="13" t="s">
        <v>424</v>
      </c>
      <c r="E91" s="13" t="s">
        <v>131</v>
      </c>
      <c r="F91" s="167">
        <v>1</v>
      </c>
      <c r="G91" s="25">
        <v>0</v>
      </c>
      <c r="H91" s="9">
        <v>0</v>
      </c>
      <c r="I91" s="26">
        <v>0</v>
      </c>
      <c r="J91" s="30">
        <v>0</v>
      </c>
      <c r="K91" s="29">
        <v>1</v>
      </c>
      <c r="L91" s="29">
        <v>0</v>
      </c>
      <c r="M91" s="29">
        <v>0</v>
      </c>
      <c r="N91" s="29">
        <v>0</v>
      </c>
      <c r="O91" s="29">
        <v>0</v>
      </c>
      <c r="P91" s="158">
        <v>0</v>
      </c>
      <c r="Q91" s="158">
        <v>0</v>
      </c>
      <c r="R91" s="158">
        <v>0</v>
      </c>
      <c r="S91" s="158">
        <v>0</v>
      </c>
      <c r="T91" s="158">
        <v>0</v>
      </c>
      <c r="U91" s="158">
        <v>0</v>
      </c>
      <c r="V91" s="29">
        <v>0</v>
      </c>
      <c r="W91" s="29">
        <v>0</v>
      </c>
      <c r="X91" s="159">
        <v>0</v>
      </c>
      <c r="Y91" s="159">
        <v>0</v>
      </c>
      <c r="Z91" s="29">
        <v>1</v>
      </c>
      <c r="AA91" s="29">
        <v>1</v>
      </c>
      <c r="AB91" s="29">
        <v>0</v>
      </c>
      <c r="AC91" s="29">
        <v>0</v>
      </c>
      <c r="AD91" s="29">
        <v>0</v>
      </c>
      <c r="AE91" s="159">
        <v>0</v>
      </c>
      <c r="AF91" s="159">
        <v>1</v>
      </c>
      <c r="AG91" s="160">
        <v>0</v>
      </c>
      <c r="AH91" s="160">
        <v>0</v>
      </c>
      <c r="AI91" s="160">
        <v>0</v>
      </c>
      <c r="AJ91" s="160">
        <v>0</v>
      </c>
      <c r="AK91" s="29">
        <v>0</v>
      </c>
      <c r="AL91" s="29">
        <v>0</v>
      </c>
      <c r="AM91" s="29">
        <v>0</v>
      </c>
      <c r="AN91" s="29">
        <v>0</v>
      </c>
      <c r="AO91" s="29">
        <v>0</v>
      </c>
      <c r="AP91" s="160">
        <v>0</v>
      </c>
      <c r="AQ91" s="161">
        <v>0</v>
      </c>
      <c r="AR91" s="161">
        <v>0</v>
      </c>
      <c r="AS91" s="161">
        <v>0</v>
      </c>
      <c r="AT91" s="161">
        <v>0</v>
      </c>
      <c r="AU91" s="161">
        <v>0</v>
      </c>
      <c r="AV91" s="161">
        <v>0</v>
      </c>
      <c r="AW91" s="161">
        <v>0</v>
      </c>
      <c r="AX91" s="162">
        <v>0</v>
      </c>
      <c r="AY91" s="162">
        <v>0</v>
      </c>
      <c r="AZ91" s="162">
        <v>0</v>
      </c>
      <c r="BA91" s="162">
        <v>1</v>
      </c>
      <c r="BB91" s="32"/>
      <c r="BC91" s="63"/>
      <c r="BD91" s="63">
        <f t="shared" si="18"/>
        <v>0</v>
      </c>
      <c r="BE91" s="63"/>
      <c r="BF91" s="32"/>
      <c r="BG91" s="32"/>
      <c r="BH91" s="63"/>
      <c r="BI91" s="64">
        <f t="shared" si="19"/>
        <v>0</v>
      </c>
      <c r="BJ91" s="63"/>
      <c r="BK91" s="32"/>
      <c r="BL91" s="32"/>
      <c r="BM91" s="33"/>
      <c r="BN91" s="33">
        <f t="shared" si="20"/>
        <v>0</v>
      </c>
      <c r="BO91" s="33"/>
      <c r="BP91" s="32"/>
      <c r="BQ91" s="32"/>
      <c r="BR91" s="33"/>
      <c r="BS91" s="33">
        <f t="shared" si="21"/>
        <v>0</v>
      </c>
      <c r="BT91" s="33"/>
      <c r="BU91" s="32"/>
      <c r="BV91" s="32"/>
      <c r="BW91" s="63"/>
      <c r="BX91" s="63">
        <f t="shared" si="22"/>
        <v>0</v>
      </c>
      <c r="BY91" s="63"/>
      <c r="BZ91" s="32"/>
      <c r="CA91" s="32"/>
      <c r="CB91" s="33"/>
      <c r="CC91" s="33">
        <f t="shared" si="23"/>
        <v>0</v>
      </c>
      <c r="CD91" s="33"/>
      <c r="CE91" s="32"/>
      <c r="CF91" s="33"/>
      <c r="CG91" s="33">
        <f t="shared" si="24"/>
        <v>0</v>
      </c>
      <c r="CH91" s="33"/>
      <c r="CI91" s="32"/>
      <c r="CJ91" s="33"/>
      <c r="CK91" s="33">
        <f t="shared" si="25"/>
        <v>0</v>
      </c>
      <c r="CL91" s="33"/>
      <c r="CM91" s="32"/>
      <c r="CN91" s="23"/>
      <c r="CO91" s="5">
        <f t="shared" si="26"/>
        <v>0</v>
      </c>
      <c r="CP91" s="10"/>
      <c r="CQ91" s="6"/>
      <c r="CR91" s="31"/>
      <c r="CS91" s="124"/>
      <c r="CT91" s="124"/>
      <c r="CU91" s="31"/>
      <c r="CV91" s="124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</row>
    <row r="92" spans="1:126" s="7" customFormat="1" ht="15" customHeight="1" x14ac:dyDescent="0.3">
      <c r="A92" s="134">
        <v>112</v>
      </c>
      <c r="B92" s="34" t="s">
        <v>49</v>
      </c>
      <c r="C92" s="100">
        <v>7400558</v>
      </c>
      <c r="D92" s="14" t="s">
        <v>417</v>
      </c>
      <c r="E92" s="15" t="s">
        <v>418</v>
      </c>
      <c r="F92" s="167">
        <v>1</v>
      </c>
      <c r="G92" s="25">
        <v>0</v>
      </c>
      <c r="H92" s="9">
        <v>0</v>
      </c>
      <c r="I92" s="26">
        <v>0</v>
      </c>
      <c r="J92" s="30">
        <v>0</v>
      </c>
      <c r="K92" s="29">
        <v>1</v>
      </c>
      <c r="L92" s="29">
        <v>0</v>
      </c>
      <c r="M92" s="29">
        <v>0</v>
      </c>
      <c r="N92" s="29">
        <v>0</v>
      </c>
      <c r="O92" s="29">
        <v>0</v>
      </c>
      <c r="P92" s="158">
        <v>0</v>
      </c>
      <c r="Q92" s="158">
        <v>1</v>
      </c>
      <c r="R92" s="158">
        <v>0</v>
      </c>
      <c r="S92" s="158">
        <v>0</v>
      </c>
      <c r="T92" s="158">
        <v>0</v>
      </c>
      <c r="U92" s="158">
        <v>1</v>
      </c>
      <c r="V92" s="29">
        <v>0</v>
      </c>
      <c r="W92" s="29">
        <v>0</v>
      </c>
      <c r="X92" s="159">
        <v>1</v>
      </c>
      <c r="Y92" s="159">
        <v>1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159">
        <v>1</v>
      </c>
      <c r="AF92" s="159">
        <v>1</v>
      </c>
      <c r="AG92" s="160">
        <v>0</v>
      </c>
      <c r="AH92" s="160">
        <v>0</v>
      </c>
      <c r="AI92" s="160">
        <v>0</v>
      </c>
      <c r="AJ92" s="160">
        <v>0</v>
      </c>
      <c r="AK92" s="29">
        <v>1</v>
      </c>
      <c r="AL92" s="29">
        <v>0</v>
      </c>
      <c r="AM92" s="29">
        <v>0</v>
      </c>
      <c r="AN92" s="29">
        <v>0</v>
      </c>
      <c r="AO92" s="29">
        <v>0</v>
      </c>
      <c r="AP92" s="160">
        <v>0</v>
      </c>
      <c r="AQ92" s="161">
        <v>0</v>
      </c>
      <c r="AR92" s="161">
        <v>0</v>
      </c>
      <c r="AS92" s="161">
        <v>0</v>
      </c>
      <c r="AT92" s="161">
        <v>0</v>
      </c>
      <c r="AU92" s="161">
        <v>0</v>
      </c>
      <c r="AV92" s="161">
        <v>0</v>
      </c>
      <c r="AW92" s="161">
        <v>0</v>
      </c>
      <c r="AX92" s="162">
        <v>0</v>
      </c>
      <c r="AY92" s="162">
        <v>1</v>
      </c>
      <c r="AZ92" s="162">
        <v>1</v>
      </c>
      <c r="BA92" s="162">
        <v>1</v>
      </c>
      <c r="BB92" s="32"/>
      <c r="BC92" s="63"/>
      <c r="BD92" s="63">
        <f t="shared" si="18"/>
        <v>0</v>
      </c>
      <c r="BE92" s="63"/>
      <c r="BF92" s="32"/>
      <c r="BG92" s="32"/>
      <c r="BH92" s="63"/>
      <c r="BI92" s="64">
        <f t="shared" si="19"/>
        <v>0</v>
      </c>
      <c r="BJ92" s="63"/>
      <c r="BK92" s="32"/>
      <c r="BL92" s="32"/>
      <c r="BM92" s="33"/>
      <c r="BN92" s="33">
        <f t="shared" si="20"/>
        <v>0</v>
      </c>
      <c r="BO92" s="33"/>
      <c r="BP92" s="32"/>
      <c r="BQ92" s="32"/>
      <c r="BR92" s="33"/>
      <c r="BS92" s="33">
        <f t="shared" si="21"/>
        <v>0</v>
      </c>
      <c r="BT92" s="33"/>
      <c r="BU92" s="32"/>
      <c r="BV92" s="32"/>
      <c r="BW92" s="63"/>
      <c r="BX92" s="63">
        <f t="shared" si="22"/>
        <v>0</v>
      </c>
      <c r="BY92" s="63"/>
      <c r="BZ92" s="32"/>
      <c r="CA92" s="32"/>
      <c r="CB92" s="33"/>
      <c r="CC92" s="33">
        <f t="shared" si="23"/>
        <v>0</v>
      </c>
      <c r="CD92" s="33"/>
      <c r="CE92" s="32"/>
      <c r="CF92" s="33"/>
      <c r="CG92" s="33">
        <f t="shared" si="24"/>
        <v>0</v>
      </c>
      <c r="CH92" s="33"/>
      <c r="CI92" s="32"/>
      <c r="CJ92" s="33"/>
      <c r="CK92" s="33">
        <f t="shared" si="25"/>
        <v>0</v>
      </c>
      <c r="CL92" s="33"/>
      <c r="CM92" s="32"/>
      <c r="CN92" s="23"/>
      <c r="CO92" s="5">
        <f t="shared" si="26"/>
        <v>0</v>
      </c>
      <c r="CP92" s="10"/>
      <c r="CQ92" s="6"/>
      <c r="CR92" s="31"/>
      <c r="CS92" s="124"/>
      <c r="CT92" s="124"/>
      <c r="CU92" s="31"/>
      <c r="CV92" s="124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</row>
    <row r="93" spans="1:126" s="7" customFormat="1" ht="15" customHeight="1" x14ac:dyDescent="0.3">
      <c r="A93" s="134">
        <v>27</v>
      </c>
      <c r="B93" s="123" t="s">
        <v>43</v>
      </c>
      <c r="C93" s="17">
        <v>7051920</v>
      </c>
      <c r="D93" s="18" t="s">
        <v>105</v>
      </c>
      <c r="E93" s="18" t="s">
        <v>106</v>
      </c>
      <c r="F93" s="167">
        <v>1</v>
      </c>
      <c r="G93" s="25">
        <v>0</v>
      </c>
      <c r="H93" s="9">
        <v>0</v>
      </c>
      <c r="I93" s="26">
        <v>0</v>
      </c>
      <c r="J93" s="30">
        <v>0</v>
      </c>
      <c r="K93" s="29">
        <v>1</v>
      </c>
      <c r="L93" s="29">
        <v>0</v>
      </c>
      <c r="M93" s="29">
        <v>0</v>
      </c>
      <c r="N93" s="29">
        <v>0</v>
      </c>
      <c r="O93" s="29">
        <v>0</v>
      </c>
      <c r="P93" s="158">
        <v>0</v>
      </c>
      <c r="Q93" s="158">
        <v>0</v>
      </c>
      <c r="R93" s="158">
        <v>0</v>
      </c>
      <c r="S93" s="158">
        <v>0</v>
      </c>
      <c r="T93" s="158">
        <v>0</v>
      </c>
      <c r="U93" s="158">
        <v>0</v>
      </c>
      <c r="V93" s="29">
        <v>0</v>
      </c>
      <c r="W93" s="29">
        <v>0</v>
      </c>
      <c r="X93" s="159">
        <v>0</v>
      </c>
      <c r="Y93" s="159">
        <v>0</v>
      </c>
      <c r="Z93" s="29">
        <v>0</v>
      </c>
      <c r="AA93" s="29">
        <v>0</v>
      </c>
      <c r="AB93" s="29">
        <v>0</v>
      </c>
      <c r="AC93" s="29">
        <v>0</v>
      </c>
      <c r="AD93" s="29">
        <v>0</v>
      </c>
      <c r="AE93" s="159">
        <v>1</v>
      </c>
      <c r="AF93" s="159">
        <v>1</v>
      </c>
      <c r="AG93" s="160">
        <v>1</v>
      </c>
      <c r="AH93" s="160">
        <v>0</v>
      </c>
      <c r="AI93" s="160">
        <v>1</v>
      </c>
      <c r="AJ93" s="160">
        <v>0</v>
      </c>
      <c r="AK93" s="29">
        <v>0</v>
      </c>
      <c r="AL93" s="29">
        <v>1</v>
      </c>
      <c r="AM93" s="29">
        <v>1</v>
      </c>
      <c r="AN93" s="29">
        <v>1</v>
      </c>
      <c r="AO93" s="29">
        <v>1</v>
      </c>
      <c r="AP93" s="160">
        <v>1</v>
      </c>
      <c r="AQ93" s="161">
        <v>0</v>
      </c>
      <c r="AR93" s="161">
        <v>0</v>
      </c>
      <c r="AS93" s="161">
        <v>0</v>
      </c>
      <c r="AT93" s="161">
        <v>0</v>
      </c>
      <c r="AU93" s="161">
        <v>0</v>
      </c>
      <c r="AV93" s="161">
        <v>0</v>
      </c>
      <c r="AW93" s="161">
        <v>0</v>
      </c>
      <c r="AX93" s="162">
        <v>0</v>
      </c>
      <c r="AY93" s="162">
        <v>0</v>
      </c>
      <c r="AZ93" s="162">
        <v>0</v>
      </c>
      <c r="BA93" s="162">
        <v>0</v>
      </c>
      <c r="BB93" s="32"/>
      <c r="BC93" s="63"/>
      <c r="BD93" s="63">
        <f t="shared" si="18"/>
        <v>0</v>
      </c>
      <c r="BE93" s="63"/>
      <c r="BF93" s="32"/>
      <c r="BG93" s="32"/>
      <c r="BH93" s="63"/>
      <c r="BI93" s="64">
        <f t="shared" si="19"/>
        <v>0</v>
      </c>
      <c r="BJ93" s="63"/>
      <c r="BK93" s="32"/>
      <c r="BL93" s="32"/>
      <c r="BM93" s="33"/>
      <c r="BN93" s="33">
        <f t="shared" si="20"/>
        <v>0</v>
      </c>
      <c r="BO93" s="33"/>
      <c r="BP93" s="32"/>
      <c r="BQ93" s="32"/>
      <c r="BR93" s="33"/>
      <c r="BS93" s="33">
        <f t="shared" si="21"/>
        <v>0</v>
      </c>
      <c r="BT93" s="33"/>
      <c r="BU93" s="32"/>
      <c r="BV93" s="32"/>
      <c r="BW93" s="63"/>
      <c r="BX93" s="63">
        <f t="shared" si="22"/>
        <v>0</v>
      </c>
      <c r="BY93" s="63"/>
      <c r="BZ93" s="32"/>
      <c r="CA93" s="32"/>
      <c r="CB93" s="33"/>
      <c r="CC93" s="33">
        <f t="shared" si="23"/>
        <v>0</v>
      </c>
      <c r="CD93" s="33"/>
      <c r="CE93" s="32"/>
      <c r="CF93" s="33"/>
      <c r="CG93" s="33">
        <f t="shared" si="24"/>
        <v>0</v>
      </c>
      <c r="CH93" s="33"/>
      <c r="CI93" s="32"/>
      <c r="CJ93" s="33"/>
      <c r="CK93" s="33">
        <f t="shared" si="25"/>
        <v>0</v>
      </c>
      <c r="CL93" s="33"/>
      <c r="CM93" s="32"/>
      <c r="CN93" s="23"/>
      <c r="CO93" s="5">
        <f t="shared" si="26"/>
        <v>0</v>
      </c>
      <c r="CP93" s="10"/>
      <c r="CQ93" s="6"/>
      <c r="CR93" s="31"/>
      <c r="CS93" s="124"/>
      <c r="CT93" s="124"/>
      <c r="CU93" s="31"/>
      <c r="CV93" s="124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</row>
    <row r="94" spans="1:126" s="7" customFormat="1" ht="15" customHeight="1" x14ac:dyDescent="0.3">
      <c r="A94" s="134">
        <v>58</v>
      </c>
      <c r="B94" s="35" t="s">
        <v>42</v>
      </c>
      <c r="C94" s="11">
        <v>7092977</v>
      </c>
      <c r="D94" s="11" t="s">
        <v>179</v>
      </c>
      <c r="E94" s="27" t="s">
        <v>171</v>
      </c>
      <c r="F94" s="167">
        <v>1</v>
      </c>
      <c r="G94" s="25">
        <v>0</v>
      </c>
      <c r="H94" s="9">
        <v>0</v>
      </c>
      <c r="I94" s="26">
        <v>0</v>
      </c>
      <c r="J94" s="30">
        <v>0</v>
      </c>
      <c r="K94" s="29">
        <v>1</v>
      </c>
      <c r="L94" s="29">
        <v>0</v>
      </c>
      <c r="M94" s="29">
        <v>0</v>
      </c>
      <c r="N94" s="29">
        <v>1</v>
      </c>
      <c r="O94" s="29">
        <v>0</v>
      </c>
      <c r="P94" s="158">
        <v>0</v>
      </c>
      <c r="Q94" s="158">
        <v>0</v>
      </c>
      <c r="R94" s="158">
        <v>0</v>
      </c>
      <c r="S94" s="158">
        <v>0</v>
      </c>
      <c r="T94" s="158">
        <v>0</v>
      </c>
      <c r="U94" s="158">
        <v>0</v>
      </c>
      <c r="V94" s="29">
        <v>0</v>
      </c>
      <c r="W94" s="29">
        <v>0</v>
      </c>
      <c r="X94" s="159">
        <v>0</v>
      </c>
      <c r="Y94" s="15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159">
        <v>1</v>
      </c>
      <c r="AF94" s="159">
        <v>1</v>
      </c>
      <c r="AG94" s="160">
        <v>0</v>
      </c>
      <c r="AH94" s="160">
        <v>0</v>
      </c>
      <c r="AI94" s="160">
        <v>0</v>
      </c>
      <c r="AJ94" s="160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160">
        <v>0</v>
      </c>
      <c r="AQ94" s="161">
        <v>0</v>
      </c>
      <c r="AR94" s="161">
        <v>0</v>
      </c>
      <c r="AS94" s="161">
        <v>0</v>
      </c>
      <c r="AT94" s="161">
        <v>0</v>
      </c>
      <c r="AU94" s="161">
        <v>0</v>
      </c>
      <c r="AV94" s="161">
        <v>0</v>
      </c>
      <c r="AW94" s="161">
        <v>0</v>
      </c>
      <c r="AX94" s="162">
        <v>0</v>
      </c>
      <c r="AY94" s="162">
        <v>0</v>
      </c>
      <c r="AZ94" s="162">
        <v>0</v>
      </c>
      <c r="BA94" s="162">
        <v>0</v>
      </c>
      <c r="BB94" s="32"/>
      <c r="BC94" s="63"/>
      <c r="BD94" s="63">
        <f t="shared" si="18"/>
        <v>0</v>
      </c>
      <c r="BE94" s="63"/>
      <c r="BF94" s="32"/>
      <c r="BG94" s="32"/>
      <c r="BH94" s="63"/>
      <c r="BI94" s="64">
        <f t="shared" si="19"/>
        <v>0</v>
      </c>
      <c r="BJ94" s="63"/>
      <c r="BK94" s="32"/>
      <c r="BL94" s="32"/>
      <c r="BM94" s="33"/>
      <c r="BN94" s="33">
        <f t="shared" si="20"/>
        <v>0</v>
      </c>
      <c r="BO94" s="33"/>
      <c r="BP94" s="32"/>
      <c r="BQ94" s="32"/>
      <c r="BR94" s="33"/>
      <c r="BS94" s="33">
        <f t="shared" si="21"/>
        <v>0</v>
      </c>
      <c r="BT94" s="33"/>
      <c r="BU94" s="32"/>
      <c r="BV94" s="32"/>
      <c r="BW94" s="63"/>
      <c r="BX94" s="63">
        <f t="shared" si="22"/>
        <v>0</v>
      </c>
      <c r="BY94" s="63"/>
      <c r="BZ94" s="32"/>
      <c r="CA94" s="32"/>
      <c r="CB94" s="33"/>
      <c r="CC94" s="33">
        <f t="shared" si="23"/>
        <v>0</v>
      </c>
      <c r="CD94" s="33"/>
      <c r="CE94" s="32"/>
      <c r="CF94" s="33"/>
      <c r="CG94" s="33">
        <f t="shared" si="24"/>
        <v>0</v>
      </c>
      <c r="CH94" s="33"/>
      <c r="CI94" s="32"/>
      <c r="CJ94" s="33"/>
      <c r="CK94" s="33">
        <f t="shared" si="25"/>
        <v>0</v>
      </c>
      <c r="CL94" s="33"/>
      <c r="CM94" s="32"/>
      <c r="CN94" s="23"/>
      <c r="CO94" s="5">
        <f t="shared" si="26"/>
        <v>0</v>
      </c>
      <c r="CP94" s="10"/>
      <c r="CQ94" s="6"/>
      <c r="CR94" s="31"/>
      <c r="CS94" s="124"/>
      <c r="CT94" s="124"/>
      <c r="CU94" s="31"/>
      <c r="CV94" s="124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</row>
    <row r="95" spans="1:126" s="7" customFormat="1" ht="15" customHeight="1" x14ac:dyDescent="0.3">
      <c r="A95" s="134">
        <v>95</v>
      </c>
      <c r="B95" s="34" t="s">
        <v>397</v>
      </c>
      <c r="C95" s="14">
        <v>7096286</v>
      </c>
      <c r="D95" s="14" t="s">
        <v>373</v>
      </c>
      <c r="E95" s="15" t="s">
        <v>45</v>
      </c>
      <c r="F95" s="167">
        <v>1</v>
      </c>
      <c r="G95" s="25">
        <v>0</v>
      </c>
      <c r="H95" s="9">
        <v>0</v>
      </c>
      <c r="I95" s="26">
        <v>0</v>
      </c>
      <c r="J95" s="30">
        <v>0</v>
      </c>
      <c r="K95" s="29">
        <v>0</v>
      </c>
      <c r="L95" s="29">
        <v>0</v>
      </c>
      <c r="M95" s="29">
        <v>0</v>
      </c>
      <c r="N95" s="29">
        <v>0</v>
      </c>
      <c r="O95" s="29">
        <v>0</v>
      </c>
      <c r="P95" s="158">
        <v>0</v>
      </c>
      <c r="Q95" s="158">
        <v>1</v>
      </c>
      <c r="R95" s="158">
        <v>1</v>
      </c>
      <c r="S95" s="158">
        <v>1</v>
      </c>
      <c r="T95" s="158">
        <v>0</v>
      </c>
      <c r="U95" s="158">
        <v>0</v>
      </c>
      <c r="V95" s="29">
        <v>0</v>
      </c>
      <c r="W95" s="29">
        <v>0</v>
      </c>
      <c r="X95" s="159">
        <v>0</v>
      </c>
      <c r="Y95" s="159">
        <v>0</v>
      </c>
      <c r="Z95" s="29">
        <v>0</v>
      </c>
      <c r="AA95" s="29">
        <v>0</v>
      </c>
      <c r="AB95" s="29">
        <v>0</v>
      </c>
      <c r="AC95" s="29">
        <v>0</v>
      </c>
      <c r="AD95" s="29">
        <v>0</v>
      </c>
      <c r="AE95" s="159">
        <v>1</v>
      </c>
      <c r="AF95" s="159">
        <v>1</v>
      </c>
      <c r="AG95" s="160">
        <v>0</v>
      </c>
      <c r="AH95" s="160">
        <v>0</v>
      </c>
      <c r="AI95" s="160">
        <v>0</v>
      </c>
      <c r="AJ95" s="160">
        <v>0</v>
      </c>
      <c r="AK95" s="29">
        <v>0</v>
      </c>
      <c r="AL95" s="29">
        <v>0</v>
      </c>
      <c r="AM95" s="29">
        <v>0</v>
      </c>
      <c r="AN95" s="29">
        <v>0</v>
      </c>
      <c r="AO95" s="29">
        <v>0</v>
      </c>
      <c r="AP95" s="160">
        <v>0</v>
      </c>
      <c r="AQ95" s="161">
        <v>0</v>
      </c>
      <c r="AR95" s="161">
        <v>0</v>
      </c>
      <c r="AS95" s="161">
        <v>0</v>
      </c>
      <c r="AT95" s="161">
        <v>0</v>
      </c>
      <c r="AU95" s="161">
        <v>0</v>
      </c>
      <c r="AV95" s="161">
        <v>0</v>
      </c>
      <c r="AW95" s="161">
        <v>0</v>
      </c>
      <c r="AX95" s="162">
        <v>0</v>
      </c>
      <c r="AY95" s="162">
        <v>0</v>
      </c>
      <c r="AZ95" s="162">
        <v>0</v>
      </c>
      <c r="BA95" s="162">
        <v>1</v>
      </c>
      <c r="BB95" s="32"/>
      <c r="BC95" s="63"/>
      <c r="BD95" s="63">
        <f t="shared" si="18"/>
        <v>0</v>
      </c>
      <c r="BE95" s="63"/>
      <c r="BF95" s="32"/>
      <c r="BG95" s="32"/>
      <c r="BH95" s="63"/>
      <c r="BI95" s="64">
        <f t="shared" si="19"/>
        <v>0</v>
      </c>
      <c r="BJ95" s="63"/>
      <c r="BK95" s="32"/>
      <c r="BL95" s="32"/>
      <c r="BM95" s="33"/>
      <c r="BN95" s="33">
        <f t="shared" si="20"/>
        <v>0</v>
      </c>
      <c r="BO95" s="33"/>
      <c r="BP95" s="32"/>
      <c r="BQ95" s="32"/>
      <c r="BR95" s="33"/>
      <c r="BS95" s="33">
        <f t="shared" si="21"/>
        <v>0</v>
      </c>
      <c r="BT95" s="33"/>
      <c r="BU95" s="32"/>
      <c r="BV95" s="32"/>
      <c r="BW95" s="63"/>
      <c r="BX95" s="63">
        <f t="shared" si="22"/>
        <v>0</v>
      </c>
      <c r="BY95" s="63"/>
      <c r="BZ95" s="32"/>
      <c r="CA95" s="32"/>
      <c r="CB95" s="33"/>
      <c r="CC95" s="33">
        <f t="shared" si="23"/>
        <v>0</v>
      </c>
      <c r="CD95" s="33"/>
      <c r="CE95" s="32"/>
      <c r="CF95" s="33"/>
      <c r="CG95" s="33">
        <f t="shared" si="24"/>
        <v>0</v>
      </c>
      <c r="CH95" s="33"/>
      <c r="CI95" s="32"/>
      <c r="CJ95" s="33"/>
      <c r="CK95" s="33">
        <f t="shared" si="25"/>
        <v>0</v>
      </c>
      <c r="CL95" s="33"/>
      <c r="CM95" s="32"/>
      <c r="CN95" s="23"/>
      <c r="CO95" s="5">
        <f t="shared" si="26"/>
        <v>0</v>
      </c>
      <c r="CP95" s="10"/>
      <c r="CQ95" s="6"/>
      <c r="CR95" s="31"/>
      <c r="CS95" s="124"/>
      <c r="CT95" s="124"/>
      <c r="CU95" s="31"/>
      <c r="CV95" s="124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</row>
    <row r="96" spans="1:126" s="7" customFormat="1" ht="15" customHeight="1" x14ac:dyDescent="0.3">
      <c r="A96" s="138">
        <v>127</v>
      </c>
      <c r="B96" s="35" t="s">
        <v>200</v>
      </c>
      <c r="C96" s="14">
        <v>7402448</v>
      </c>
      <c r="D96" s="14" t="s">
        <v>436</v>
      </c>
      <c r="E96" s="163" t="s">
        <v>437</v>
      </c>
      <c r="F96" s="167">
        <v>1</v>
      </c>
      <c r="G96" s="25">
        <v>0</v>
      </c>
      <c r="H96" s="9">
        <v>0</v>
      </c>
      <c r="I96" s="26">
        <v>0</v>
      </c>
      <c r="J96" s="30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158">
        <v>0</v>
      </c>
      <c r="Q96" s="158">
        <v>0</v>
      </c>
      <c r="R96" s="158">
        <v>0</v>
      </c>
      <c r="S96" s="158">
        <v>0</v>
      </c>
      <c r="T96" s="158">
        <v>0</v>
      </c>
      <c r="U96" s="158">
        <v>1</v>
      </c>
      <c r="V96" s="29">
        <v>0</v>
      </c>
      <c r="W96" s="29">
        <v>0</v>
      </c>
      <c r="X96" s="159">
        <v>0</v>
      </c>
      <c r="Y96" s="159">
        <v>0</v>
      </c>
      <c r="Z96" s="29">
        <v>0</v>
      </c>
      <c r="AA96" s="29">
        <v>0</v>
      </c>
      <c r="AB96" s="29">
        <v>0</v>
      </c>
      <c r="AC96" s="29">
        <v>1</v>
      </c>
      <c r="AD96" s="29">
        <v>0</v>
      </c>
      <c r="AE96" s="159">
        <v>1</v>
      </c>
      <c r="AF96" s="159">
        <v>1</v>
      </c>
      <c r="AG96" s="160">
        <v>0</v>
      </c>
      <c r="AH96" s="160">
        <v>0</v>
      </c>
      <c r="AI96" s="160">
        <v>0</v>
      </c>
      <c r="AJ96" s="160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160">
        <v>0</v>
      </c>
      <c r="AQ96" s="161">
        <v>0</v>
      </c>
      <c r="AR96" s="161">
        <v>0</v>
      </c>
      <c r="AS96" s="161">
        <v>0</v>
      </c>
      <c r="AT96" s="161">
        <v>0</v>
      </c>
      <c r="AU96" s="161">
        <v>0</v>
      </c>
      <c r="AV96" s="161">
        <v>0</v>
      </c>
      <c r="AW96" s="161">
        <v>0</v>
      </c>
      <c r="AX96" s="162">
        <v>0</v>
      </c>
      <c r="AY96" s="162">
        <v>0</v>
      </c>
      <c r="AZ96" s="162">
        <v>0</v>
      </c>
      <c r="BA96" s="162">
        <v>1</v>
      </c>
      <c r="BB96" s="32"/>
      <c r="BC96" s="63"/>
      <c r="BD96" s="63">
        <f t="shared" si="18"/>
        <v>0</v>
      </c>
      <c r="BE96" s="63"/>
      <c r="BF96" s="32"/>
      <c r="BG96" s="32"/>
      <c r="BH96" s="63"/>
      <c r="BI96" s="64">
        <f t="shared" si="19"/>
        <v>0</v>
      </c>
      <c r="BJ96" s="63"/>
      <c r="BK96" s="32"/>
      <c r="BL96" s="32"/>
      <c r="BM96" s="33"/>
      <c r="BN96" s="33">
        <f t="shared" si="20"/>
        <v>0</v>
      </c>
      <c r="BO96" s="33"/>
      <c r="BP96" s="32"/>
      <c r="BQ96" s="32"/>
      <c r="BR96" s="33"/>
      <c r="BS96" s="33">
        <f t="shared" si="21"/>
        <v>0</v>
      </c>
      <c r="BT96" s="33"/>
      <c r="BU96" s="32"/>
      <c r="BV96" s="32"/>
      <c r="BW96" s="63"/>
      <c r="BX96" s="63">
        <f t="shared" si="22"/>
        <v>0</v>
      </c>
      <c r="BY96" s="63"/>
      <c r="BZ96" s="32"/>
      <c r="CA96" s="32"/>
      <c r="CB96" s="33"/>
      <c r="CC96" s="33">
        <f t="shared" si="23"/>
        <v>0</v>
      </c>
      <c r="CD96" s="33"/>
      <c r="CE96" s="32"/>
      <c r="CF96" s="33"/>
      <c r="CG96" s="33">
        <f t="shared" si="24"/>
        <v>0</v>
      </c>
      <c r="CH96" s="33"/>
      <c r="CI96" s="32"/>
      <c r="CJ96" s="33"/>
      <c r="CK96" s="33">
        <f t="shared" si="25"/>
        <v>0</v>
      </c>
      <c r="CL96" s="33"/>
      <c r="CM96" s="32"/>
      <c r="CN96" s="23"/>
      <c r="CO96" s="5">
        <f t="shared" si="26"/>
        <v>0</v>
      </c>
      <c r="CP96" s="10"/>
      <c r="CQ96" s="6"/>
      <c r="CR96" s="31"/>
      <c r="CS96" s="124"/>
      <c r="CT96" s="124"/>
      <c r="CU96" s="31"/>
      <c r="CV96" s="124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</row>
    <row r="97" spans="1:16239" s="7" customFormat="1" ht="15" customHeight="1" x14ac:dyDescent="0.3">
      <c r="A97" s="134">
        <v>64</v>
      </c>
      <c r="B97" s="34" t="s">
        <v>397</v>
      </c>
      <c r="C97" s="14">
        <v>7093500</v>
      </c>
      <c r="D97" s="14" t="s">
        <v>172</v>
      </c>
      <c r="E97" s="14" t="s">
        <v>173</v>
      </c>
      <c r="F97" s="167">
        <v>1</v>
      </c>
      <c r="G97" s="25">
        <v>0</v>
      </c>
      <c r="H97" s="9">
        <v>0</v>
      </c>
      <c r="I97" s="26">
        <v>0</v>
      </c>
      <c r="J97" s="30">
        <v>0</v>
      </c>
      <c r="K97" s="29">
        <v>0</v>
      </c>
      <c r="L97" s="29">
        <v>0</v>
      </c>
      <c r="M97" s="29">
        <v>0</v>
      </c>
      <c r="N97" s="29">
        <v>1</v>
      </c>
      <c r="O97" s="29">
        <v>1</v>
      </c>
      <c r="P97" s="158">
        <v>1</v>
      </c>
      <c r="Q97" s="158">
        <v>1</v>
      </c>
      <c r="R97" s="158">
        <v>0</v>
      </c>
      <c r="S97" s="158">
        <v>0</v>
      </c>
      <c r="T97" s="158">
        <v>0</v>
      </c>
      <c r="U97" s="158">
        <v>0</v>
      </c>
      <c r="V97" s="29">
        <v>0</v>
      </c>
      <c r="W97" s="29">
        <v>0</v>
      </c>
      <c r="X97" s="159">
        <v>1</v>
      </c>
      <c r="Y97" s="159">
        <v>1</v>
      </c>
      <c r="Z97" s="29">
        <v>0</v>
      </c>
      <c r="AA97" s="29">
        <v>0</v>
      </c>
      <c r="AB97" s="29">
        <v>0</v>
      </c>
      <c r="AC97" s="29">
        <v>0</v>
      </c>
      <c r="AD97" s="29">
        <v>0</v>
      </c>
      <c r="AE97" s="159">
        <v>1</v>
      </c>
      <c r="AF97" s="159">
        <v>1</v>
      </c>
      <c r="AG97" s="160">
        <v>0</v>
      </c>
      <c r="AH97" s="160">
        <v>0</v>
      </c>
      <c r="AI97" s="160">
        <v>0</v>
      </c>
      <c r="AJ97" s="160">
        <v>0</v>
      </c>
      <c r="AK97" s="29">
        <v>0</v>
      </c>
      <c r="AL97" s="29">
        <v>0</v>
      </c>
      <c r="AM97" s="29">
        <v>0</v>
      </c>
      <c r="AN97" s="29">
        <v>0</v>
      </c>
      <c r="AO97" s="29">
        <v>0</v>
      </c>
      <c r="AP97" s="160">
        <v>0</v>
      </c>
      <c r="AQ97" s="161">
        <v>0</v>
      </c>
      <c r="AR97" s="161">
        <v>0</v>
      </c>
      <c r="AS97" s="161">
        <v>0</v>
      </c>
      <c r="AT97" s="161">
        <v>0</v>
      </c>
      <c r="AU97" s="161">
        <v>0</v>
      </c>
      <c r="AV97" s="161">
        <v>0</v>
      </c>
      <c r="AW97" s="161">
        <v>0</v>
      </c>
      <c r="AX97" s="162">
        <v>0</v>
      </c>
      <c r="AY97" s="162">
        <v>0</v>
      </c>
      <c r="AZ97" s="162">
        <v>0</v>
      </c>
      <c r="BA97" s="162">
        <v>1</v>
      </c>
      <c r="BB97" s="32"/>
      <c r="BC97" s="63"/>
      <c r="BD97" s="63">
        <f t="shared" si="18"/>
        <v>0</v>
      </c>
      <c r="BE97" s="63"/>
      <c r="BF97" s="32"/>
      <c r="BG97" s="32"/>
      <c r="BH97" s="63"/>
      <c r="BI97" s="64">
        <f t="shared" si="19"/>
        <v>0</v>
      </c>
      <c r="BJ97" s="63"/>
      <c r="BK97" s="32"/>
      <c r="BL97" s="32"/>
      <c r="BM97" s="33"/>
      <c r="BN97" s="33">
        <f t="shared" si="20"/>
        <v>0</v>
      </c>
      <c r="BO97" s="33"/>
      <c r="BP97" s="32"/>
      <c r="BQ97" s="32"/>
      <c r="BR97" s="33"/>
      <c r="BS97" s="33">
        <f t="shared" si="21"/>
        <v>0</v>
      </c>
      <c r="BT97" s="33"/>
      <c r="BU97" s="32"/>
      <c r="BV97" s="32"/>
      <c r="BW97" s="63"/>
      <c r="BX97" s="63">
        <f t="shared" si="22"/>
        <v>0</v>
      </c>
      <c r="BY97" s="63"/>
      <c r="BZ97" s="32"/>
      <c r="CA97" s="32"/>
      <c r="CB97" s="33"/>
      <c r="CC97" s="33">
        <f t="shared" si="23"/>
        <v>0</v>
      </c>
      <c r="CD97" s="33"/>
      <c r="CE97" s="32"/>
      <c r="CF97" s="33"/>
      <c r="CG97" s="33">
        <f t="shared" si="24"/>
        <v>0</v>
      </c>
      <c r="CH97" s="33"/>
      <c r="CI97" s="32"/>
      <c r="CJ97" s="33"/>
      <c r="CK97" s="33">
        <f t="shared" si="25"/>
        <v>0</v>
      </c>
      <c r="CL97" s="33"/>
      <c r="CM97" s="32"/>
      <c r="CN97" s="23"/>
      <c r="CO97" s="5">
        <f t="shared" si="26"/>
        <v>0</v>
      </c>
      <c r="CP97" s="10"/>
      <c r="CQ97" s="6"/>
      <c r="CR97" s="31"/>
      <c r="CS97" s="124"/>
      <c r="CT97" s="124"/>
      <c r="CU97" s="31"/>
      <c r="CV97" s="124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</row>
    <row r="98" spans="1:16239" s="7" customFormat="1" ht="15" customHeight="1" x14ac:dyDescent="0.3">
      <c r="A98" s="43">
        <v>144</v>
      </c>
      <c r="B98" s="38" t="s">
        <v>455</v>
      </c>
      <c r="C98" s="36">
        <v>7403482</v>
      </c>
      <c r="D98" s="36" t="s">
        <v>467</v>
      </c>
      <c r="E98" s="36" t="s">
        <v>468</v>
      </c>
      <c r="F98" s="167">
        <v>1</v>
      </c>
      <c r="G98" s="25">
        <v>0</v>
      </c>
      <c r="H98" s="9">
        <v>0</v>
      </c>
      <c r="I98" s="26">
        <v>0</v>
      </c>
      <c r="J98" s="30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158">
        <v>0</v>
      </c>
      <c r="Q98" s="158">
        <v>0</v>
      </c>
      <c r="R98" s="158">
        <v>0</v>
      </c>
      <c r="S98" s="158">
        <v>0</v>
      </c>
      <c r="T98" s="158">
        <v>0</v>
      </c>
      <c r="U98" s="158">
        <v>0</v>
      </c>
      <c r="V98" s="29">
        <v>0</v>
      </c>
      <c r="W98" s="29">
        <v>0</v>
      </c>
      <c r="X98" s="159">
        <v>0</v>
      </c>
      <c r="Y98" s="15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159">
        <v>0</v>
      </c>
      <c r="AF98" s="159">
        <v>1</v>
      </c>
      <c r="AG98" s="160">
        <v>0</v>
      </c>
      <c r="AH98" s="160">
        <v>0</v>
      </c>
      <c r="AI98" s="160">
        <v>0</v>
      </c>
      <c r="AJ98" s="160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160">
        <v>0</v>
      </c>
      <c r="AQ98" s="161">
        <v>1</v>
      </c>
      <c r="AR98" s="161">
        <v>0</v>
      </c>
      <c r="AS98" s="161">
        <v>0</v>
      </c>
      <c r="AT98" s="161">
        <v>0</v>
      </c>
      <c r="AU98" s="161">
        <v>0</v>
      </c>
      <c r="AV98" s="161">
        <v>0</v>
      </c>
      <c r="AW98" s="161">
        <v>0</v>
      </c>
      <c r="AX98" s="162">
        <v>0</v>
      </c>
      <c r="AY98" s="162">
        <v>0</v>
      </c>
      <c r="AZ98" s="162">
        <v>0</v>
      </c>
      <c r="BA98" s="162">
        <v>0</v>
      </c>
      <c r="BB98" s="32"/>
      <c r="BC98" s="63"/>
      <c r="BD98" s="63">
        <f t="shared" si="18"/>
        <v>0</v>
      </c>
      <c r="BE98" s="63"/>
      <c r="BF98" s="32"/>
      <c r="BG98" s="32"/>
      <c r="BH98" s="63"/>
      <c r="BI98" s="64">
        <f t="shared" si="19"/>
        <v>0</v>
      </c>
      <c r="BJ98" s="63"/>
      <c r="BK98" s="32"/>
      <c r="BL98" s="32"/>
      <c r="BM98" s="33"/>
      <c r="BN98" s="33">
        <f t="shared" si="20"/>
        <v>0</v>
      </c>
      <c r="BO98" s="33"/>
      <c r="BP98" s="32"/>
      <c r="BQ98" s="32"/>
      <c r="BR98" s="33"/>
      <c r="BS98" s="33">
        <f t="shared" si="21"/>
        <v>0</v>
      </c>
      <c r="BT98" s="33"/>
      <c r="BU98" s="32"/>
      <c r="BV98" s="32"/>
      <c r="BW98" s="63"/>
      <c r="BX98" s="63">
        <f t="shared" si="22"/>
        <v>0</v>
      </c>
      <c r="BY98" s="63"/>
      <c r="BZ98" s="32"/>
      <c r="CA98" s="32"/>
      <c r="CB98" s="33"/>
      <c r="CC98" s="33">
        <f t="shared" si="23"/>
        <v>0</v>
      </c>
      <c r="CD98" s="33"/>
      <c r="CE98" s="32"/>
      <c r="CF98" s="33"/>
      <c r="CG98" s="33">
        <f t="shared" si="24"/>
        <v>0</v>
      </c>
      <c r="CH98" s="33"/>
      <c r="CI98" s="32"/>
      <c r="CJ98" s="33"/>
      <c r="CK98" s="33">
        <f t="shared" si="25"/>
        <v>0</v>
      </c>
      <c r="CL98" s="33"/>
      <c r="CM98" s="32"/>
      <c r="CN98" s="23"/>
      <c r="CO98" s="5">
        <f t="shared" si="26"/>
        <v>0</v>
      </c>
      <c r="CP98" s="10"/>
      <c r="CQ98" s="6"/>
      <c r="CR98" s="31"/>
      <c r="CS98" s="124"/>
      <c r="CT98" s="124"/>
      <c r="CU98" s="31"/>
      <c r="CV98" s="124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</row>
    <row r="99" spans="1:16239" s="7" customFormat="1" ht="15" customHeight="1" x14ac:dyDescent="0.3">
      <c r="A99" s="134">
        <v>92</v>
      </c>
      <c r="B99" s="123" t="s">
        <v>397</v>
      </c>
      <c r="C99" s="12">
        <v>7097996</v>
      </c>
      <c r="D99" s="13" t="s">
        <v>363</v>
      </c>
      <c r="E99" s="13" t="s">
        <v>364</v>
      </c>
      <c r="F99" s="167">
        <v>1</v>
      </c>
      <c r="G99" s="25">
        <v>0</v>
      </c>
      <c r="H99" s="9">
        <v>0</v>
      </c>
      <c r="I99" s="26">
        <v>0</v>
      </c>
      <c r="J99" s="30">
        <v>0</v>
      </c>
      <c r="K99" s="29">
        <v>1</v>
      </c>
      <c r="L99" s="29">
        <v>0</v>
      </c>
      <c r="M99" s="29">
        <v>0</v>
      </c>
      <c r="N99" s="29">
        <v>1</v>
      </c>
      <c r="O99" s="29">
        <v>1</v>
      </c>
      <c r="P99" s="158">
        <v>1</v>
      </c>
      <c r="Q99" s="158">
        <v>1</v>
      </c>
      <c r="R99" s="158">
        <v>0</v>
      </c>
      <c r="S99" s="158">
        <v>0</v>
      </c>
      <c r="T99" s="158">
        <v>0</v>
      </c>
      <c r="U99" s="158">
        <v>0</v>
      </c>
      <c r="V99" s="29">
        <v>0</v>
      </c>
      <c r="W99" s="29">
        <v>0</v>
      </c>
      <c r="X99" s="159">
        <v>0</v>
      </c>
      <c r="Y99" s="159">
        <v>0</v>
      </c>
      <c r="Z99" s="29">
        <v>0</v>
      </c>
      <c r="AA99" s="29">
        <v>0</v>
      </c>
      <c r="AB99" s="29">
        <v>0</v>
      </c>
      <c r="AC99" s="29">
        <v>0</v>
      </c>
      <c r="AD99" s="29">
        <v>0</v>
      </c>
      <c r="AE99" s="159">
        <v>1</v>
      </c>
      <c r="AF99" s="159">
        <v>1</v>
      </c>
      <c r="AG99" s="160">
        <v>0</v>
      </c>
      <c r="AH99" s="160">
        <v>0</v>
      </c>
      <c r="AI99" s="160">
        <v>0</v>
      </c>
      <c r="AJ99" s="160">
        <v>0</v>
      </c>
      <c r="AK99" s="29">
        <v>0</v>
      </c>
      <c r="AL99" s="29">
        <v>0</v>
      </c>
      <c r="AM99" s="29">
        <v>0</v>
      </c>
      <c r="AN99" s="29">
        <v>0</v>
      </c>
      <c r="AO99" s="29">
        <v>0</v>
      </c>
      <c r="AP99" s="160">
        <v>0</v>
      </c>
      <c r="AQ99" s="161">
        <v>0</v>
      </c>
      <c r="AR99" s="161">
        <v>0</v>
      </c>
      <c r="AS99" s="161">
        <v>0</v>
      </c>
      <c r="AT99" s="161">
        <v>0</v>
      </c>
      <c r="AU99" s="161">
        <v>0</v>
      </c>
      <c r="AV99" s="161">
        <v>0</v>
      </c>
      <c r="AW99" s="161">
        <v>0</v>
      </c>
      <c r="AX99" s="162">
        <v>0</v>
      </c>
      <c r="AY99" s="162">
        <v>0</v>
      </c>
      <c r="AZ99" s="162">
        <v>0</v>
      </c>
      <c r="BA99" s="162">
        <v>0</v>
      </c>
      <c r="BB99" s="32"/>
      <c r="BC99" s="63"/>
      <c r="BD99" s="63">
        <f t="shared" si="18"/>
        <v>0</v>
      </c>
      <c r="BE99" s="63"/>
      <c r="BF99" s="32"/>
      <c r="BG99" s="32"/>
      <c r="BH99" s="63"/>
      <c r="BI99" s="64">
        <f t="shared" si="19"/>
        <v>0</v>
      </c>
      <c r="BJ99" s="63"/>
      <c r="BK99" s="32"/>
      <c r="BL99" s="32"/>
      <c r="BM99" s="33"/>
      <c r="BN99" s="33">
        <f t="shared" si="20"/>
        <v>0</v>
      </c>
      <c r="BO99" s="33"/>
      <c r="BP99" s="32"/>
      <c r="BQ99" s="32"/>
      <c r="BR99" s="33"/>
      <c r="BS99" s="33">
        <f t="shared" si="21"/>
        <v>0</v>
      </c>
      <c r="BT99" s="33"/>
      <c r="BU99" s="32"/>
      <c r="BV99" s="32"/>
      <c r="BW99" s="63"/>
      <c r="BX99" s="63">
        <f t="shared" si="22"/>
        <v>0</v>
      </c>
      <c r="BY99" s="63"/>
      <c r="BZ99" s="32"/>
      <c r="CA99" s="32"/>
      <c r="CB99" s="33"/>
      <c r="CC99" s="33">
        <f t="shared" si="23"/>
        <v>0</v>
      </c>
      <c r="CD99" s="33"/>
      <c r="CE99" s="32"/>
      <c r="CF99" s="33"/>
      <c r="CG99" s="33">
        <f t="shared" si="24"/>
        <v>0</v>
      </c>
      <c r="CH99" s="33"/>
      <c r="CI99" s="32"/>
      <c r="CJ99" s="33"/>
      <c r="CK99" s="33">
        <f t="shared" si="25"/>
        <v>0</v>
      </c>
      <c r="CL99" s="33"/>
      <c r="CM99" s="32"/>
      <c r="CN99" s="23"/>
      <c r="CO99" s="5">
        <f t="shared" si="26"/>
        <v>0</v>
      </c>
      <c r="CP99" s="10"/>
      <c r="CQ99" s="6"/>
      <c r="CR99" s="31"/>
      <c r="CS99" s="124"/>
      <c r="CT99" s="124"/>
      <c r="CU99" s="31"/>
      <c r="CV99" s="124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</row>
    <row r="100" spans="1:16239" s="7" customFormat="1" ht="15" customHeight="1" x14ac:dyDescent="0.3">
      <c r="A100" s="134">
        <v>24</v>
      </c>
      <c r="B100" s="34" t="s">
        <v>397</v>
      </c>
      <c r="C100" s="16">
        <v>7051908</v>
      </c>
      <c r="D100" s="14" t="s">
        <v>107</v>
      </c>
      <c r="E100" s="15" t="s">
        <v>108</v>
      </c>
      <c r="F100" s="167">
        <v>1</v>
      </c>
      <c r="G100" s="25">
        <v>0</v>
      </c>
      <c r="H100" s="9">
        <v>0</v>
      </c>
      <c r="I100" s="26">
        <v>0</v>
      </c>
      <c r="J100" s="30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158">
        <v>0</v>
      </c>
      <c r="Q100" s="158">
        <v>0</v>
      </c>
      <c r="R100" s="158">
        <v>0</v>
      </c>
      <c r="S100" s="158">
        <v>0</v>
      </c>
      <c r="T100" s="158">
        <v>0</v>
      </c>
      <c r="U100" s="158">
        <v>0</v>
      </c>
      <c r="V100" s="29">
        <v>0</v>
      </c>
      <c r="W100" s="29">
        <v>0</v>
      </c>
      <c r="X100" s="159">
        <v>0</v>
      </c>
      <c r="Y100" s="15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159">
        <v>0</v>
      </c>
      <c r="AF100" s="159">
        <v>0</v>
      </c>
      <c r="AG100" s="160">
        <v>1</v>
      </c>
      <c r="AH100" s="160">
        <v>0</v>
      </c>
      <c r="AI100" s="160">
        <v>0</v>
      </c>
      <c r="AJ100" s="160">
        <v>0</v>
      </c>
      <c r="AK100" s="29">
        <v>0</v>
      </c>
      <c r="AL100" s="29">
        <v>1</v>
      </c>
      <c r="AM100" s="29">
        <v>1</v>
      </c>
      <c r="AN100" s="29">
        <v>0</v>
      </c>
      <c r="AO100" s="29">
        <v>0</v>
      </c>
      <c r="AP100" s="160">
        <v>1</v>
      </c>
      <c r="AQ100" s="161">
        <v>0</v>
      </c>
      <c r="AR100" s="161">
        <v>0</v>
      </c>
      <c r="AS100" s="161">
        <v>1</v>
      </c>
      <c r="AT100" s="161">
        <v>1</v>
      </c>
      <c r="AU100" s="161">
        <v>1</v>
      </c>
      <c r="AV100" s="161">
        <v>1</v>
      </c>
      <c r="AW100" s="161">
        <v>0</v>
      </c>
      <c r="AX100" s="162">
        <v>0</v>
      </c>
      <c r="AY100" s="162">
        <v>0</v>
      </c>
      <c r="AZ100" s="162">
        <v>0</v>
      </c>
      <c r="BA100" s="162">
        <v>0</v>
      </c>
      <c r="BB100" s="32"/>
      <c r="BC100" s="63"/>
      <c r="BD100" s="63">
        <f t="shared" si="18"/>
        <v>0</v>
      </c>
      <c r="BE100" s="63"/>
      <c r="BF100" s="32"/>
      <c r="BG100" s="32"/>
      <c r="BH100" s="63"/>
      <c r="BI100" s="64">
        <f t="shared" si="19"/>
        <v>0</v>
      </c>
      <c r="BJ100" s="63"/>
      <c r="BK100" s="32"/>
      <c r="BL100" s="32"/>
      <c r="BM100" s="33"/>
      <c r="BN100" s="33">
        <f t="shared" si="20"/>
        <v>0</v>
      </c>
      <c r="BO100" s="33"/>
      <c r="BP100" s="32"/>
      <c r="BQ100" s="32"/>
      <c r="BR100" s="33"/>
      <c r="BS100" s="33">
        <f t="shared" si="21"/>
        <v>0</v>
      </c>
      <c r="BT100" s="33"/>
      <c r="BU100" s="32"/>
      <c r="BV100" s="32"/>
      <c r="BW100" s="63"/>
      <c r="BX100" s="63">
        <f t="shared" si="22"/>
        <v>0</v>
      </c>
      <c r="BY100" s="63"/>
      <c r="BZ100" s="32"/>
      <c r="CA100" s="32"/>
      <c r="CB100" s="33"/>
      <c r="CC100" s="33">
        <f t="shared" si="23"/>
        <v>0</v>
      </c>
      <c r="CD100" s="33"/>
      <c r="CE100" s="32"/>
      <c r="CF100" s="33"/>
      <c r="CG100" s="33">
        <f t="shared" si="24"/>
        <v>0</v>
      </c>
      <c r="CH100" s="33"/>
      <c r="CI100" s="32"/>
      <c r="CJ100" s="33"/>
      <c r="CK100" s="33">
        <f t="shared" si="25"/>
        <v>0</v>
      </c>
      <c r="CL100" s="33"/>
      <c r="CM100" s="32"/>
      <c r="CN100" s="23"/>
      <c r="CO100" s="5">
        <f t="shared" si="26"/>
        <v>0</v>
      </c>
      <c r="CP100" s="10"/>
      <c r="CQ100" s="6"/>
      <c r="CR100" s="31"/>
      <c r="CS100" s="124"/>
      <c r="CT100" s="124"/>
      <c r="CU100" s="31"/>
      <c r="CV100" s="124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</row>
    <row r="101" spans="1:16239" s="7" customFormat="1" ht="15" customHeight="1" x14ac:dyDescent="0.3">
      <c r="A101" s="134">
        <v>46</v>
      </c>
      <c r="B101" s="35" t="s">
        <v>397</v>
      </c>
      <c r="C101" s="14">
        <v>7091824</v>
      </c>
      <c r="D101" s="14" t="s">
        <v>109</v>
      </c>
      <c r="E101" s="14" t="s">
        <v>104</v>
      </c>
      <c r="F101" s="167">
        <v>1</v>
      </c>
      <c r="G101" s="25">
        <v>0</v>
      </c>
      <c r="H101" s="9">
        <v>0</v>
      </c>
      <c r="I101" s="26">
        <v>0</v>
      </c>
      <c r="J101" s="30">
        <v>0</v>
      </c>
      <c r="K101" s="29">
        <v>0</v>
      </c>
      <c r="L101" s="29">
        <v>0</v>
      </c>
      <c r="M101" s="29">
        <v>0</v>
      </c>
      <c r="N101" s="29">
        <v>0</v>
      </c>
      <c r="O101" s="29">
        <v>0</v>
      </c>
      <c r="P101" s="158">
        <v>0</v>
      </c>
      <c r="Q101" s="158">
        <v>0</v>
      </c>
      <c r="R101" s="158">
        <v>0</v>
      </c>
      <c r="S101" s="158">
        <v>0</v>
      </c>
      <c r="T101" s="158">
        <v>0</v>
      </c>
      <c r="U101" s="158">
        <v>0</v>
      </c>
      <c r="V101" s="29">
        <v>0</v>
      </c>
      <c r="W101" s="29">
        <v>0</v>
      </c>
      <c r="X101" s="159">
        <v>0</v>
      </c>
      <c r="Y101" s="159">
        <v>0</v>
      </c>
      <c r="Z101" s="29">
        <v>0</v>
      </c>
      <c r="AA101" s="29">
        <v>0</v>
      </c>
      <c r="AB101" s="29">
        <v>0</v>
      </c>
      <c r="AC101" s="29">
        <v>1</v>
      </c>
      <c r="AD101" s="29">
        <v>0</v>
      </c>
      <c r="AE101" s="159">
        <v>1</v>
      </c>
      <c r="AF101" s="159">
        <v>1</v>
      </c>
      <c r="AG101" s="160">
        <v>0</v>
      </c>
      <c r="AH101" s="160">
        <v>0</v>
      </c>
      <c r="AI101" s="160">
        <v>0</v>
      </c>
      <c r="AJ101" s="160">
        <v>1</v>
      </c>
      <c r="AK101" s="29">
        <v>0</v>
      </c>
      <c r="AL101" s="29">
        <v>1</v>
      </c>
      <c r="AM101" s="29">
        <v>0</v>
      </c>
      <c r="AN101" s="29">
        <v>1</v>
      </c>
      <c r="AO101" s="29">
        <v>1</v>
      </c>
      <c r="AP101" s="160">
        <v>0</v>
      </c>
      <c r="AQ101" s="161">
        <v>0</v>
      </c>
      <c r="AR101" s="161">
        <v>0</v>
      </c>
      <c r="AS101" s="161">
        <v>0</v>
      </c>
      <c r="AT101" s="161">
        <v>0</v>
      </c>
      <c r="AU101" s="161">
        <v>0</v>
      </c>
      <c r="AV101" s="161">
        <v>0</v>
      </c>
      <c r="AW101" s="161">
        <v>0</v>
      </c>
      <c r="AX101" s="162">
        <v>0</v>
      </c>
      <c r="AY101" s="162">
        <v>0</v>
      </c>
      <c r="AZ101" s="162">
        <v>0</v>
      </c>
      <c r="BA101" s="162">
        <v>0</v>
      </c>
      <c r="BB101" s="32"/>
      <c r="BC101" s="63"/>
      <c r="BD101" s="63">
        <f t="shared" si="18"/>
        <v>0</v>
      </c>
      <c r="BE101" s="63"/>
      <c r="BF101" s="32"/>
      <c r="BG101" s="32"/>
      <c r="BH101" s="63"/>
      <c r="BI101" s="64">
        <f t="shared" si="19"/>
        <v>0</v>
      </c>
      <c r="BJ101" s="63"/>
      <c r="BK101" s="32"/>
      <c r="BL101" s="32"/>
      <c r="BM101" s="33"/>
      <c r="BN101" s="33">
        <f t="shared" si="20"/>
        <v>0</v>
      </c>
      <c r="BO101" s="33"/>
      <c r="BP101" s="32"/>
      <c r="BQ101" s="32"/>
      <c r="BR101" s="33"/>
      <c r="BS101" s="33">
        <f t="shared" si="21"/>
        <v>0</v>
      </c>
      <c r="BT101" s="33"/>
      <c r="BU101" s="32"/>
      <c r="BV101" s="32"/>
      <c r="BW101" s="63"/>
      <c r="BX101" s="63">
        <f t="shared" si="22"/>
        <v>0</v>
      </c>
      <c r="BY101" s="63"/>
      <c r="BZ101" s="32"/>
      <c r="CA101" s="32"/>
      <c r="CB101" s="33"/>
      <c r="CC101" s="33">
        <f t="shared" si="23"/>
        <v>0</v>
      </c>
      <c r="CD101" s="33"/>
      <c r="CE101" s="32"/>
      <c r="CF101" s="33"/>
      <c r="CG101" s="33">
        <f t="shared" si="24"/>
        <v>0</v>
      </c>
      <c r="CH101" s="33"/>
      <c r="CI101" s="32"/>
      <c r="CJ101" s="33"/>
      <c r="CK101" s="33">
        <f t="shared" si="25"/>
        <v>0</v>
      </c>
      <c r="CL101" s="33"/>
      <c r="CM101" s="32"/>
      <c r="CN101" s="23"/>
      <c r="CO101" s="5">
        <f t="shared" si="26"/>
        <v>0</v>
      </c>
      <c r="CP101" s="10"/>
      <c r="CQ101" s="6"/>
      <c r="CR101" s="31"/>
      <c r="CS101" s="124"/>
      <c r="CT101" s="124"/>
      <c r="CU101" s="31"/>
      <c r="CV101" s="124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</row>
    <row r="102" spans="1:16239" s="7" customFormat="1" ht="15" customHeight="1" x14ac:dyDescent="0.3">
      <c r="A102" s="134">
        <v>118</v>
      </c>
      <c r="B102" s="165" t="s">
        <v>42</v>
      </c>
      <c r="C102" s="16">
        <v>7099798</v>
      </c>
      <c r="D102" s="16" t="s">
        <v>499</v>
      </c>
      <c r="E102" s="16" t="s">
        <v>500</v>
      </c>
      <c r="F102" s="167">
        <v>1</v>
      </c>
      <c r="G102" s="25">
        <v>0</v>
      </c>
      <c r="H102" s="9">
        <v>0</v>
      </c>
      <c r="I102" s="26">
        <v>0</v>
      </c>
      <c r="J102" s="30">
        <v>0</v>
      </c>
      <c r="K102" s="29">
        <v>1</v>
      </c>
      <c r="L102" s="29">
        <v>0</v>
      </c>
      <c r="M102" s="29">
        <v>1</v>
      </c>
      <c r="N102" s="29">
        <v>0</v>
      </c>
      <c r="O102" s="29">
        <v>0</v>
      </c>
      <c r="P102" s="158">
        <v>0</v>
      </c>
      <c r="Q102" s="158">
        <v>1</v>
      </c>
      <c r="R102" s="158">
        <v>0</v>
      </c>
      <c r="S102" s="158">
        <v>0</v>
      </c>
      <c r="T102" s="158">
        <v>0</v>
      </c>
      <c r="U102" s="158">
        <v>0</v>
      </c>
      <c r="V102" s="29">
        <v>0</v>
      </c>
      <c r="W102" s="29">
        <v>0</v>
      </c>
      <c r="X102" s="159">
        <v>0</v>
      </c>
      <c r="Y102" s="15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159">
        <v>1</v>
      </c>
      <c r="AF102" s="159">
        <v>1</v>
      </c>
      <c r="AG102" s="160">
        <v>0</v>
      </c>
      <c r="AH102" s="160">
        <v>0</v>
      </c>
      <c r="AI102" s="160">
        <v>0</v>
      </c>
      <c r="AJ102" s="160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160">
        <v>0</v>
      </c>
      <c r="AQ102" s="161">
        <v>0</v>
      </c>
      <c r="AR102" s="161">
        <v>0</v>
      </c>
      <c r="AS102" s="161">
        <v>0</v>
      </c>
      <c r="AT102" s="161">
        <v>0</v>
      </c>
      <c r="AU102" s="161">
        <v>0</v>
      </c>
      <c r="AV102" s="161">
        <v>0</v>
      </c>
      <c r="AW102" s="161">
        <v>0</v>
      </c>
      <c r="AX102" s="162">
        <v>0</v>
      </c>
      <c r="AY102" s="162">
        <v>0</v>
      </c>
      <c r="AZ102" s="162">
        <v>0</v>
      </c>
      <c r="BA102" s="162">
        <v>0</v>
      </c>
      <c r="BB102" s="32"/>
      <c r="BC102" s="63"/>
      <c r="BD102" s="63">
        <f t="shared" si="18"/>
        <v>0</v>
      </c>
      <c r="BE102" s="63"/>
      <c r="BF102" s="32"/>
      <c r="BG102" s="32"/>
      <c r="BH102" s="63"/>
      <c r="BI102" s="64">
        <f t="shared" si="19"/>
        <v>0</v>
      </c>
      <c r="BJ102" s="63"/>
      <c r="BK102" s="32"/>
      <c r="BL102" s="32"/>
      <c r="BM102" s="33"/>
      <c r="BN102" s="33">
        <f t="shared" si="20"/>
        <v>0</v>
      </c>
      <c r="BO102" s="33"/>
      <c r="BP102" s="32"/>
      <c r="BQ102" s="32"/>
      <c r="BR102" s="33"/>
      <c r="BS102" s="33">
        <f t="shared" si="21"/>
        <v>0</v>
      </c>
      <c r="BT102" s="33"/>
      <c r="BU102" s="32"/>
      <c r="BV102" s="32"/>
      <c r="BW102" s="63"/>
      <c r="BX102" s="63">
        <f t="shared" si="22"/>
        <v>0</v>
      </c>
      <c r="BY102" s="63"/>
      <c r="BZ102" s="32"/>
      <c r="CA102" s="32"/>
      <c r="CB102" s="33"/>
      <c r="CC102" s="33">
        <f t="shared" si="23"/>
        <v>0</v>
      </c>
      <c r="CD102" s="33"/>
      <c r="CE102" s="32"/>
      <c r="CF102" s="33"/>
      <c r="CG102" s="33">
        <f t="shared" si="24"/>
        <v>0</v>
      </c>
      <c r="CH102" s="33"/>
      <c r="CI102" s="32"/>
      <c r="CJ102" s="33"/>
      <c r="CK102" s="33">
        <f t="shared" si="25"/>
        <v>0</v>
      </c>
      <c r="CL102" s="33"/>
      <c r="CM102" s="32"/>
      <c r="CN102" s="23"/>
      <c r="CO102" s="5">
        <f t="shared" si="26"/>
        <v>0</v>
      </c>
      <c r="CP102" s="10"/>
      <c r="CQ102" s="6"/>
      <c r="CR102" s="31"/>
      <c r="CS102" s="124"/>
      <c r="CT102" s="124"/>
      <c r="CU102" s="31"/>
      <c r="CV102" s="124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</row>
    <row r="103" spans="1:16239" s="7" customFormat="1" ht="15" customHeight="1" x14ac:dyDescent="0.3">
      <c r="A103" s="134">
        <v>21</v>
      </c>
      <c r="B103" s="123" t="s">
        <v>397</v>
      </c>
      <c r="C103" s="14">
        <v>7055571</v>
      </c>
      <c r="D103" s="14" t="s">
        <v>110</v>
      </c>
      <c r="E103" s="15" t="s">
        <v>111</v>
      </c>
      <c r="F103" s="167">
        <v>1</v>
      </c>
      <c r="G103" s="25">
        <v>0</v>
      </c>
      <c r="H103" s="9">
        <v>0</v>
      </c>
      <c r="I103" s="26">
        <v>0</v>
      </c>
      <c r="J103" s="30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158">
        <v>0</v>
      </c>
      <c r="Q103" s="158">
        <v>1</v>
      </c>
      <c r="R103" s="158">
        <v>0</v>
      </c>
      <c r="S103" s="158">
        <v>0</v>
      </c>
      <c r="T103" s="158">
        <v>0</v>
      </c>
      <c r="U103" s="158">
        <v>1</v>
      </c>
      <c r="V103" s="29">
        <v>0</v>
      </c>
      <c r="W103" s="29">
        <v>0</v>
      </c>
      <c r="X103" s="159">
        <v>0</v>
      </c>
      <c r="Y103" s="159">
        <v>0</v>
      </c>
      <c r="Z103" s="29">
        <v>0</v>
      </c>
      <c r="AA103" s="29">
        <v>0</v>
      </c>
      <c r="AB103" s="29">
        <v>0</v>
      </c>
      <c r="AC103" s="29">
        <v>0</v>
      </c>
      <c r="AD103" s="29">
        <v>0</v>
      </c>
      <c r="AE103" s="159">
        <v>1</v>
      </c>
      <c r="AF103" s="159">
        <v>1</v>
      </c>
      <c r="AG103" s="160">
        <v>0</v>
      </c>
      <c r="AH103" s="160">
        <v>0</v>
      </c>
      <c r="AI103" s="160">
        <v>0</v>
      </c>
      <c r="AJ103" s="160">
        <v>0</v>
      </c>
      <c r="AK103" s="29">
        <v>0</v>
      </c>
      <c r="AL103" s="29">
        <v>0</v>
      </c>
      <c r="AM103" s="29">
        <v>0</v>
      </c>
      <c r="AN103" s="29">
        <v>0</v>
      </c>
      <c r="AO103" s="29">
        <v>0</v>
      </c>
      <c r="AP103" s="160">
        <v>0</v>
      </c>
      <c r="AQ103" s="161">
        <v>0</v>
      </c>
      <c r="AR103" s="161">
        <v>0</v>
      </c>
      <c r="AS103" s="161">
        <v>0</v>
      </c>
      <c r="AT103" s="161">
        <v>0</v>
      </c>
      <c r="AU103" s="161">
        <v>0</v>
      </c>
      <c r="AV103" s="161">
        <v>0</v>
      </c>
      <c r="AW103" s="161">
        <v>0</v>
      </c>
      <c r="AX103" s="162">
        <v>0</v>
      </c>
      <c r="AY103" s="162">
        <v>0</v>
      </c>
      <c r="AZ103" s="162">
        <v>0</v>
      </c>
      <c r="BA103" s="162">
        <v>0</v>
      </c>
      <c r="BB103" s="32"/>
      <c r="BC103" s="63"/>
      <c r="BD103" s="63">
        <f t="shared" si="18"/>
        <v>0</v>
      </c>
      <c r="BE103" s="63"/>
      <c r="BF103" s="32"/>
      <c r="BG103" s="32"/>
      <c r="BH103" s="63"/>
      <c r="BI103" s="64">
        <f t="shared" si="19"/>
        <v>0</v>
      </c>
      <c r="BJ103" s="63"/>
      <c r="BK103" s="32"/>
      <c r="BL103" s="32"/>
      <c r="BM103" s="33"/>
      <c r="BN103" s="33">
        <f t="shared" si="20"/>
        <v>0</v>
      </c>
      <c r="BO103" s="33"/>
      <c r="BP103" s="32"/>
      <c r="BQ103" s="32"/>
      <c r="BR103" s="33"/>
      <c r="BS103" s="33">
        <f t="shared" si="21"/>
        <v>0</v>
      </c>
      <c r="BT103" s="33"/>
      <c r="BU103" s="32"/>
      <c r="BV103" s="32"/>
      <c r="BW103" s="63"/>
      <c r="BX103" s="63">
        <f t="shared" si="22"/>
        <v>0</v>
      </c>
      <c r="BY103" s="63"/>
      <c r="BZ103" s="32"/>
      <c r="CA103" s="32"/>
      <c r="CB103" s="33"/>
      <c r="CC103" s="33">
        <f t="shared" si="23"/>
        <v>0</v>
      </c>
      <c r="CD103" s="33"/>
      <c r="CE103" s="32"/>
      <c r="CF103" s="33"/>
      <c r="CG103" s="33">
        <f t="shared" si="24"/>
        <v>0</v>
      </c>
      <c r="CH103" s="33"/>
      <c r="CI103" s="32"/>
      <c r="CJ103" s="33"/>
      <c r="CK103" s="33">
        <f t="shared" si="25"/>
        <v>0</v>
      </c>
      <c r="CL103" s="33"/>
      <c r="CM103" s="32"/>
      <c r="CN103" s="23"/>
      <c r="CO103" s="5">
        <f t="shared" si="26"/>
        <v>0</v>
      </c>
      <c r="CP103" s="10"/>
      <c r="CQ103" s="6"/>
      <c r="CR103" s="31"/>
      <c r="CS103" s="124"/>
      <c r="CT103" s="124"/>
      <c r="CU103" s="31"/>
      <c r="CV103" s="124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</row>
    <row r="104" spans="1:16239" s="7" customFormat="1" ht="15" customHeight="1" x14ac:dyDescent="0.3">
      <c r="A104" s="134">
        <v>39</v>
      </c>
      <c r="B104" s="35" t="s">
        <v>501</v>
      </c>
      <c r="C104" s="14">
        <v>7092741</v>
      </c>
      <c r="D104" s="14" t="s">
        <v>112</v>
      </c>
      <c r="E104" s="15" t="s">
        <v>113</v>
      </c>
      <c r="F104" s="167">
        <v>1</v>
      </c>
      <c r="G104" s="25">
        <v>0</v>
      </c>
      <c r="H104" s="9">
        <v>0</v>
      </c>
      <c r="I104" s="26">
        <v>0</v>
      </c>
      <c r="J104" s="30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158">
        <v>0</v>
      </c>
      <c r="Q104" s="158">
        <v>0</v>
      </c>
      <c r="R104" s="158">
        <v>0</v>
      </c>
      <c r="S104" s="158">
        <v>0</v>
      </c>
      <c r="T104" s="158">
        <v>0</v>
      </c>
      <c r="U104" s="158">
        <v>0</v>
      </c>
      <c r="V104" s="29">
        <v>0</v>
      </c>
      <c r="W104" s="29">
        <v>0</v>
      </c>
      <c r="X104" s="159">
        <v>0</v>
      </c>
      <c r="Y104" s="15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159">
        <v>0</v>
      </c>
      <c r="AF104" s="159">
        <v>0</v>
      </c>
      <c r="AG104" s="160">
        <v>1</v>
      </c>
      <c r="AH104" s="160">
        <v>0</v>
      </c>
      <c r="AI104" s="160">
        <v>0</v>
      </c>
      <c r="AJ104" s="160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160">
        <v>0</v>
      </c>
      <c r="AQ104" s="161">
        <v>0</v>
      </c>
      <c r="AR104" s="161">
        <v>0</v>
      </c>
      <c r="AS104" s="161">
        <v>0</v>
      </c>
      <c r="AT104" s="161">
        <v>0</v>
      </c>
      <c r="AU104" s="161">
        <v>0</v>
      </c>
      <c r="AV104" s="161">
        <v>0</v>
      </c>
      <c r="AW104" s="161">
        <v>0</v>
      </c>
      <c r="AX104" s="162">
        <v>0</v>
      </c>
      <c r="AY104" s="162">
        <v>0</v>
      </c>
      <c r="AZ104" s="162">
        <v>0</v>
      </c>
      <c r="BA104" s="162">
        <v>0</v>
      </c>
      <c r="BB104" s="32"/>
      <c r="BC104" s="63"/>
      <c r="BD104" s="63">
        <f t="shared" si="18"/>
        <v>0</v>
      </c>
      <c r="BE104" s="63"/>
      <c r="BF104" s="32"/>
      <c r="BG104" s="32"/>
      <c r="BH104" s="63"/>
      <c r="BI104" s="64">
        <f t="shared" si="19"/>
        <v>0</v>
      </c>
      <c r="BJ104" s="63"/>
      <c r="BK104" s="32"/>
      <c r="BL104" s="32"/>
      <c r="BM104" s="33"/>
      <c r="BN104" s="33">
        <f t="shared" si="20"/>
        <v>0</v>
      </c>
      <c r="BO104" s="33"/>
      <c r="BP104" s="32"/>
      <c r="BQ104" s="32"/>
      <c r="BR104" s="33"/>
      <c r="BS104" s="33">
        <f t="shared" si="21"/>
        <v>0</v>
      </c>
      <c r="BT104" s="33"/>
      <c r="BU104" s="32"/>
      <c r="BV104" s="32"/>
      <c r="BW104" s="63"/>
      <c r="BX104" s="63">
        <f t="shared" si="22"/>
        <v>0</v>
      </c>
      <c r="BY104" s="63"/>
      <c r="BZ104" s="32"/>
      <c r="CA104" s="32"/>
      <c r="CB104" s="33"/>
      <c r="CC104" s="33">
        <f t="shared" si="23"/>
        <v>0</v>
      </c>
      <c r="CD104" s="33"/>
      <c r="CE104" s="32"/>
      <c r="CF104" s="33"/>
      <c r="CG104" s="33">
        <f t="shared" si="24"/>
        <v>0</v>
      </c>
      <c r="CH104" s="33"/>
      <c r="CI104" s="32"/>
      <c r="CJ104" s="33"/>
      <c r="CK104" s="33">
        <f t="shared" si="25"/>
        <v>0</v>
      </c>
      <c r="CL104" s="33"/>
      <c r="CM104" s="32"/>
      <c r="CN104" s="23"/>
      <c r="CO104" s="5">
        <f t="shared" si="26"/>
        <v>0</v>
      </c>
      <c r="CP104" s="10"/>
      <c r="CQ104" s="6"/>
      <c r="CR104" s="31"/>
      <c r="CS104" s="124"/>
      <c r="CT104" s="124"/>
      <c r="CU104" s="31"/>
      <c r="CV104" s="124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</row>
    <row r="105" spans="1:16239" s="7" customFormat="1" ht="15" customHeight="1" x14ac:dyDescent="0.3">
      <c r="A105" s="134">
        <v>41</v>
      </c>
      <c r="B105" s="123" t="s">
        <v>43</v>
      </c>
      <c r="C105" s="14">
        <v>7092738</v>
      </c>
      <c r="D105" s="14" t="s">
        <v>114</v>
      </c>
      <c r="E105" s="15" t="s">
        <v>115</v>
      </c>
      <c r="F105" s="167">
        <v>1</v>
      </c>
      <c r="G105" s="25">
        <v>0</v>
      </c>
      <c r="H105" s="9">
        <v>0</v>
      </c>
      <c r="I105" s="26">
        <v>0</v>
      </c>
      <c r="J105" s="30">
        <v>0</v>
      </c>
      <c r="K105" s="29">
        <v>1</v>
      </c>
      <c r="L105" s="29">
        <v>0</v>
      </c>
      <c r="M105" s="29">
        <v>0</v>
      </c>
      <c r="N105" s="29">
        <v>0</v>
      </c>
      <c r="O105" s="29">
        <v>0</v>
      </c>
      <c r="P105" s="158">
        <v>0</v>
      </c>
      <c r="Q105" s="158">
        <v>0</v>
      </c>
      <c r="R105" s="158">
        <v>0</v>
      </c>
      <c r="S105" s="158">
        <v>0</v>
      </c>
      <c r="T105" s="158">
        <v>0</v>
      </c>
      <c r="U105" s="158">
        <v>0</v>
      </c>
      <c r="V105" s="29">
        <v>0</v>
      </c>
      <c r="W105" s="29">
        <v>0</v>
      </c>
      <c r="X105" s="159">
        <v>0</v>
      </c>
      <c r="Y105" s="159">
        <v>0</v>
      </c>
      <c r="Z105" s="29">
        <v>1</v>
      </c>
      <c r="AA105" s="29">
        <v>0</v>
      </c>
      <c r="AB105" s="29">
        <v>1</v>
      </c>
      <c r="AC105" s="29">
        <v>0</v>
      </c>
      <c r="AD105" s="29">
        <v>0</v>
      </c>
      <c r="AE105" s="159">
        <v>1</v>
      </c>
      <c r="AF105" s="159">
        <v>1</v>
      </c>
      <c r="AG105" s="160">
        <v>1</v>
      </c>
      <c r="AH105" s="160">
        <v>0</v>
      </c>
      <c r="AI105" s="160">
        <v>1</v>
      </c>
      <c r="AJ105" s="160">
        <v>0</v>
      </c>
      <c r="AK105" s="29">
        <v>0</v>
      </c>
      <c r="AL105" s="29">
        <v>0</v>
      </c>
      <c r="AM105" s="29">
        <v>0</v>
      </c>
      <c r="AN105" s="29">
        <v>0</v>
      </c>
      <c r="AO105" s="29">
        <v>0</v>
      </c>
      <c r="AP105" s="160">
        <v>0</v>
      </c>
      <c r="AQ105" s="161">
        <v>0</v>
      </c>
      <c r="AR105" s="161">
        <v>0</v>
      </c>
      <c r="AS105" s="161">
        <v>0</v>
      </c>
      <c r="AT105" s="161">
        <v>0</v>
      </c>
      <c r="AU105" s="161">
        <v>0</v>
      </c>
      <c r="AV105" s="161">
        <v>0</v>
      </c>
      <c r="AW105" s="161">
        <v>0</v>
      </c>
      <c r="AX105" s="162">
        <v>0</v>
      </c>
      <c r="AY105" s="162">
        <v>0</v>
      </c>
      <c r="AZ105" s="162">
        <v>0</v>
      </c>
      <c r="BA105" s="162">
        <v>1</v>
      </c>
      <c r="BB105" s="32"/>
      <c r="BC105" s="63"/>
      <c r="BD105" s="63">
        <f t="shared" si="18"/>
        <v>0</v>
      </c>
      <c r="BE105" s="63"/>
      <c r="BF105" s="32"/>
      <c r="BG105" s="32"/>
      <c r="BH105" s="63"/>
      <c r="BI105" s="64">
        <f t="shared" si="19"/>
        <v>0</v>
      </c>
      <c r="BJ105" s="63"/>
      <c r="BK105" s="32"/>
      <c r="BL105" s="32"/>
      <c r="BM105" s="33"/>
      <c r="BN105" s="33">
        <f t="shared" si="20"/>
        <v>0</v>
      </c>
      <c r="BO105" s="33"/>
      <c r="BP105" s="32"/>
      <c r="BQ105" s="32"/>
      <c r="BR105" s="33"/>
      <c r="BS105" s="33">
        <f t="shared" si="21"/>
        <v>0</v>
      </c>
      <c r="BT105" s="33"/>
      <c r="BU105" s="32"/>
      <c r="BV105" s="32"/>
      <c r="BW105" s="63"/>
      <c r="BX105" s="63">
        <f t="shared" si="22"/>
        <v>0</v>
      </c>
      <c r="BY105" s="63"/>
      <c r="BZ105" s="32"/>
      <c r="CA105" s="32"/>
      <c r="CB105" s="33"/>
      <c r="CC105" s="33">
        <f t="shared" si="23"/>
        <v>0</v>
      </c>
      <c r="CD105" s="33"/>
      <c r="CE105" s="32"/>
      <c r="CF105" s="33"/>
      <c r="CG105" s="33">
        <f t="shared" si="24"/>
        <v>0</v>
      </c>
      <c r="CH105" s="33"/>
      <c r="CI105" s="32"/>
      <c r="CJ105" s="33"/>
      <c r="CK105" s="33">
        <f t="shared" si="25"/>
        <v>0</v>
      </c>
      <c r="CL105" s="33"/>
      <c r="CM105" s="32"/>
      <c r="CN105" s="23"/>
      <c r="CO105" s="5">
        <f t="shared" si="26"/>
        <v>0</v>
      </c>
      <c r="CP105" s="10"/>
      <c r="CQ105" s="6"/>
      <c r="CR105" s="31"/>
      <c r="CS105" s="124"/>
      <c r="CT105" s="124"/>
      <c r="CU105" s="31"/>
      <c r="CV105" s="124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</row>
    <row r="106" spans="1:16239" s="7" customFormat="1" ht="15" customHeight="1" x14ac:dyDescent="0.3">
      <c r="A106" s="134">
        <v>109</v>
      </c>
      <c r="B106" s="35" t="s">
        <v>397</v>
      </c>
      <c r="C106" s="100">
        <v>7099948</v>
      </c>
      <c r="D106" s="14" t="s">
        <v>419</v>
      </c>
      <c r="E106" s="15" t="s">
        <v>420</v>
      </c>
      <c r="F106" s="167">
        <v>1</v>
      </c>
      <c r="G106" s="25">
        <v>0</v>
      </c>
      <c r="H106" s="9">
        <v>0</v>
      </c>
      <c r="I106" s="26">
        <v>0</v>
      </c>
      <c r="J106" s="30">
        <v>0</v>
      </c>
      <c r="K106" s="29">
        <v>1</v>
      </c>
      <c r="L106" s="29">
        <v>0</v>
      </c>
      <c r="M106" s="29">
        <v>0</v>
      </c>
      <c r="N106" s="29">
        <v>0</v>
      </c>
      <c r="O106" s="29">
        <v>0</v>
      </c>
      <c r="P106" s="158">
        <v>0</v>
      </c>
      <c r="Q106" s="158">
        <v>0</v>
      </c>
      <c r="R106" s="158">
        <v>0</v>
      </c>
      <c r="S106" s="158">
        <v>0</v>
      </c>
      <c r="T106" s="158">
        <v>0</v>
      </c>
      <c r="U106" s="158">
        <v>0</v>
      </c>
      <c r="V106" s="29">
        <v>0</v>
      </c>
      <c r="W106" s="29">
        <v>0</v>
      </c>
      <c r="X106" s="159">
        <v>0</v>
      </c>
      <c r="Y106" s="15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159">
        <v>0</v>
      </c>
      <c r="AF106" s="159">
        <v>1</v>
      </c>
      <c r="AG106" s="160">
        <v>0</v>
      </c>
      <c r="AH106" s="160">
        <v>0</v>
      </c>
      <c r="AI106" s="160">
        <v>0</v>
      </c>
      <c r="AJ106" s="160">
        <v>0</v>
      </c>
      <c r="AK106" s="29">
        <v>1</v>
      </c>
      <c r="AL106" s="29">
        <v>0</v>
      </c>
      <c r="AM106" s="29">
        <v>0</v>
      </c>
      <c r="AN106" s="29">
        <v>0</v>
      </c>
      <c r="AO106" s="29">
        <v>0</v>
      </c>
      <c r="AP106" s="160">
        <v>0</v>
      </c>
      <c r="AQ106" s="161">
        <v>0</v>
      </c>
      <c r="AR106" s="161">
        <v>1</v>
      </c>
      <c r="AS106" s="161">
        <v>0</v>
      </c>
      <c r="AT106" s="161">
        <v>0</v>
      </c>
      <c r="AU106" s="161">
        <v>0</v>
      </c>
      <c r="AV106" s="161">
        <v>0</v>
      </c>
      <c r="AW106" s="161">
        <v>0</v>
      </c>
      <c r="AX106" s="162">
        <v>0</v>
      </c>
      <c r="AY106" s="162">
        <v>0</v>
      </c>
      <c r="AZ106" s="162">
        <v>0</v>
      </c>
      <c r="BA106" s="162">
        <v>1</v>
      </c>
      <c r="BB106" s="32"/>
      <c r="BC106" s="63"/>
      <c r="BD106" s="63">
        <f t="shared" si="18"/>
        <v>0</v>
      </c>
      <c r="BE106" s="63"/>
      <c r="BF106" s="32"/>
      <c r="BG106" s="32"/>
      <c r="BH106" s="63"/>
      <c r="BI106" s="64">
        <f t="shared" si="19"/>
        <v>0</v>
      </c>
      <c r="BJ106" s="63"/>
      <c r="BK106" s="32"/>
      <c r="BL106" s="32"/>
      <c r="BM106" s="33"/>
      <c r="BN106" s="33">
        <f t="shared" si="20"/>
        <v>0</v>
      </c>
      <c r="BO106" s="33"/>
      <c r="BP106" s="32"/>
      <c r="BQ106" s="32"/>
      <c r="BR106" s="33"/>
      <c r="BS106" s="33">
        <f t="shared" si="21"/>
        <v>0</v>
      </c>
      <c r="BT106" s="33"/>
      <c r="BU106" s="32"/>
      <c r="BV106" s="32"/>
      <c r="BW106" s="63"/>
      <c r="BX106" s="63">
        <f t="shared" si="22"/>
        <v>0</v>
      </c>
      <c r="BY106" s="63"/>
      <c r="BZ106" s="32"/>
      <c r="CA106" s="32"/>
      <c r="CB106" s="33"/>
      <c r="CC106" s="33">
        <f t="shared" si="23"/>
        <v>0</v>
      </c>
      <c r="CD106" s="33"/>
      <c r="CE106" s="32"/>
      <c r="CF106" s="33"/>
      <c r="CG106" s="33">
        <f t="shared" si="24"/>
        <v>0</v>
      </c>
      <c r="CH106" s="33"/>
      <c r="CI106" s="32"/>
      <c r="CJ106" s="33"/>
      <c r="CK106" s="33">
        <f t="shared" si="25"/>
        <v>0</v>
      </c>
      <c r="CL106" s="33"/>
      <c r="CM106" s="32"/>
      <c r="CN106" s="23"/>
      <c r="CO106" s="5">
        <f t="shared" si="26"/>
        <v>0</v>
      </c>
      <c r="CP106" s="10"/>
      <c r="CQ106" s="6"/>
      <c r="CR106" s="31"/>
      <c r="CS106" s="124"/>
      <c r="CT106" s="124"/>
      <c r="CU106" s="31"/>
      <c r="CV106" s="124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</row>
    <row r="107" spans="1:16239" s="7" customFormat="1" ht="15" customHeight="1" x14ac:dyDescent="0.3">
      <c r="A107" s="43">
        <v>272</v>
      </c>
      <c r="B107" s="38" t="s">
        <v>521</v>
      </c>
      <c r="C107" s="36">
        <v>7403371</v>
      </c>
      <c r="D107" s="36" t="s">
        <v>511</v>
      </c>
      <c r="E107" s="137" t="s">
        <v>512</v>
      </c>
      <c r="F107" s="167">
        <v>1</v>
      </c>
      <c r="G107" s="25">
        <v>0</v>
      </c>
      <c r="H107" s="9">
        <v>0</v>
      </c>
      <c r="I107" s="26">
        <v>0</v>
      </c>
      <c r="J107" s="30">
        <v>0</v>
      </c>
      <c r="K107" s="29">
        <v>1</v>
      </c>
      <c r="L107" s="29">
        <v>0</v>
      </c>
      <c r="M107" s="29">
        <v>0</v>
      </c>
      <c r="N107" s="29">
        <v>0</v>
      </c>
      <c r="O107" s="29">
        <v>0</v>
      </c>
      <c r="P107" s="158">
        <v>0</v>
      </c>
      <c r="Q107" s="158">
        <v>1</v>
      </c>
      <c r="R107" s="158">
        <v>1</v>
      </c>
      <c r="S107" s="158">
        <v>0</v>
      </c>
      <c r="T107" s="158">
        <v>0</v>
      </c>
      <c r="U107" s="158">
        <v>0</v>
      </c>
      <c r="V107" s="29">
        <v>1</v>
      </c>
      <c r="W107" s="29">
        <v>1</v>
      </c>
      <c r="X107" s="159">
        <v>1</v>
      </c>
      <c r="Y107" s="159">
        <v>0</v>
      </c>
      <c r="Z107" s="29">
        <v>0</v>
      </c>
      <c r="AA107" s="29">
        <v>0</v>
      </c>
      <c r="AB107" s="29">
        <v>0</v>
      </c>
      <c r="AC107" s="29">
        <v>0</v>
      </c>
      <c r="AD107" s="29">
        <v>0</v>
      </c>
      <c r="AE107" s="159">
        <v>0</v>
      </c>
      <c r="AF107" s="159">
        <v>0</v>
      </c>
      <c r="AG107" s="160">
        <v>0</v>
      </c>
      <c r="AH107" s="160">
        <v>0</v>
      </c>
      <c r="AI107" s="160">
        <v>0</v>
      </c>
      <c r="AJ107" s="160">
        <v>0</v>
      </c>
      <c r="AK107" s="29">
        <v>0</v>
      </c>
      <c r="AL107" s="29">
        <v>0</v>
      </c>
      <c r="AM107" s="29">
        <v>0</v>
      </c>
      <c r="AN107" s="29">
        <v>0</v>
      </c>
      <c r="AO107" s="29">
        <v>0</v>
      </c>
      <c r="AP107" s="160">
        <v>0</v>
      </c>
      <c r="AQ107" s="161">
        <v>0</v>
      </c>
      <c r="AR107" s="161">
        <v>0</v>
      </c>
      <c r="AS107" s="161">
        <v>0</v>
      </c>
      <c r="AT107" s="161">
        <v>0</v>
      </c>
      <c r="AU107" s="161">
        <v>0</v>
      </c>
      <c r="AV107" s="161">
        <v>0</v>
      </c>
      <c r="AW107" s="161">
        <v>0</v>
      </c>
      <c r="AX107" s="162">
        <v>0</v>
      </c>
      <c r="AY107" s="162">
        <v>0</v>
      </c>
      <c r="AZ107" s="162">
        <v>0</v>
      </c>
      <c r="BA107" s="162">
        <v>0</v>
      </c>
      <c r="BB107" s="32"/>
      <c r="BC107" s="63"/>
      <c r="BD107" s="63">
        <f t="shared" si="18"/>
        <v>0</v>
      </c>
      <c r="BE107" s="63"/>
      <c r="BF107" s="32"/>
      <c r="BG107" s="32"/>
      <c r="BH107" s="63"/>
      <c r="BI107" s="64">
        <f t="shared" si="19"/>
        <v>0</v>
      </c>
      <c r="BJ107" s="63"/>
      <c r="BK107" s="32"/>
      <c r="BL107" s="32"/>
      <c r="BM107" s="33"/>
      <c r="BN107" s="33">
        <f t="shared" si="20"/>
        <v>0</v>
      </c>
      <c r="BO107" s="33"/>
      <c r="BP107" s="32"/>
      <c r="BQ107" s="32"/>
      <c r="BR107" s="33"/>
      <c r="BS107" s="33">
        <f t="shared" si="21"/>
        <v>0</v>
      </c>
      <c r="BT107" s="33"/>
      <c r="BU107" s="32"/>
      <c r="BV107" s="32"/>
      <c r="BW107" s="63"/>
      <c r="BX107" s="63">
        <f t="shared" si="22"/>
        <v>0</v>
      </c>
      <c r="BY107" s="63"/>
      <c r="BZ107" s="32"/>
      <c r="CA107" s="32"/>
      <c r="CB107" s="33"/>
      <c r="CC107" s="33">
        <f t="shared" si="23"/>
        <v>0</v>
      </c>
      <c r="CD107" s="33"/>
      <c r="CE107" s="32"/>
      <c r="CF107" s="33"/>
      <c r="CG107" s="33">
        <f t="shared" si="24"/>
        <v>0</v>
      </c>
      <c r="CH107" s="33"/>
      <c r="CI107" s="32"/>
      <c r="CJ107" s="33"/>
      <c r="CK107" s="33">
        <f t="shared" si="25"/>
        <v>0</v>
      </c>
      <c r="CL107" s="33"/>
      <c r="CM107" s="32"/>
      <c r="CN107" s="23"/>
      <c r="CO107" s="5">
        <f t="shared" si="26"/>
        <v>0</v>
      </c>
      <c r="CP107" s="10"/>
      <c r="CQ107" s="6"/>
      <c r="CR107" s="31"/>
      <c r="CS107" s="124"/>
      <c r="CT107" s="124"/>
      <c r="CU107" s="31"/>
      <c r="CV107" s="124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</row>
    <row r="108" spans="1:16239" ht="15" customHeight="1" x14ac:dyDescent="0.3">
      <c r="A108" s="134">
        <v>65</v>
      </c>
      <c r="B108" s="34" t="s">
        <v>49</v>
      </c>
      <c r="C108" s="14">
        <v>7094186</v>
      </c>
      <c r="D108" s="14" t="s">
        <v>174</v>
      </c>
      <c r="E108" s="15" t="s">
        <v>175</v>
      </c>
      <c r="F108" s="167">
        <v>1</v>
      </c>
      <c r="G108" s="25">
        <v>0</v>
      </c>
      <c r="H108" s="9">
        <v>0</v>
      </c>
      <c r="I108" s="26">
        <v>0</v>
      </c>
      <c r="J108" s="30">
        <v>0</v>
      </c>
      <c r="K108" s="29">
        <v>1</v>
      </c>
      <c r="L108" s="29">
        <v>0</v>
      </c>
      <c r="M108" s="29">
        <v>0</v>
      </c>
      <c r="N108" s="29">
        <v>1</v>
      </c>
      <c r="O108" s="29">
        <v>1</v>
      </c>
      <c r="P108" s="158">
        <v>1</v>
      </c>
      <c r="Q108" s="158">
        <v>1</v>
      </c>
      <c r="R108" s="158">
        <v>0</v>
      </c>
      <c r="S108" s="158">
        <v>0</v>
      </c>
      <c r="T108" s="158">
        <v>0</v>
      </c>
      <c r="U108" s="158">
        <v>0</v>
      </c>
      <c r="V108" s="29">
        <v>0</v>
      </c>
      <c r="W108" s="29">
        <v>0</v>
      </c>
      <c r="X108" s="159">
        <v>0</v>
      </c>
      <c r="Y108" s="15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159">
        <v>1</v>
      </c>
      <c r="AF108" s="159">
        <v>1</v>
      </c>
      <c r="AG108" s="160">
        <v>0</v>
      </c>
      <c r="AH108" s="160">
        <v>0</v>
      </c>
      <c r="AI108" s="160">
        <v>0</v>
      </c>
      <c r="AJ108" s="160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160">
        <v>0</v>
      </c>
      <c r="AQ108" s="161">
        <v>0</v>
      </c>
      <c r="AR108" s="161">
        <v>1</v>
      </c>
      <c r="AS108" s="161">
        <v>0</v>
      </c>
      <c r="AT108" s="161">
        <v>0</v>
      </c>
      <c r="AU108" s="161">
        <v>0</v>
      </c>
      <c r="AV108" s="161">
        <v>0</v>
      </c>
      <c r="AW108" s="161">
        <v>0</v>
      </c>
      <c r="AX108" s="162">
        <v>0</v>
      </c>
      <c r="AY108" s="162">
        <v>0</v>
      </c>
      <c r="AZ108" s="162">
        <v>0</v>
      </c>
      <c r="BA108" s="162">
        <v>1</v>
      </c>
      <c r="BB108" s="32"/>
      <c r="BC108" s="63"/>
      <c r="BD108" s="63">
        <f t="shared" si="18"/>
        <v>0</v>
      </c>
      <c r="BE108" s="63"/>
      <c r="BF108" s="32"/>
      <c r="BG108" s="32"/>
      <c r="BH108" s="63"/>
      <c r="BI108" s="64">
        <f t="shared" si="19"/>
        <v>0</v>
      </c>
      <c r="BJ108" s="63"/>
      <c r="BK108" s="32"/>
      <c r="BL108" s="32"/>
      <c r="BM108" s="33"/>
      <c r="BN108" s="33">
        <f t="shared" si="20"/>
        <v>0</v>
      </c>
      <c r="BO108" s="33"/>
      <c r="BP108" s="32"/>
      <c r="BQ108" s="32"/>
      <c r="BR108" s="33"/>
      <c r="BS108" s="33">
        <f t="shared" si="21"/>
        <v>0</v>
      </c>
      <c r="BT108" s="33"/>
      <c r="BU108" s="32"/>
      <c r="BV108" s="32"/>
      <c r="BW108" s="63"/>
      <c r="BX108" s="63">
        <f t="shared" si="22"/>
        <v>0</v>
      </c>
      <c r="BY108" s="63"/>
      <c r="BZ108" s="32"/>
      <c r="CA108" s="32"/>
      <c r="CB108" s="33"/>
      <c r="CC108" s="33">
        <f t="shared" si="23"/>
        <v>0</v>
      </c>
      <c r="CD108" s="33"/>
      <c r="CE108" s="32"/>
      <c r="CF108" s="33"/>
      <c r="CG108" s="33">
        <f t="shared" si="24"/>
        <v>0</v>
      </c>
      <c r="CH108" s="33"/>
      <c r="CI108" s="32"/>
      <c r="CJ108" s="33"/>
      <c r="CK108" s="33">
        <f t="shared" si="25"/>
        <v>0</v>
      </c>
      <c r="CL108" s="33"/>
      <c r="CM108" s="32"/>
      <c r="CN108" s="23"/>
      <c r="CO108" s="5">
        <f t="shared" si="26"/>
        <v>0</v>
      </c>
      <c r="CP108" s="10"/>
      <c r="CQ108" s="6"/>
      <c r="CR108" s="31"/>
      <c r="CS108" s="124"/>
      <c r="CT108" s="124"/>
      <c r="CU108" s="31"/>
      <c r="CV108" s="124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</row>
    <row r="109" spans="1:16239" ht="15" customHeight="1" x14ac:dyDescent="0.3">
      <c r="A109" s="134">
        <v>35</v>
      </c>
      <c r="B109" s="35" t="s">
        <v>397</v>
      </c>
      <c r="C109" s="14">
        <v>7073267</v>
      </c>
      <c r="D109" s="14" t="s">
        <v>116</v>
      </c>
      <c r="E109" s="15" t="s">
        <v>117</v>
      </c>
      <c r="F109" s="167">
        <v>1</v>
      </c>
      <c r="G109" s="25">
        <v>0</v>
      </c>
      <c r="H109" s="9">
        <v>0</v>
      </c>
      <c r="I109" s="26">
        <v>0</v>
      </c>
      <c r="J109" s="30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158">
        <v>1</v>
      </c>
      <c r="Q109" s="158">
        <v>1</v>
      </c>
      <c r="R109" s="158">
        <v>0</v>
      </c>
      <c r="S109" s="158">
        <v>0</v>
      </c>
      <c r="T109" s="158">
        <v>0</v>
      </c>
      <c r="U109" s="158">
        <v>0</v>
      </c>
      <c r="V109" s="29">
        <v>0</v>
      </c>
      <c r="W109" s="29">
        <v>0</v>
      </c>
      <c r="X109" s="159">
        <v>1</v>
      </c>
      <c r="Y109" s="159">
        <v>1</v>
      </c>
      <c r="Z109" s="29">
        <v>0</v>
      </c>
      <c r="AA109" s="29">
        <v>0</v>
      </c>
      <c r="AB109" s="29">
        <v>0</v>
      </c>
      <c r="AC109" s="29">
        <v>0</v>
      </c>
      <c r="AD109" s="29">
        <v>0</v>
      </c>
      <c r="AE109" s="159">
        <v>1</v>
      </c>
      <c r="AF109" s="159">
        <v>1</v>
      </c>
      <c r="AG109" s="160">
        <v>0</v>
      </c>
      <c r="AH109" s="160">
        <v>0</v>
      </c>
      <c r="AI109" s="160">
        <v>0</v>
      </c>
      <c r="AJ109" s="160">
        <v>0</v>
      </c>
      <c r="AK109" s="29">
        <v>0</v>
      </c>
      <c r="AL109" s="29">
        <v>0</v>
      </c>
      <c r="AM109" s="29">
        <v>0</v>
      </c>
      <c r="AN109" s="29">
        <v>0</v>
      </c>
      <c r="AO109" s="29">
        <v>0</v>
      </c>
      <c r="AP109" s="160">
        <v>0</v>
      </c>
      <c r="AQ109" s="161">
        <v>0</v>
      </c>
      <c r="AR109" s="161">
        <v>0</v>
      </c>
      <c r="AS109" s="161">
        <v>0</v>
      </c>
      <c r="AT109" s="161">
        <v>0</v>
      </c>
      <c r="AU109" s="161">
        <v>0</v>
      </c>
      <c r="AV109" s="161">
        <v>0</v>
      </c>
      <c r="AW109" s="161">
        <v>0</v>
      </c>
      <c r="AX109" s="162">
        <v>0</v>
      </c>
      <c r="AY109" s="162">
        <v>0</v>
      </c>
      <c r="AZ109" s="162">
        <v>0</v>
      </c>
      <c r="BA109" s="162">
        <v>1</v>
      </c>
      <c r="BB109" s="32"/>
      <c r="BC109" s="63"/>
      <c r="BD109" s="63">
        <f t="shared" si="18"/>
        <v>0</v>
      </c>
      <c r="BE109" s="63"/>
      <c r="BF109" s="32"/>
      <c r="BG109" s="32"/>
      <c r="BH109" s="63"/>
      <c r="BI109" s="64">
        <f t="shared" si="19"/>
        <v>0</v>
      </c>
      <c r="BJ109" s="63"/>
      <c r="BK109" s="32"/>
      <c r="BL109" s="32"/>
      <c r="BM109" s="33"/>
      <c r="BN109" s="33">
        <f t="shared" si="20"/>
        <v>0</v>
      </c>
      <c r="BO109" s="33"/>
      <c r="BP109" s="32"/>
      <c r="BQ109" s="32"/>
      <c r="BR109" s="33"/>
      <c r="BS109" s="33">
        <f t="shared" si="21"/>
        <v>0</v>
      </c>
      <c r="BT109" s="33"/>
      <c r="BU109" s="32"/>
      <c r="BV109" s="32"/>
      <c r="BW109" s="63"/>
      <c r="BX109" s="63">
        <f t="shared" si="22"/>
        <v>0</v>
      </c>
      <c r="BY109" s="63"/>
      <c r="BZ109" s="32"/>
      <c r="CA109" s="32"/>
      <c r="CB109" s="33"/>
      <c r="CC109" s="33">
        <f t="shared" si="23"/>
        <v>0</v>
      </c>
      <c r="CD109" s="33"/>
      <c r="CE109" s="32"/>
      <c r="CF109" s="33"/>
      <c r="CG109" s="33">
        <f t="shared" si="24"/>
        <v>0</v>
      </c>
      <c r="CH109" s="33"/>
      <c r="CI109" s="32"/>
      <c r="CJ109" s="33"/>
      <c r="CK109" s="33">
        <f t="shared" si="25"/>
        <v>0</v>
      </c>
      <c r="CL109" s="33"/>
      <c r="CM109" s="32"/>
      <c r="CN109" s="23"/>
      <c r="CO109" s="5">
        <f t="shared" si="26"/>
        <v>0</v>
      </c>
      <c r="CP109" s="10"/>
      <c r="CQ109" s="6"/>
      <c r="CR109" s="31"/>
      <c r="CS109" s="124"/>
      <c r="CT109" s="124"/>
      <c r="CU109" s="31"/>
      <c r="CV109" s="124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</row>
    <row r="110" spans="1:16239" ht="15" customHeight="1" x14ac:dyDescent="0.3">
      <c r="A110" s="134">
        <v>59</v>
      </c>
      <c r="B110" s="34" t="s">
        <v>49</v>
      </c>
      <c r="C110" s="14">
        <v>7094192</v>
      </c>
      <c r="D110" s="14" t="s">
        <v>176</v>
      </c>
      <c r="E110" s="15" t="s">
        <v>177</v>
      </c>
      <c r="F110" s="167">
        <v>1</v>
      </c>
      <c r="G110" s="25">
        <v>0</v>
      </c>
      <c r="H110" s="9">
        <v>0</v>
      </c>
      <c r="I110" s="26">
        <v>0</v>
      </c>
      <c r="J110" s="30">
        <v>0</v>
      </c>
      <c r="K110" s="29">
        <v>1</v>
      </c>
      <c r="L110" s="29">
        <v>0</v>
      </c>
      <c r="M110" s="29">
        <v>0</v>
      </c>
      <c r="N110" s="29">
        <v>0</v>
      </c>
      <c r="O110" s="29">
        <v>0</v>
      </c>
      <c r="P110" s="158">
        <v>0</v>
      </c>
      <c r="Q110" s="158">
        <v>1</v>
      </c>
      <c r="R110" s="158">
        <v>1</v>
      </c>
      <c r="S110" s="158">
        <v>1</v>
      </c>
      <c r="T110" s="158">
        <v>0</v>
      </c>
      <c r="U110" s="158">
        <v>0</v>
      </c>
      <c r="V110" s="29">
        <v>0</v>
      </c>
      <c r="W110" s="29">
        <v>0</v>
      </c>
      <c r="X110" s="159">
        <v>0</v>
      </c>
      <c r="Y110" s="15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159">
        <v>1</v>
      </c>
      <c r="AF110" s="159">
        <v>1</v>
      </c>
      <c r="AG110" s="160">
        <v>0</v>
      </c>
      <c r="AH110" s="160">
        <v>0</v>
      </c>
      <c r="AI110" s="160">
        <v>0</v>
      </c>
      <c r="AJ110" s="160">
        <v>0</v>
      </c>
      <c r="AK110" s="29">
        <v>1</v>
      </c>
      <c r="AL110" s="29">
        <v>0</v>
      </c>
      <c r="AM110" s="29">
        <v>0</v>
      </c>
      <c r="AN110" s="29">
        <v>1</v>
      </c>
      <c r="AO110" s="29">
        <v>1</v>
      </c>
      <c r="AP110" s="160">
        <v>0</v>
      </c>
      <c r="AQ110" s="161">
        <v>0</v>
      </c>
      <c r="AR110" s="161">
        <v>0</v>
      </c>
      <c r="AS110" s="161">
        <v>0</v>
      </c>
      <c r="AT110" s="161">
        <v>0</v>
      </c>
      <c r="AU110" s="161">
        <v>0</v>
      </c>
      <c r="AV110" s="161">
        <v>0</v>
      </c>
      <c r="AW110" s="161">
        <v>0</v>
      </c>
      <c r="AX110" s="162">
        <v>0</v>
      </c>
      <c r="AY110" s="162">
        <v>0</v>
      </c>
      <c r="AZ110" s="162">
        <v>0</v>
      </c>
      <c r="BA110" s="162">
        <v>1</v>
      </c>
      <c r="BB110" s="32"/>
      <c r="BC110" s="63"/>
      <c r="BD110" s="63">
        <f t="shared" si="18"/>
        <v>0</v>
      </c>
      <c r="BE110" s="63"/>
      <c r="BF110" s="32"/>
      <c r="BG110" s="32"/>
      <c r="BH110" s="63"/>
      <c r="BI110" s="64">
        <f t="shared" si="19"/>
        <v>0</v>
      </c>
      <c r="BJ110" s="63"/>
      <c r="BK110" s="32"/>
      <c r="BL110" s="32"/>
      <c r="BM110" s="33"/>
      <c r="BN110" s="33">
        <f t="shared" si="20"/>
        <v>0</v>
      </c>
      <c r="BO110" s="33"/>
      <c r="BP110" s="32"/>
      <c r="BQ110" s="32"/>
      <c r="BR110" s="33"/>
      <c r="BS110" s="33">
        <f t="shared" si="21"/>
        <v>0</v>
      </c>
      <c r="BT110" s="33"/>
      <c r="BU110" s="32"/>
      <c r="BV110" s="32"/>
      <c r="BW110" s="63"/>
      <c r="BX110" s="63">
        <f t="shared" si="22"/>
        <v>0</v>
      </c>
      <c r="BY110" s="63"/>
      <c r="BZ110" s="32"/>
      <c r="CA110" s="32"/>
      <c r="CB110" s="33"/>
      <c r="CC110" s="33">
        <f t="shared" si="23"/>
        <v>0</v>
      </c>
      <c r="CD110" s="33"/>
      <c r="CE110" s="32"/>
      <c r="CF110" s="33"/>
      <c r="CG110" s="33">
        <f t="shared" si="24"/>
        <v>0</v>
      </c>
      <c r="CH110" s="33"/>
      <c r="CI110" s="32"/>
      <c r="CJ110" s="33"/>
      <c r="CK110" s="33">
        <f t="shared" si="25"/>
        <v>0</v>
      </c>
      <c r="CL110" s="33"/>
      <c r="CM110" s="32"/>
      <c r="CN110" s="23"/>
      <c r="CO110" s="5">
        <f t="shared" si="26"/>
        <v>0</v>
      </c>
      <c r="CP110" s="10"/>
      <c r="CQ110" s="6"/>
      <c r="CR110" s="31"/>
      <c r="CS110" s="124"/>
      <c r="CT110" s="124"/>
      <c r="CU110" s="31"/>
      <c r="CV110" s="124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</row>
    <row r="111" spans="1:16239" ht="15" customHeight="1" x14ac:dyDescent="0.3">
      <c r="A111" s="134">
        <v>32</v>
      </c>
      <c r="B111" s="34" t="s">
        <v>397</v>
      </c>
      <c r="C111" s="14">
        <v>7090966</v>
      </c>
      <c r="D111" s="14" t="s">
        <v>119</v>
      </c>
      <c r="E111" s="15" t="s">
        <v>78</v>
      </c>
      <c r="F111" s="167">
        <v>1</v>
      </c>
      <c r="G111" s="25">
        <v>0</v>
      </c>
      <c r="H111" s="9">
        <v>0</v>
      </c>
      <c r="I111" s="26">
        <v>0</v>
      </c>
      <c r="J111" s="30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158">
        <v>0</v>
      </c>
      <c r="Q111" s="158">
        <v>0</v>
      </c>
      <c r="R111" s="158">
        <v>0</v>
      </c>
      <c r="S111" s="158">
        <v>0</v>
      </c>
      <c r="T111" s="158">
        <v>0</v>
      </c>
      <c r="U111" s="158">
        <v>0</v>
      </c>
      <c r="V111" s="29">
        <v>0</v>
      </c>
      <c r="W111" s="29">
        <v>0</v>
      </c>
      <c r="X111" s="159">
        <v>0</v>
      </c>
      <c r="Y111" s="159">
        <v>0</v>
      </c>
      <c r="Z111" s="29">
        <v>0</v>
      </c>
      <c r="AA111" s="29">
        <v>0</v>
      </c>
      <c r="AB111" s="29">
        <v>0</v>
      </c>
      <c r="AC111" s="29">
        <v>0</v>
      </c>
      <c r="AD111" s="29">
        <v>0</v>
      </c>
      <c r="AE111" s="159">
        <v>0</v>
      </c>
      <c r="AF111" s="159">
        <v>0</v>
      </c>
      <c r="AG111" s="160">
        <v>1</v>
      </c>
      <c r="AH111" s="160">
        <v>0</v>
      </c>
      <c r="AI111" s="160">
        <v>0</v>
      </c>
      <c r="AJ111" s="160">
        <v>0</v>
      </c>
      <c r="AK111" s="29">
        <v>1</v>
      </c>
      <c r="AL111" s="29">
        <v>1</v>
      </c>
      <c r="AM111" s="29">
        <v>0</v>
      </c>
      <c r="AN111" s="29">
        <v>1</v>
      </c>
      <c r="AO111" s="29">
        <v>1</v>
      </c>
      <c r="AP111" s="160">
        <v>1</v>
      </c>
      <c r="AQ111" s="161">
        <v>0</v>
      </c>
      <c r="AR111" s="161">
        <v>0</v>
      </c>
      <c r="AS111" s="161">
        <v>0</v>
      </c>
      <c r="AT111" s="161">
        <v>0</v>
      </c>
      <c r="AU111" s="161">
        <v>0</v>
      </c>
      <c r="AV111" s="161">
        <v>0</v>
      </c>
      <c r="AW111" s="161">
        <v>0</v>
      </c>
      <c r="AX111" s="162">
        <v>0</v>
      </c>
      <c r="AY111" s="162">
        <v>0</v>
      </c>
      <c r="AZ111" s="162">
        <v>0</v>
      </c>
      <c r="BA111" s="162">
        <v>0</v>
      </c>
      <c r="BB111" s="32"/>
      <c r="BC111" s="63"/>
      <c r="BD111" s="63">
        <f t="shared" si="18"/>
        <v>0</v>
      </c>
      <c r="BE111" s="63"/>
      <c r="BF111" s="32"/>
      <c r="BG111" s="32"/>
      <c r="BH111" s="63"/>
      <c r="BI111" s="64">
        <f t="shared" si="19"/>
        <v>0</v>
      </c>
      <c r="BJ111" s="63"/>
      <c r="BK111" s="32"/>
      <c r="BL111" s="32"/>
      <c r="BM111" s="33"/>
      <c r="BN111" s="33">
        <f t="shared" si="20"/>
        <v>0</v>
      </c>
      <c r="BO111" s="33"/>
      <c r="BP111" s="32"/>
      <c r="BQ111" s="32"/>
      <c r="BR111" s="33"/>
      <c r="BS111" s="33">
        <f t="shared" si="21"/>
        <v>0</v>
      </c>
      <c r="BT111" s="33"/>
      <c r="BU111" s="32"/>
      <c r="BV111" s="32"/>
      <c r="BW111" s="63"/>
      <c r="BX111" s="63">
        <f t="shared" si="22"/>
        <v>0</v>
      </c>
      <c r="BY111" s="63"/>
      <c r="BZ111" s="32"/>
      <c r="CA111" s="32"/>
      <c r="CB111" s="33"/>
      <c r="CC111" s="33">
        <f t="shared" si="23"/>
        <v>0</v>
      </c>
      <c r="CD111" s="33"/>
      <c r="CE111" s="32"/>
      <c r="CF111" s="33"/>
      <c r="CG111" s="33">
        <f t="shared" si="24"/>
        <v>0</v>
      </c>
      <c r="CH111" s="33"/>
      <c r="CI111" s="32"/>
      <c r="CJ111" s="33"/>
      <c r="CK111" s="33">
        <f t="shared" si="25"/>
        <v>0</v>
      </c>
      <c r="CL111" s="33"/>
      <c r="CM111" s="32"/>
      <c r="CN111" s="23"/>
      <c r="CO111" s="5">
        <f t="shared" si="26"/>
        <v>0</v>
      </c>
      <c r="CP111" s="10"/>
      <c r="CQ111" s="6"/>
      <c r="CR111" s="31"/>
      <c r="CS111" s="124"/>
      <c r="CT111" s="124"/>
      <c r="CU111" s="31"/>
      <c r="CV111" s="124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</row>
    <row r="112" spans="1:16239" ht="15" customHeight="1" x14ac:dyDescent="0.3">
      <c r="A112" s="134">
        <v>81</v>
      </c>
      <c r="B112" s="123" t="s">
        <v>428</v>
      </c>
      <c r="C112" s="14">
        <v>7094180</v>
      </c>
      <c r="D112" s="14" t="s">
        <v>354</v>
      </c>
      <c r="E112" s="14" t="s">
        <v>355</v>
      </c>
      <c r="F112" s="167">
        <v>1</v>
      </c>
      <c r="G112" s="25">
        <v>0</v>
      </c>
      <c r="H112" s="9">
        <v>0</v>
      </c>
      <c r="I112" s="26">
        <v>0</v>
      </c>
      <c r="J112" s="30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158">
        <v>0</v>
      </c>
      <c r="Q112" s="158">
        <v>0</v>
      </c>
      <c r="R112" s="158">
        <v>0</v>
      </c>
      <c r="S112" s="158">
        <v>0</v>
      </c>
      <c r="T112" s="158">
        <v>0</v>
      </c>
      <c r="U112" s="158">
        <v>0</v>
      </c>
      <c r="V112" s="29">
        <v>0</v>
      </c>
      <c r="W112" s="29">
        <v>0</v>
      </c>
      <c r="X112" s="159">
        <v>0</v>
      </c>
      <c r="Y112" s="15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159">
        <v>1</v>
      </c>
      <c r="AF112" s="159">
        <v>1</v>
      </c>
      <c r="AG112" s="160">
        <v>0</v>
      </c>
      <c r="AH112" s="160">
        <v>0</v>
      </c>
      <c r="AI112" s="160">
        <v>0</v>
      </c>
      <c r="AJ112" s="160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160">
        <v>0</v>
      </c>
      <c r="AQ112" s="161">
        <v>0</v>
      </c>
      <c r="AR112" s="161">
        <v>0</v>
      </c>
      <c r="AS112" s="161">
        <v>0</v>
      </c>
      <c r="AT112" s="161">
        <v>0</v>
      </c>
      <c r="AU112" s="161">
        <v>0</v>
      </c>
      <c r="AV112" s="161">
        <v>0</v>
      </c>
      <c r="AW112" s="161">
        <v>0</v>
      </c>
      <c r="AX112" s="162">
        <v>1</v>
      </c>
      <c r="AY112" s="162">
        <v>1</v>
      </c>
      <c r="AZ112" s="162">
        <v>1</v>
      </c>
      <c r="BA112" s="162">
        <v>1</v>
      </c>
      <c r="BB112" s="32"/>
      <c r="BC112" s="63"/>
      <c r="BD112" s="63">
        <f t="shared" si="18"/>
        <v>0</v>
      </c>
      <c r="BE112" s="63"/>
      <c r="BF112" s="32"/>
      <c r="BG112" s="32"/>
      <c r="BH112" s="63"/>
      <c r="BI112" s="64">
        <f t="shared" si="19"/>
        <v>0</v>
      </c>
      <c r="BJ112" s="63"/>
      <c r="BK112" s="32"/>
      <c r="BL112" s="32"/>
      <c r="BM112" s="33"/>
      <c r="BN112" s="33">
        <f t="shared" si="20"/>
        <v>0</v>
      </c>
      <c r="BO112" s="33"/>
      <c r="BP112" s="32"/>
      <c r="BQ112" s="32"/>
      <c r="BR112" s="33"/>
      <c r="BS112" s="33">
        <f t="shared" si="21"/>
        <v>0</v>
      </c>
      <c r="BT112" s="33"/>
      <c r="BU112" s="32"/>
      <c r="BV112" s="32"/>
      <c r="BW112" s="63"/>
      <c r="BX112" s="63">
        <f t="shared" si="22"/>
        <v>0</v>
      </c>
      <c r="BY112" s="63"/>
      <c r="BZ112" s="32"/>
      <c r="CA112" s="32"/>
      <c r="CB112" s="33"/>
      <c r="CC112" s="33">
        <f t="shared" si="23"/>
        <v>0</v>
      </c>
      <c r="CD112" s="33"/>
      <c r="CE112" s="32"/>
      <c r="CF112" s="33"/>
      <c r="CG112" s="33">
        <f t="shared" si="24"/>
        <v>0</v>
      </c>
      <c r="CH112" s="33"/>
      <c r="CI112" s="32"/>
      <c r="CJ112" s="33"/>
      <c r="CK112" s="33">
        <f t="shared" si="25"/>
        <v>0</v>
      </c>
      <c r="CL112" s="33"/>
      <c r="CM112" s="32"/>
      <c r="CN112" s="23"/>
      <c r="CO112" s="5">
        <f t="shared" si="26"/>
        <v>0</v>
      </c>
      <c r="CP112" s="10"/>
      <c r="CQ112" s="6"/>
      <c r="CR112" s="7"/>
      <c r="CS112" s="125"/>
      <c r="CT112" s="125"/>
      <c r="CU112" s="7"/>
      <c r="CV112" s="125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7"/>
      <c r="KO112" s="7"/>
      <c r="KP112" s="7"/>
      <c r="KQ112" s="7"/>
      <c r="KR112" s="7"/>
      <c r="KS112" s="7"/>
      <c r="KT112" s="7"/>
      <c r="KU112" s="7"/>
      <c r="KV112" s="7"/>
      <c r="KW112" s="7"/>
      <c r="KX112" s="7"/>
      <c r="KY112" s="7"/>
      <c r="KZ112" s="7"/>
      <c r="LA112" s="7"/>
      <c r="LB112" s="7"/>
      <c r="LC112" s="7"/>
      <c r="LD112" s="7"/>
      <c r="LE112" s="7"/>
      <c r="LF112" s="7"/>
      <c r="LG112" s="7"/>
      <c r="LH112" s="7"/>
      <c r="LI112" s="7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  <c r="LU112" s="7"/>
      <c r="LV112" s="7"/>
      <c r="LW112" s="7"/>
      <c r="LX112" s="7"/>
      <c r="LY112" s="7"/>
      <c r="LZ112" s="7"/>
      <c r="MA112" s="7"/>
      <c r="MB112" s="7"/>
      <c r="MC112" s="7"/>
      <c r="MD112" s="7"/>
      <c r="ME112" s="7"/>
      <c r="MF112" s="7"/>
      <c r="MG112" s="7"/>
      <c r="MH112" s="7"/>
      <c r="MI112" s="7"/>
      <c r="MJ112" s="7"/>
      <c r="MK112" s="7"/>
      <c r="ML112" s="7"/>
      <c r="MM112" s="7"/>
      <c r="MN112" s="7"/>
      <c r="MO112" s="7"/>
      <c r="MP112" s="7"/>
      <c r="MQ112" s="7"/>
      <c r="MR112" s="7"/>
      <c r="MS112" s="7"/>
      <c r="MT112" s="7"/>
      <c r="MU112" s="7"/>
      <c r="MV112" s="7"/>
      <c r="MW112" s="7"/>
      <c r="MX112" s="7"/>
      <c r="MY112" s="7"/>
      <c r="MZ112" s="7"/>
      <c r="NA112" s="7"/>
      <c r="NB112" s="7"/>
      <c r="NC112" s="7"/>
      <c r="ND112" s="7"/>
      <c r="NE112" s="7"/>
      <c r="NF112" s="7"/>
      <c r="NG112" s="7"/>
      <c r="NH112" s="7"/>
      <c r="NI112" s="7"/>
      <c r="NJ112" s="7"/>
      <c r="NK112" s="7"/>
      <c r="NL112" s="7"/>
      <c r="NM112" s="7"/>
      <c r="NN112" s="7"/>
      <c r="NO112" s="7"/>
      <c r="NP112" s="7"/>
      <c r="NQ112" s="7"/>
      <c r="NR112" s="7"/>
      <c r="NS112" s="7"/>
      <c r="NT112" s="7"/>
      <c r="NU112" s="7"/>
      <c r="NV112" s="7"/>
      <c r="NW112" s="7"/>
      <c r="NX112" s="7"/>
      <c r="NY112" s="7"/>
      <c r="NZ112" s="7"/>
      <c r="OA112" s="7"/>
      <c r="OB112" s="7"/>
      <c r="OC112" s="7"/>
      <c r="OD112" s="7"/>
      <c r="OE112" s="7"/>
      <c r="OF112" s="7"/>
      <c r="OG112" s="7"/>
      <c r="OH112" s="7"/>
      <c r="OI112" s="7"/>
      <c r="OJ112" s="7"/>
      <c r="OK112" s="7"/>
      <c r="OL112" s="7"/>
      <c r="OM112" s="7"/>
      <c r="ON112" s="7"/>
      <c r="OO112" s="7"/>
      <c r="OP112" s="7"/>
      <c r="OQ112" s="7"/>
      <c r="OR112" s="7"/>
      <c r="OS112" s="7"/>
      <c r="OT112" s="7"/>
      <c r="OU112" s="7"/>
      <c r="OV112" s="7"/>
      <c r="OW112" s="7"/>
      <c r="OX112" s="7"/>
      <c r="OY112" s="7"/>
      <c r="OZ112" s="7"/>
      <c r="PA112" s="7"/>
      <c r="PB112" s="7"/>
      <c r="PC112" s="7"/>
      <c r="PD112" s="7"/>
      <c r="PE112" s="7"/>
      <c r="PF112" s="7"/>
      <c r="PG112" s="7"/>
      <c r="PH112" s="7"/>
      <c r="PI112" s="7"/>
      <c r="PJ112" s="7"/>
      <c r="PK112" s="7"/>
      <c r="PL112" s="7"/>
      <c r="PM112" s="7"/>
      <c r="PN112" s="7"/>
      <c r="PO112" s="7"/>
      <c r="PP112" s="7"/>
      <c r="PQ112" s="7"/>
      <c r="PR112" s="7"/>
      <c r="PS112" s="7"/>
      <c r="PT112" s="7"/>
      <c r="PU112" s="7"/>
      <c r="PV112" s="7"/>
      <c r="PW112" s="7"/>
      <c r="PX112" s="7"/>
      <c r="PY112" s="7"/>
      <c r="PZ112" s="7"/>
      <c r="QA112" s="7"/>
      <c r="QB112" s="7"/>
      <c r="QC112" s="7"/>
      <c r="QD112" s="7"/>
      <c r="QE112" s="7"/>
      <c r="QF112" s="7"/>
      <c r="QG112" s="7"/>
      <c r="QH112" s="7"/>
      <c r="QI112" s="7"/>
      <c r="QJ112" s="7"/>
      <c r="QK112" s="7"/>
      <c r="QL112" s="7"/>
      <c r="QM112" s="7"/>
      <c r="QN112" s="7"/>
      <c r="QO112" s="7"/>
      <c r="QP112" s="7"/>
      <c r="QQ112" s="7"/>
      <c r="QR112" s="7"/>
      <c r="QS112" s="7"/>
      <c r="QT112" s="7"/>
      <c r="QU112" s="7"/>
      <c r="QV112" s="7"/>
      <c r="QW112" s="7"/>
      <c r="QX112" s="7"/>
      <c r="QY112" s="7"/>
      <c r="QZ112" s="7"/>
      <c r="RA112" s="7"/>
      <c r="RB112" s="7"/>
      <c r="RC112" s="7"/>
      <c r="RD112" s="7"/>
      <c r="RE112" s="7"/>
      <c r="RF112" s="7"/>
      <c r="RG112" s="7"/>
      <c r="RH112" s="7"/>
      <c r="RI112" s="7"/>
      <c r="RJ112" s="7"/>
      <c r="RK112" s="7"/>
      <c r="RL112" s="7"/>
      <c r="RM112" s="7"/>
      <c r="RN112" s="7"/>
      <c r="RO112" s="7"/>
      <c r="RP112" s="7"/>
      <c r="RQ112" s="7"/>
      <c r="RR112" s="7"/>
      <c r="RS112" s="7"/>
      <c r="RT112" s="7"/>
      <c r="RU112" s="7"/>
      <c r="RV112" s="7"/>
      <c r="RW112" s="7"/>
      <c r="RX112" s="7"/>
      <c r="RY112" s="7"/>
      <c r="RZ112" s="7"/>
      <c r="SA112" s="7"/>
      <c r="SB112" s="7"/>
      <c r="SC112" s="7"/>
      <c r="SD112" s="7"/>
      <c r="SE112" s="7"/>
      <c r="SF112" s="7"/>
      <c r="SG112" s="7"/>
      <c r="SH112" s="7"/>
      <c r="SI112" s="7"/>
      <c r="SJ112" s="7"/>
      <c r="SK112" s="7"/>
      <c r="SL112" s="7"/>
      <c r="SM112" s="7"/>
      <c r="SN112" s="7"/>
      <c r="SO112" s="7"/>
      <c r="SP112" s="7"/>
      <c r="SQ112" s="7"/>
      <c r="SR112" s="7"/>
      <c r="SS112" s="7"/>
      <c r="ST112" s="7"/>
      <c r="SU112" s="7"/>
      <c r="SV112" s="7"/>
      <c r="SW112" s="7"/>
      <c r="SX112" s="7"/>
      <c r="SY112" s="7"/>
      <c r="SZ112" s="7"/>
      <c r="TA112" s="7"/>
      <c r="TB112" s="7"/>
      <c r="TC112" s="7"/>
      <c r="TD112" s="7"/>
      <c r="TE112" s="7"/>
      <c r="TF112" s="7"/>
      <c r="TG112" s="7"/>
      <c r="TH112" s="7"/>
      <c r="TI112" s="7"/>
      <c r="TJ112" s="7"/>
      <c r="TK112" s="7"/>
      <c r="TL112" s="7"/>
      <c r="TM112" s="7"/>
      <c r="TN112" s="7"/>
      <c r="TO112" s="7"/>
      <c r="TP112" s="7"/>
      <c r="TQ112" s="7"/>
      <c r="TR112" s="7"/>
      <c r="TS112" s="7"/>
      <c r="TT112" s="7"/>
      <c r="TU112" s="7"/>
      <c r="TV112" s="7"/>
      <c r="TW112" s="7"/>
      <c r="TX112" s="7"/>
      <c r="TY112" s="7"/>
      <c r="TZ112" s="7"/>
      <c r="UA112" s="7"/>
      <c r="UB112" s="7"/>
      <c r="UC112" s="7"/>
      <c r="UD112" s="7"/>
      <c r="UE112" s="7"/>
      <c r="UF112" s="7"/>
      <c r="UG112" s="7"/>
      <c r="UH112" s="7"/>
      <c r="UI112" s="7"/>
      <c r="UJ112" s="7"/>
      <c r="UK112" s="7"/>
      <c r="UL112" s="7"/>
      <c r="UM112" s="7"/>
      <c r="UN112" s="7"/>
      <c r="UO112" s="7"/>
      <c r="UP112" s="7"/>
      <c r="UQ112" s="7"/>
      <c r="UR112" s="7"/>
      <c r="US112" s="7"/>
      <c r="UT112" s="7"/>
      <c r="UU112" s="7"/>
      <c r="UV112" s="7"/>
      <c r="UW112" s="7"/>
      <c r="UX112" s="7"/>
      <c r="UY112" s="7"/>
      <c r="UZ112" s="7"/>
      <c r="VA112" s="7"/>
      <c r="VB112" s="7"/>
      <c r="VC112" s="7"/>
      <c r="VD112" s="7"/>
      <c r="VE112" s="7"/>
      <c r="VF112" s="7"/>
      <c r="VG112" s="7"/>
      <c r="VH112" s="7"/>
      <c r="VI112" s="7"/>
      <c r="VJ112" s="7"/>
      <c r="VK112" s="7"/>
      <c r="VL112" s="7"/>
      <c r="VM112" s="7"/>
      <c r="VN112" s="7"/>
      <c r="VO112" s="7"/>
      <c r="VP112" s="7"/>
      <c r="VQ112" s="7"/>
      <c r="VR112" s="7"/>
      <c r="VS112" s="7"/>
      <c r="VT112" s="7"/>
      <c r="VU112" s="7"/>
      <c r="VV112" s="7"/>
      <c r="VW112" s="7"/>
      <c r="VX112" s="7"/>
      <c r="VY112" s="7"/>
      <c r="VZ112" s="7"/>
      <c r="WA112" s="7"/>
      <c r="WB112" s="7"/>
      <c r="WC112" s="7"/>
      <c r="WD112" s="7"/>
      <c r="WE112" s="7"/>
      <c r="WF112" s="7"/>
      <c r="WG112" s="7"/>
      <c r="WH112" s="7"/>
      <c r="WI112" s="7"/>
      <c r="WJ112" s="7"/>
      <c r="WK112" s="7"/>
      <c r="WL112" s="7"/>
      <c r="WM112" s="7"/>
      <c r="WN112" s="7"/>
      <c r="WO112" s="7"/>
      <c r="WP112" s="7"/>
      <c r="WQ112" s="7"/>
      <c r="WR112" s="7"/>
      <c r="WS112" s="7"/>
      <c r="WT112" s="7"/>
      <c r="WU112" s="7"/>
      <c r="WV112" s="7"/>
      <c r="WW112" s="7"/>
      <c r="WX112" s="7"/>
      <c r="WY112" s="7"/>
      <c r="WZ112" s="7"/>
      <c r="XA112" s="7"/>
      <c r="XB112" s="7"/>
      <c r="XC112" s="7"/>
      <c r="XD112" s="7"/>
      <c r="XE112" s="7"/>
      <c r="XF112" s="7"/>
      <c r="XG112" s="7"/>
      <c r="XH112" s="7"/>
      <c r="XI112" s="7"/>
      <c r="XJ112" s="7"/>
      <c r="XK112" s="7"/>
      <c r="XL112" s="7"/>
      <c r="XM112" s="7"/>
      <c r="XN112" s="7"/>
      <c r="XO112" s="7"/>
      <c r="XP112" s="7"/>
      <c r="XQ112" s="7"/>
      <c r="XR112" s="7"/>
      <c r="XS112" s="7"/>
      <c r="XT112" s="7"/>
      <c r="XU112" s="7"/>
      <c r="XV112" s="7"/>
      <c r="XW112" s="7"/>
      <c r="XX112" s="7"/>
      <c r="XY112" s="7"/>
      <c r="XZ112" s="7"/>
      <c r="YA112" s="7"/>
      <c r="YB112" s="7"/>
      <c r="YC112" s="7"/>
      <c r="YD112" s="7"/>
      <c r="YE112" s="7"/>
      <c r="YF112" s="7"/>
      <c r="YG112" s="7"/>
      <c r="YH112" s="7"/>
      <c r="YI112" s="7"/>
      <c r="YJ112" s="7"/>
      <c r="YK112" s="7"/>
      <c r="YL112" s="7"/>
      <c r="YM112" s="7"/>
      <c r="YN112" s="7"/>
      <c r="YO112" s="7"/>
      <c r="YP112" s="7"/>
      <c r="YQ112" s="7"/>
      <c r="YR112" s="7"/>
      <c r="YS112" s="7"/>
      <c r="YT112" s="7"/>
      <c r="YU112" s="7"/>
      <c r="YV112" s="7"/>
      <c r="YW112" s="7"/>
      <c r="YX112" s="7"/>
      <c r="YY112" s="7"/>
      <c r="YZ112" s="7"/>
      <c r="ZA112" s="7"/>
      <c r="ZB112" s="7"/>
      <c r="ZC112" s="7"/>
      <c r="ZD112" s="7"/>
      <c r="ZE112" s="7"/>
      <c r="ZF112" s="7"/>
      <c r="ZG112" s="7"/>
      <c r="ZH112" s="7"/>
      <c r="ZI112" s="7"/>
      <c r="ZJ112" s="7"/>
      <c r="ZK112" s="7"/>
      <c r="ZL112" s="7"/>
      <c r="ZM112" s="7"/>
      <c r="ZN112" s="7"/>
      <c r="ZO112" s="7"/>
      <c r="ZP112" s="7"/>
      <c r="ZQ112" s="7"/>
      <c r="ZR112" s="7"/>
      <c r="ZS112" s="7"/>
      <c r="ZT112" s="7"/>
      <c r="ZU112" s="7"/>
      <c r="ZV112" s="7"/>
      <c r="ZW112" s="7"/>
      <c r="ZX112" s="7"/>
      <c r="ZY112" s="7"/>
      <c r="ZZ112" s="7"/>
      <c r="AAA112" s="7"/>
      <c r="AAB112" s="7"/>
      <c r="AAC112" s="7"/>
      <c r="AAD112" s="7"/>
      <c r="AAE112" s="7"/>
      <c r="AAF112" s="7"/>
      <c r="AAG112" s="7"/>
      <c r="AAH112" s="7"/>
      <c r="AAI112" s="7"/>
      <c r="AAJ112" s="7"/>
      <c r="AAK112" s="7"/>
      <c r="AAL112" s="7"/>
      <c r="AAM112" s="7"/>
      <c r="AAN112" s="7"/>
      <c r="AAO112" s="7"/>
      <c r="AAP112" s="7"/>
      <c r="AAQ112" s="7"/>
      <c r="AAR112" s="7"/>
      <c r="AAS112" s="7"/>
      <c r="AAT112" s="7"/>
      <c r="AAU112" s="7"/>
      <c r="AAV112" s="7"/>
      <c r="AAW112" s="7"/>
      <c r="AAX112" s="7"/>
      <c r="AAY112" s="7"/>
      <c r="AAZ112" s="7"/>
      <c r="ABA112" s="7"/>
      <c r="ABB112" s="7"/>
      <c r="ABC112" s="7"/>
      <c r="ABD112" s="7"/>
      <c r="ABE112" s="7"/>
      <c r="ABF112" s="7"/>
      <c r="ABG112" s="7"/>
      <c r="ABH112" s="7"/>
      <c r="ABI112" s="7"/>
      <c r="ABJ112" s="7"/>
      <c r="ABK112" s="7"/>
      <c r="ABL112" s="7"/>
      <c r="ABM112" s="7"/>
      <c r="ABN112" s="7"/>
      <c r="ABO112" s="7"/>
      <c r="ABP112" s="7"/>
      <c r="ABQ112" s="7"/>
      <c r="ABR112" s="7"/>
      <c r="ABS112" s="7"/>
      <c r="ABT112" s="7"/>
      <c r="ABU112" s="7"/>
      <c r="ABV112" s="7"/>
      <c r="ABW112" s="7"/>
      <c r="ABX112" s="7"/>
      <c r="ABY112" s="7"/>
      <c r="ABZ112" s="7"/>
      <c r="ACA112" s="7"/>
      <c r="ACB112" s="7"/>
      <c r="ACC112" s="7"/>
      <c r="ACD112" s="7"/>
      <c r="ACE112" s="7"/>
      <c r="ACF112" s="7"/>
      <c r="ACG112" s="7"/>
      <c r="ACH112" s="7"/>
      <c r="ACI112" s="7"/>
      <c r="ACJ112" s="7"/>
      <c r="ACK112" s="7"/>
      <c r="ACL112" s="7"/>
      <c r="ACM112" s="7"/>
      <c r="ACN112" s="7"/>
      <c r="ACO112" s="7"/>
      <c r="ACP112" s="7"/>
      <c r="ACQ112" s="7"/>
      <c r="ACR112" s="7"/>
      <c r="ACS112" s="7"/>
      <c r="ACT112" s="7"/>
      <c r="ACU112" s="7"/>
      <c r="ACV112" s="7"/>
      <c r="ACW112" s="7"/>
      <c r="ACX112" s="7"/>
      <c r="ACY112" s="7"/>
      <c r="ACZ112" s="7"/>
      <c r="ADA112" s="7"/>
      <c r="ADB112" s="7"/>
      <c r="ADC112" s="7"/>
      <c r="ADD112" s="7"/>
      <c r="ADE112" s="7"/>
      <c r="ADF112" s="7"/>
      <c r="ADG112" s="7"/>
      <c r="ADH112" s="7"/>
      <c r="ADI112" s="7"/>
      <c r="ADJ112" s="7"/>
      <c r="ADK112" s="7"/>
      <c r="ADL112" s="7"/>
      <c r="ADM112" s="7"/>
      <c r="ADN112" s="7"/>
      <c r="ADO112" s="7"/>
      <c r="ADP112" s="7"/>
      <c r="ADQ112" s="7"/>
      <c r="ADR112" s="7"/>
      <c r="ADS112" s="7"/>
      <c r="ADT112" s="7"/>
      <c r="ADU112" s="7"/>
      <c r="ADV112" s="7"/>
      <c r="ADW112" s="7"/>
      <c r="ADX112" s="7"/>
      <c r="ADY112" s="7"/>
      <c r="ADZ112" s="7"/>
      <c r="AEA112" s="7"/>
      <c r="AEB112" s="7"/>
      <c r="AEC112" s="7"/>
      <c r="AED112" s="7"/>
      <c r="AEE112" s="7"/>
      <c r="AEF112" s="7"/>
      <c r="AEG112" s="7"/>
      <c r="AEH112" s="7"/>
      <c r="AEI112" s="7"/>
      <c r="AEJ112" s="7"/>
      <c r="AEK112" s="7"/>
      <c r="AEL112" s="7"/>
      <c r="AEM112" s="7"/>
      <c r="AEN112" s="7"/>
      <c r="AEO112" s="7"/>
      <c r="AEP112" s="7"/>
      <c r="AEQ112" s="7"/>
      <c r="AER112" s="7"/>
      <c r="AES112" s="7"/>
      <c r="AET112" s="7"/>
      <c r="AEU112" s="7"/>
      <c r="AEV112" s="7"/>
      <c r="AEW112" s="7"/>
      <c r="AEX112" s="7"/>
      <c r="AEY112" s="7"/>
      <c r="AEZ112" s="7"/>
      <c r="AFA112" s="7"/>
      <c r="AFB112" s="7"/>
      <c r="AFC112" s="7"/>
      <c r="AFD112" s="7"/>
      <c r="AFE112" s="7"/>
      <c r="AFF112" s="7"/>
      <c r="AFG112" s="7"/>
      <c r="AFH112" s="7"/>
      <c r="AFI112" s="7"/>
      <c r="AFJ112" s="7"/>
      <c r="AFK112" s="7"/>
      <c r="AFL112" s="7"/>
      <c r="AFM112" s="7"/>
      <c r="AFN112" s="7"/>
      <c r="AFO112" s="7"/>
      <c r="AFP112" s="7"/>
      <c r="AFQ112" s="7"/>
      <c r="AFR112" s="7"/>
      <c r="AFS112" s="7"/>
      <c r="AFT112" s="7"/>
      <c r="AFU112" s="7"/>
      <c r="AFV112" s="7"/>
      <c r="AFW112" s="7"/>
      <c r="AFX112" s="7"/>
      <c r="AFY112" s="7"/>
      <c r="AFZ112" s="7"/>
      <c r="AGA112" s="7"/>
      <c r="AGB112" s="7"/>
      <c r="AGC112" s="7"/>
      <c r="AGD112" s="7"/>
      <c r="AGE112" s="7"/>
      <c r="AGF112" s="7"/>
      <c r="AGG112" s="7"/>
      <c r="AGH112" s="7"/>
      <c r="AGI112" s="7"/>
      <c r="AGJ112" s="7"/>
      <c r="AGK112" s="7"/>
      <c r="AGL112" s="7"/>
      <c r="AGM112" s="7"/>
      <c r="AGN112" s="7"/>
      <c r="AGO112" s="7"/>
      <c r="AGP112" s="7"/>
      <c r="AGQ112" s="7"/>
      <c r="AGR112" s="7"/>
      <c r="AGS112" s="7"/>
      <c r="AGT112" s="7"/>
      <c r="AGU112" s="7"/>
      <c r="AGV112" s="7"/>
      <c r="AGW112" s="7"/>
      <c r="AGX112" s="7"/>
      <c r="AGY112" s="7"/>
      <c r="AGZ112" s="7"/>
      <c r="AHA112" s="7"/>
      <c r="AHB112" s="7"/>
      <c r="AHC112" s="7"/>
      <c r="AHD112" s="7"/>
      <c r="AHE112" s="7"/>
      <c r="AHF112" s="7"/>
      <c r="AHG112" s="7"/>
      <c r="AHH112" s="7"/>
      <c r="AHI112" s="7"/>
      <c r="AHJ112" s="7"/>
      <c r="AHK112" s="7"/>
      <c r="AHL112" s="7"/>
      <c r="AHM112" s="7"/>
      <c r="AHN112" s="7"/>
      <c r="AHO112" s="7"/>
      <c r="AHP112" s="7"/>
      <c r="AHQ112" s="7"/>
      <c r="AHR112" s="7"/>
      <c r="AHS112" s="7"/>
      <c r="AHT112" s="7"/>
      <c r="AHU112" s="7"/>
      <c r="AHV112" s="7"/>
      <c r="AHW112" s="7"/>
      <c r="AHX112" s="7"/>
      <c r="AHY112" s="7"/>
      <c r="AHZ112" s="7"/>
      <c r="AIA112" s="7"/>
      <c r="AIB112" s="7"/>
      <c r="AIC112" s="7"/>
      <c r="AID112" s="7"/>
      <c r="AIE112" s="7"/>
      <c r="AIF112" s="7"/>
      <c r="AIG112" s="7"/>
      <c r="AIH112" s="7"/>
      <c r="AII112" s="7"/>
      <c r="AIJ112" s="7"/>
      <c r="AIK112" s="7"/>
      <c r="AIL112" s="7"/>
      <c r="AIM112" s="7"/>
      <c r="AIN112" s="7"/>
      <c r="AIO112" s="7"/>
      <c r="AIP112" s="7"/>
      <c r="AIQ112" s="7"/>
      <c r="AIR112" s="7"/>
      <c r="AIS112" s="7"/>
      <c r="AIT112" s="7"/>
      <c r="AIU112" s="7"/>
      <c r="AIV112" s="7"/>
      <c r="AIW112" s="7"/>
      <c r="AIX112" s="7"/>
      <c r="AIY112" s="7"/>
      <c r="AIZ112" s="7"/>
      <c r="AJA112" s="7"/>
      <c r="AJB112" s="7"/>
      <c r="AJC112" s="7"/>
      <c r="AJD112" s="7"/>
      <c r="AJE112" s="7"/>
      <c r="AJF112" s="7"/>
      <c r="AJG112" s="7"/>
      <c r="AJH112" s="7"/>
      <c r="AJI112" s="7"/>
      <c r="AJJ112" s="7"/>
      <c r="AJK112" s="7"/>
      <c r="AJL112" s="7"/>
      <c r="AJM112" s="7"/>
      <c r="AJN112" s="7"/>
      <c r="AJO112" s="7"/>
      <c r="AJP112" s="7"/>
      <c r="AJQ112" s="7"/>
      <c r="AJR112" s="7"/>
      <c r="AJS112" s="7"/>
      <c r="AJT112" s="7"/>
      <c r="AJU112" s="7"/>
      <c r="AJV112" s="7"/>
      <c r="AJW112" s="7"/>
      <c r="AJX112" s="7"/>
      <c r="AJY112" s="7"/>
      <c r="AJZ112" s="7"/>
      <c r="AKA112" s="7"/>
      <c r="AKB112" s="7"/>
      <c r="AKC112" s="7"/>
      <c r="AKD112" s="7"/>
      <c r="AKE112" s="7"/>
      <c r="AKF112" s="7"/>
      <c r="AKG112" s="7"/>
      <c r="AKH112" s="7"/>
      <c r="AKI112" s="7"/>
      <c r="AKJ112" s="7"/>
      <c r="AKK112" s="7"/>
      <c r="AKL112" s="7"/>
      <c r="AKM112" s="7"/>
      <c r="AKN112" s="7"/>
      <c r="AKO112" s="7"/>
      <c r="AKP112" s="7"/>
      <c r="AKQ112" s="7"/>
      <c r="AKR112" s="7"/>
      <c r="AKS112" s="7"/>
      <c r="AKT112" s="7"/>
      <c r="AKU112" s="7"/>
      <c r="AKV112" s="7"/>
      <c r="AKW112" s="7"/>
      <c r="AKX112" s="7"/>
      <c r="AKY112" s="7"/>
      <c r="AKZ112" s="7"/>
      <c r="ALA112" s="7"/>
      <c r="ALB112" s="7"/>
      <c r="ALC112" s="7"/>
      <c r="ALD112" s="7"/>
      <c r="ALE112" s="7"/>
      <c r="ALF112" s="7"/>
      <c r="ALG112" s="7"/>
      <c r="ALH112" s="7"/>
      <c r="ALI112" s="7"/>
      <c r="ALJ112" s="7"/>
      <c r="ALK112" s="7"/>
      <c r="ALL112" s="7"/>
      <c r="ALM112" s="7"/>
      <c r="ALN112" s="7"/>
      <c r="ALO112" s="7"/>
      <c r="ALP112" s="7"/>
      <c r="ALQ112" s="7"/>
      <c r="ALR112" s="7"/>
      <c r="ALS112" s="7"/>
      <c r="ALT112" s="7"/>
      <c r="ALU112" s="7"/>
      <c r="ALV112" s="7"/>
      <c r="ALW112" s="7"/>
      <c r="ALX112" s="7"/>
      <c r="ALY112" s="7"/>
      <c r="ALZ112" s="7"/>
      <c r="AMA112" s="7"/>
      <c r="AMB112" s="7"/>
      <c r="AMC112" s="7"/>
      <c r="AMD112" s="7"/>
      <c r="AME112" s="7"/>
      <c r="AMF112" s="7"/>
      <c r="AMG112" s="7"/>
      <c r="AMH112" s="7"/>
      <c r="AMI112" s="7"/>
      <c r="AMJ112" s="7"/>
      <c r="AMK112" s="7"/>
      <c r="AML112" s="7"/>
      <c r="AMM112" s="7"/>
      <c r="AMN112" s="7"/>
      <c r="AMO112" s="7"/>
      <c r="AMP112" s="7"/>
      <c r="AMQ112" s="7"/>
      <c r="AMR112" s="7"/>
      <c r="AMS112" s="7"/>
      <c r="AMT112" s="7"/>
      <c r="AMU112" s="7"/>
      <c r="AMV112" s="7"/>
      <c r="AMW112" s="7"/>
      <c r="AMX112" s="7"/>
      <c r="AMY112" s="7"/>
      <c r="AMZ112" s="7"/>
      <c r="ANA112" s="7"/>
      <c r="ANB112" s="7"/>
      <c r="ANC112" s="7"/>
      <c r="AND112" s="7"/>
      <c r="ANE112" s="7"/>
      <c r="ANF112" s="7"/>
      <c r="ANG112" s="7"/>
      <c r="ANH112" s="7"/>
      <c r="ANI112" s="7"/>
      <c r="ANJ112" s="7"/>
      <c r="ANK112" s="7"/>
      <c r="ANL112" s="7"/>
      <c r="ANM112" s="7"/>
      <c r="ANN112" s="7"/>
      <c r="ANO112" s="7"/>
      <c r="ANP112" s="7"/>
      <c r="ANQ112" s="7"/>
      <c r="ANR112" s="7"/>
      <c r="ANS112" s="7"/>
      <c r="ANT112" s="7"/>
      <c r="ANU112" s="7"/>
      <c r="ANV112" s="7"/>
      <c r="ANW112" s="7"/>
      <c r="ANX112" s="7"/>
      <c r="ANY112" s="7"/>
      <c r="ANZ112" s="7"/>
      <c r="AOA112" s="7"/>
      <c r="AOB112" s="7"/>
      <c r="AOC112" s="7"/>
      <c r="AOD112" s="7"/>
      <c r="AOE112" s="7"/>
      <c r="AOF112" s="7"/>
      <c r="AOG112" s="7"/>
      <c r="AOH112" s="7"/>
      <c r="AOI112" s="7"/>
      <c r="AOJ112" s="7"/>
      <c r="AOK112" s="7"/>
      <c r="AOL112" s="7"/>
      <c r="AOM112" s="7"/>
      <c r="AON112" s="7"/>
      <c r="AOO112" s="7"/>
      <c r="AOP112" s="7"/>
      <c r="AOQ112" s="7"/>
      <c r="AOR112" s="7"/>
      <c r="AOS112" s="7"/>
      <c r="AOT112" s="7"/>
      <c r="AOU112" s="7"/>
      <c r="AOV112" s="7"/>
      <c r="AOW112" s="7"/>
      <c r="AOX112" s="7"/>
      <c r="AOY112" s="7"/>
      <c r="AOZ112" s="7"/>
      <c r="APA112" s="7"/>
      <c r="APB112" s="7"/>
      <c r="APC112" s="7"/>
      <c r="APD112" s="7"/>
      <c r="APE112" s="7"/>
      <c r="APF112" s="7"/>
      <c r="APG112" s="7"/>
      <c r="APH112" s="7"/>
      <c r="API112" s="7"/>
      <c r="APJ112" s="7"/>
      <c r="APK112" s="7"/>
      <c r="APL112" s="7"/>
      <c r="APM112" s="7"/>
      <c r="APN112" s="7"/>
      <c r="APO112" s="7"/>
      <c r="APP112" s="7"/>
      <c r="APQ112" s="7"/>
      <c r="APR112" s="7"/>
      <c r="APS112" s="7"/>
      <c r="APT112" s="7"/>
      <c r="APU112" s="7"/>
      <c r="APV112" s="7"/>
      <c r="APW112" s="7"/>
      <c r="APX112" s="7"/>
      <c r="APY112" s="7"/>
      <c r="APZ112" s="7"/>
      <c r="AQA112" s="7"/>
      <c r="AQB112" s="7"/>
      <c r="AQC112" s="7"/>
      <c r="AQD112" s="7"/>
      <c r="AQE112" s="7"/>
      <c r="AQF112" s="7"/>
      <c r="AQG112" s="7"/>
      <c r="AQH112" s="7"/>
      <c r="AQI112" s="7"/>
      <c r="AQJ112" s="7"/>
      <c r="AQK112" s="7"/>
      <c r="AQL112" s="7"/>
      <c r="AQM112" s="7"/>
      <c r="AQN112" s="7"/>
      <c r="AQO112" s="7"/>
      <c r="AQP112" s="7"/>
      <c r="AQQ112" s="7"/>
      <c r="AQR112" s="7"/>
      <c r="AQS112" s="7"/>
      <c r="AQT112" s="7"/>
      <c r="AQU112" s="7"/>
      <c r="AQV112" s="7"/>
      <c r="AQW112" s="7"/>
      <c r="AQX112" s="7"/>
      <c r="AQY112" s="7"/>
      <c r="AQZ112" s="7"/>
      <c r="ARA112" s="7"/>
      <c r="ARB112" s="7"/>
      <c r="ARC112" s="7"/>
      <c r="ARD112" s="7"/>
      <c r="ARE112" s="7"/>
      <c r="ARF112" s="7"/>
      <c r="ARG112" s="7"/>
      <c r="ARH112" s="7"/>
      <c r="ARI112" s="7"/>
      <c r="ARJ112" s="7"/>
      <c r="ARK112" s="7"/>
      <c r="ARL112" s="7"/>
      <c r="ARM112" s="7"/>
      <c r="ARN112" s="7"/>
      <c r="ARO112" s="7"/>
      <c r="ARP112" s="7"/>
      <c r="ARQ112" s="7"/>
      <c r="ARR112" s="7"/>
      <c r="ARS112" s="7"/>
      <c r="ART112" s="7"/>
      <c r="ARU112" s="7"/>
      <c r="ARV112" s="7"/>
      <c r="ARW112" s="7"/>
      <c r="ARX112" s="7"/>
      <c r="ARY112" s="7"/>
      <c r="ARZ112" s="7"/>
      <c r="ASA112" s="7"/>
      <c r="ASB112" s="7"/>
      <c r="ASC112" s="7"/>
      <c r="ASD112" s="7"/>
      <c r="ASE112" s="7"/>
      <c r="ASF112" s="7"/>
      <c r="ASG112" s="7"/>
      <c r="ASH112" s="7"/>
      <c r="ASI112" s="7"/>
      <c r="ASJ112" s="7"/>
      <c r="ASK112" s="7"/>
      <c r="ASL112" s="7"/>
      <c r="ASM112" s="7"/>
      <c r="ASN112" s="7"/>
      <c r="ASO112" s="7"/>
      <c r="ASP112" s="7"/>
      <c r="ASQ112" s="7"/>
      <c r="ASR112" s="7"/>
      <c r="ASS112" s="7"/>
      <c r="AST112" s="7"/>
      <c r="ASU112" s="7"/>
      <c r="ASV112" s="7"/>
      <c r="ASW112" s="7"/>
      <c r="ASX112" s="7"/>
      <c r="ASY112" s="7"/>
      <c r="ASZ112" s="7"/>
      <c r="ATA112" s="7"/>
      <c r="ATB112" s="7"/>
      <c r="ATC112" s="7"/>
      <c r="ATD112" s="7"/>
      <c r="ATE112" s="7"/>
      <c r="ATF112" s="7"/>
      <c r="ATG112" s="7"/>
      <c r="ATH112" s="7"/>
      <c r="ATI112" s="7"/>
      <c r="ATJ112" s="7"/>
      <c r="ATK112" s="7"/>
      <c r="ATL112" s="7"/>
      <c r="ATM112" s="7"/>
      <c r="ATN112" s="7"/>
      <c r="ATO112" s="7"/>
      <c r="ATP112" s="7"/>
      <c r="ATQ112" s="7"/>
      <c r="ATR112" s="7"/>
      <c r="ATS112" s="7"/>
      <c r="ATT112" s="7"/>
      <c r="ATU112" s="7"/>
      <c r="ATV112" s="7"/>
      <c r="ATW112" s="7"/>
      <c r="ATX112" s="7"/>
      <c r="ATY112" s="7"/>
      <c r="ATZ112" s="7"/>
      <c r="AUA112" s="7"/>
      <c r="AUB112" s="7"/>
      <c r="AUC112" s="7"/>
      <c r="AUD112" s="7"/>
      <c r="AUE112" s="7"/>
      <c r="AUF112" s="7"/>
      <c r="AUG112" s="7"/>
      <c r="AUH112" s="7"/>
      <c r="AUI112" s="7"/>
      <c r="AUJ112" s="7"/>
      <c r="AUK112" s="7"/>
      <c r="AUL112" s="7"/>
      <c r="AUM112" s="7"/>
      <c r="AUN112" s="7"/>
      <c r="AUO112" s="7"/>
      <c r="AUP112" s="7"/>
      <c r="AUQ112" s="7"/>
      <c r="AUR112" s="7"/>
      <c r="AUS112" s="7"/>
      <c r="AUT112" s="7"/>
      <c r="AUU112" s="7"/>
      <c r="AUV112" s="7"/>
      <c r="AUW112" s="7"/>
      <c r="AUX112" s="7"/>
      <c r="AUY112" s="7"/>
      <c r="AUZ112" s="7"/>
      <c r="AVA112" s="7"/>
      <c r="AVB112" s="7"/>
      <c r="AVC112" s="7"/>
      <c r="AVD112" s="7"/>
      <c r="AVE112" s="7"/>
      <c r="AVF112" s="7"/>
      <c r="AVG112" s="7"/>
      <c r="AVH112" s="7"/>
      <c r="AVI112" s="7"/>
      <c r="AVJ112" s="7"/>
      <c r="AVK112" s="7"/>
      <c r="AVL112" s="7"/>
      <c r="AVM112" s="7"/>
      <c r="AVN112" s="7"/>
      <c r="AVO112" s="7"/>
      <c r="AVP112" s="7"/>
      <c r="AVQ112" s="7"/>
      <c r="AVR112" s="7"/>
      <c r="AVS112" s="7"/>
      <c r="AVT112" s="7"/>
      <c r="AVU112" s="7"/>
      <c r="AVV112" s="7"/>
      <c r="AVW112" s="7"/>
      <c r="AVX112" s="7"/>
      <c r="AVY112" s="7"/>
      <c r="AVZ112" s="7"/>
      <c r="AWA112" s="7"/>
      <c r="AWB112" s="7"/>
      <c r="AWC112" s="7"/>
      <c r="AWD112" s="7"/>
      <c r="AWE112" s="7"/>
      <c r="AWF112" s="7"/>
      <c r="AWG112" s="7"/>
      <c r="AWH112" s="7"/>
      <c r="AWI112" s="7"/>
      <c r="AWJ112" s="7"/>
      <c r="AWK112" s="7"/>
      <c r="AWL112" s="7"/>
      <c r="AWM112" s="7"/>
      <c r="AWN112" s="7"/>
      <c r="AWO112" s="7"/>
      <c r="AWP112" s="7"/>
      <c r="AWQ112" s="7"/>
      <c r="AWR112" s="7"/>
      <c r="AWS112" s="7"/>
      <c r="AWT112" s="7"/>
      <c r="AWU112" s="7"/>
      <c r="AWV112" s="7"/>
      <c r="AWW112" s="7"/>
      <c r="AWX112" s="7"/>
      <c r="AWY112" s="7"/>
      <c r="AWZ112" s="7"/>
      <c r="AXA112" s="7"/>
      <c r="AXB112" s="7"/>
      <c r="AXC112" s="7"/>
      <c r="AXD112" s="7"/>
      <c r="AXE112" s="7"/>
      <c r="AXF112" s="7"/>
      <c r="AXG112" s="7"/>
      <c r="AXH112" s="7"/>
      <c r="AXI112" s="7"/>
      <c r="AXJ112" s="7"/>
      <c r="AXK112" s="7"/>
      <c r="AXL112" s="7"/>
      <c r="AXM112" s="7"/>
      <c r="AXN112" s="7"/>
      <c r="AXO112" s="7"/>
      <c r="AXP112" s="7"/>
      <c r="AXQ112" s="7"/>
      <c r="AXR112" s="7"/>
      <c r="AXS112" s="7"/>
      <c r="AXT112" s="7"/>
      <c r="AXU112" s="7"/>
      <c r="AXV112" s="7"/>
      <c r="AXW112" s="7"/>
      <c r="AXX112" s="7"/>
      <c r="AXY112" s="7"/>
      <c r="AXZ112" s="7"/>
      <c r="AYA112" s="7"/>
      <c r="AYB112" s="7"/>
      <c r="AYC112" s="7"/>
      <c r="AYD112" s="7"/>
      <c r="AYE112" s="7"/>
      <c r="AYF112" s="7"/>
      <c r="AYG112" s="7"/>
      <c r="AYH112" s="7"/>
      <c r="AYI112" s="7"/>
      <c r="AYJ112" s="7"/>
      <c r="AYK112" s="7"/>
      <c r="AYL112" s="7"/>
      <c r="AYM112" s="7"/>
      <c r="AYN112" s="7"/>
      <c r="AYO112" s="7"/>
      <c r="AYP112" s="7"/>
      <c r="AYQ112" s="7"/>
      <c r="AYR112" s="7"/>
      <c r="AYS112" s="7"/>
      <c r="AYT112" s="7"/>
      <c r="AYU112" s="7"/>
      <c r="AYV112" s="7"/>
      <c r="AYW112" s="7"/>
      <c r="AYX112" s="7"/>
      <c r="AYY112" s="7"/>
      <c r="AYZ112" s="7"/>
      <c r="AZA112" s="7"/>
      <c r="AZB112" s="7"/>
      <c r="AZC112" s="7"/>
      <c r="AZD112" s="7"/>
      <c r="AZE112" s="7"/>
      <c r="AZF112" s="7"/>
      <c r="AZG112" s="7"/>
      <c r="AZH112" s="7"/>
      <c r="AZI112" s="7"/>
      <c r="AZJ112" s="7"/>
      <c r="AZK112" s="7"/>
      <c r="AZL112" s="7"/>
      <c r="AZM112" s="7"/>
      <c r="AZN112" s="7"/>
      <c r="AZO112" s="7"/>
      <c r="AZP112" s="7"/>
      <c r="AZQ112" s="7"/>
      <c r="AZR112" s="7"/>
      <c r="AZS112" s="7"/>
      <c r="AZT112" s="7"/>
      <c r="AZU112" s="7"/>
      <c r="AZV112" s="7"/>
      <c r="AZW112" s="7"/>
      <c r="AZX112" s="7"/>
      <c r="AZY112" s="7"/>
      <c r="AZZ112" s="7"/>
      <c r="BAA112" s="7"/>
      <c r="BAB112" s="7"/>
      <c r="BAC112" s="7"/>
      <c r="BAD112" s="7"/>
      <c r="BAE112" s="7"/>
      <c r="BAF112" s="7"/>
      <c r="BAG112" s="7"/>
      <c r="BAH112" s="7"/>
      <c r="BAI112" s="7"/>
      <c r="BAJ112" s="7"/>
      <c r="BAK112" s="7"/>
      <c r="BAL112" s="7"/>
      <c r="BAM112" s="7"/>
      <c r="BAN112" s="7"/>
      <c r="BAO112" s="7"/>
      <c r="BAP112" s="7"/>
      <c r="BAQ112" s="7"/>
      <c r="BAR112" s="7"/>
      <c r="BAS112" s="7"/>
      <c r="BAT112" s="7"/>
      <c r="BAU112" s="7"/>
      <c r="BAV112" s="7"/>
      <c r="BAW112" s="7"/>
      <c r="BAX112" s="7"/>
      <c r="BAY112" s="7"/>
      <c r="BAZ112" s="7"/>
      <c r="BBA112" s="7"/>
      <c r="BBB112" s="7"/>
      <c r="BBC112" s="7"/>
      <c r="BBD112" s="7"/>
      <c r="BBE112" s="7"/>
      <c r="BBF112" s="7"/>
      <c r="BBG112" s="7"/>
      <c r="BBH112" s="7"/>
      <c r="BBI112" s="7"/>
      <c r="BBJ112" s="7"/>
      <c r="BBK112" s="7"/>
      <c r="BBL112" s="7"/>
      <c r="BBM112" s="7"/>
      <c r="BBN112" s="7"/>
      <c r="BBO112" s="7"/>
      <c r="BBP112" s="7"/>
      <c r="BBQ112" s="7"/>
      <c r="BBR112" s="7"/>
      <c r="BBS112" s="7"/>
      <c r="BBT112" s="7"/>
      <c r="BBU112" s="7"/>
      <c r="BBV112" s="7"/>
      <c r="BBW112" s="7"/>
      <c r="BBX112" s="7"/>
      <c r="BBY112" s="7"/>
      <c r="BBZ112" s="7"/>
      <c r="BCA112" s="7"/>
      <c r="BCB112" s="7"/>
      <c r="BCC112" s="7"/>
      <c r="BCD112" s="7"/>
      <c r="BCE112" s="7"/>
      <c r="BCF112" s="7"/>
      <c r="BCG112" s="7"/>
      <c r="BCH112" s="7"/>
      <c r="BCI112" s="7"/>
      <c r="BCJ112" s="7"/>
      <c r="BCK112" s="7"/>
      <c r="BCL112" s="7"/>
      <c r="BCM112" s="7"/>
      <c r="BCN112" s="7"/>
      <c r="BCO112" s="7"/>
      <c r="BCP112" s="7"/>
      <c r="BCQ112" s="7"/>
      <c r="BCR112" s="7"/>
      <c r="BCS112" s="7"/>
      <c r="BCT112" s="7"/>
      <c r="BCU112" s="7"/>
      <c r="BCV112" s="7"/>
      <c r="BCW112" s="7"/>
      <c r="BCX112" s="7"/>
      <c r="BCY112" s="7"/>
      <c r="BCZ112" s="7"/>
      <c r="BDA112" s="7"/>
      <c r="BDB112" s="7"/>
      <c r="BDC112" s="7"/>
      <c r="BDD112" s="7"/>
      <c r="BDE112" s="7"/>
      <c r="BDF112" s="7"/>
      <c r="BDG112" s="7"/>
      <c r="BDH112" s="7"/>
      <c r="BDI112" s="7"/>
      <c r="BDJ112" s="7"/>
      <c r="BDK112" s="7"/>
      <c r="BDL112" s="7"/>
      <c r="BDM112" s="7"/>
      <c r="BDN112" s="7"/>
      <c r="BDO112" s="7"/>
      <c r="BDP112" s="7"/>
      <c r="BDQ112" s="7"/>
      <c r="BDR112" s="7"/>
      <c r="BDS112" s="7"/>
      <c r="BDT112" s="7"/>
      <c r="BDU112" s="7"/>
      <c r="BDV112" s="7"/>
      <c r="BDW112" s="7"/>
      <c r="BDX112" s="7"/>
      <c r="BDY112" s="7"/>
      <c r="BDZ112" s="7"/>
      <c r="BEA112" s="7"/>
      <c r="BEB112" s="7"/>
      <c r="BEC112" s="7"/>
      <c r="BED112" s="7"/>
      <c r="BEE112" s="7"/>
      <c r="BEF112" s="7"/>
      <c r="BEG112" s="7"/>
      <c r="BEH112" s="7"/>
      <c r="BEI112" s="7"/>
      <c r="BEJ112" s="7"/>
      <c r="BEK112" s="7"/>
      <c r="BEL112" s="7"/>
      <c r="BEM112" s="7"/>
      <c r="BEN112" s="7"/>
      <c r="BEO112" s="7"/>
      <c r="BEP112" s="7"/>
      <c r="BEQ112" s="7"/>
      <c r="BER112" s="7"/>
      <c r="BES112" s="7"/>
      <c r="BET112" s="7"/>
      <c r="BEU112" s="7"/>
      <c r="BEV112" s="7"/>
      <c r="BEW112" s="7"/>
      <c r="BEX112" s="7"/>
      <c r="BEY112" s="7"/>
      <c r="BEZ112" s="7"/>
      <c r="BFA112" s="7"/>
      <c r="BFB112" s="7"/>
      <c r="BFC112" s="7"/>
      <c r="BFD112" s="7"/>
      <c r="BFE112" s="7"/>
      <c r="BFF112" s="7"/>
      <c r="BFG112" s="7"/>
      <c r="BFH112" s="7"/>
      <c r="BFI112" s="7"/>
      <c r="BFJ112" s="7"/>
      <c r="BFK112" s="7"/>
      <c r="BFL112" s="7"/>
      <c r="BFM112" s="7"/>
      <c r="BFN112" s="7"/>
      <c r="BFO112" s="7"/>
      <c r="BFP112" s="7"/>
      <c r="BFQ112" s="7"/>
      <c r="BFR112" s="7"/>
      <c r="BFS112" s="7"/>
      <c r="BFT112" s="7"/>
      <c r="BFU112" s="7"/>
      <c r="BFV112" s="7"/>
      <c r="BFW112" s="7"/>
      <c r="BFX112" s="7"/>
      <c r="BFY112" s="7"/>
      <c r="BFZ112" s="7"/>
      <c r="BGA112" s="7"/>
      <c r="BGB112" s="7"/>
      <c r="BGC112" s="7"/>
      <c r="BGD112" s="7"/>
      <c r="BGE112" s="7"/>
      <c r="BGF112" s="7"/>
      <c r="BGG112" s="7"/>
      <c r="BGH112" s="7"/>
      <c r="BGI112" s="7"/>
      <c r="BGJ112" s="7"/>
      <c r="BGK112" s="7"/>
      <c r="BGL112" s="7"/>
      <c r="BGM112" s="7"/>
      <c r="BGN112" s="7"/>
      <c r="BGO112" s="7"/>
      <c r="BGP112" s="7"/>
      <c r="BGQ112" s="7"/>
      <c r="BGR112" s="7"/>
      <c r="BGS112" s="7"/>
      <c r="BGT112" s="7"/>
      <c r="BGU112" s="7"/>
      <c r="BGV112" s="7"/>
      <c r="BGW112" s="7"/>
      <c r="BGX112" s="7"/>
      <c r="BGY112" s="7"/>
      <c r="BGZ112" s="7"/>
      <c r="BHA112" s="7"/>
      <c r="BHB112" s="7"/>
      <c r="BHC112" s="7"/>
      <c r="BHD112" s="7"/>
      <c r="BHE112" s="7"/>
      <c r="BHF112" s="7"/>
      <c r="BHG112" s="7"/>
      <c r="BHH112" s="7"/>
      <c r="BHI112" s="7"/>
      <c r="BHJ112" s="7"/>
      <c r="BHK112" s="7"/>
      <c r="BHL112" s="7"/>
      <c r="BHM112" s="7"/>
      <c r="BHN112" s="7"/>
      <c r="BHO112" s="7"/>
      <c r="BHP112" s="7"/>
      <c r="BHQ112" s="7"/>
      <c r="BHR112" s="7"/>
      <c r="BHS112" s="7"/>
      <c r="BHT112" s="7"/>
      <c r="BHU112" s="7"/>
      <c r="BHV112" s="7"/>
      <c r="BHW112" s="7"/>
      <c r="BHX112" s="7"/>
      <c r="BHY112" s="7"/>
      <c r="BHZ112" s="7"/>
      <c r="BIA112" s="7"/>
      <c r="BIB112" s="7"/>
      <c r="BIC112" s="7"/>
      <c r="BID112" s="7"/>
      <c r="BIE112" s="7"/>
      <c r="BIF112" s="7"/>
      <c r="BIG112" s="7"/>
      <c r="BIH112" s="7"/>
      <c r="BII112" s="7"/>
      <c r="BIJ112" s="7"/>
      <c r="BIK112" s="7"/>
      <c r="BIL112" s="7"/>
      <c r="BIM112" s="7"/>
      <c r="BIN112" s="7"/>
      <c r="BIO112" s="7"/>
      <c r="BIP112" s="7"/>
      <c r="BIQ112" s="7"/>
      <c r="BIR112" s="7"/>
      <c r="BIS112" s="7"/>
      <c r="BIT112" s="7"/>
      <c r="BIU112" s="7"/>
      <c r="BIV112" s="7"/>
      <c r="BIW112" s="7"/>
      <c r="BIX112" s="7"/>
      <c r="BIY112" s="7"/>
      <c r="BIZ112" s="7"/>
      <c r="BJA112" s="7"/>
      <c r="BJB112" s="7"/>
      <c r="BJC112" s="7"/>
      <c r="BJD112" s="7"/>
      <c r="BJE112" s="7"/>
      <c r="BJF112" s="7"/>
      <c r="BJG112" s="7"/>
      <c r="BJH112" s="7"/>
      <c r="BJI112" s="7"/>
      <c r="BJJ112" s="7"/>
      <c r="BJK112" s="7"/>
      <c r="BJL112" s="7"/>
      <c r="BJM112" s="7"/>
      <c r="BJN112" s="7"/>
      <c r="BJO112" s="7"/>
      <c r="BJP112" s="7"/>
      <c r="BJQ112" s="7"/>
      <c r="BJR112" s="7"/>
      <c r="BJS112" s="7"/>
      <c r="BJT112" s="7"/>
      <c r="BJU112" s="7"/>
      <c r="BJV112" s="7"/>
      <c r="BJW112" s="7"/>
      <c r="BJX112" s="7"/>
      <c r="BJY112" s="7"/>
      <c r="BJZ112" s="7"/>
      <c r="BKA112" s="7"/>
      <c r="BKB112" s="7"/>
      <c r="BKC112" s="7"/>
      <c r="BKD112" s="7"/>
      <c r="BKE112" s="7"/>
      <c r="BKF112" s="7"/>
      <c r="BKG112" s="7"/>
      <c r="BKH112" s="7"/>
      <c r="BKI112" s="7"/>
      <c r="BKJ112" s="7"/>
      <c r="BKK112" s="7"/>
      <c r="BKL112" s="7"/>
      <c r="BKM112" s="7"/>
      <c r="BKN112" s="7"/>
      <c r="BKO112" s="7"/>
      <c r="BKP112" s="7"/>
      <c r="BKQ112" s="7"/>
      <c r="BKR112" s="7"/>
      <c r="BKS112" s="7"/>
      <c r="BKT112" s="7"/>
      <c r="BKU112" s="7"/>
      <c r="BKV112" s="7"/>
      <c r="BKW112" s="7"/>
      <c r="BKX112" s="7"/>
      <c r="BKY112" s="7"/>
      <c r="BKZ112" s="7"/>
      <c r="BLA112" s="7"/>
      <c r="BLB112" s="7"/>
      <c r="BLC112" s="7"/>
      <c r="BLD112" s="7"/>
      <c r="BLE112" s="7"/>
      <c r="BLF112" s="7"/>
      <c r="BLG112" s="7"/>
      <c r="BLH112" s="7"/>
      <c r="BLI112" s="7"/>
      <c r="BLJ112" s="7"/>
      <c r="BLK112" s="7"/>
      <c r="BLL112" s="7"/>
      <c r="BLM112" s="7"/>
      <c r="BLN112" s="7"/>
      <c r="BLO112" s="7"/>
      <c r="BLP112" s="7"/>
      <c r="BLQ112" s="7"/>
      <c r="BLR112" s="7"/>
      <c r="BLS112" s="7"/>
      <c r="BLT112" s="7"/>
      <c r="BLU112" s="7"/>
      <c r="BLV112" s="7"/>
      <c r="BLW112" s="7"/>
      <c r="BLX112" s="7"/>
      <c r="BLY112" s="7"/>
      <c r="BLZ112" s="7"/>
      <c r="BMA112" s="7"/>
      <c r="BMB112" s="7"/>
      <c r="BMC112" s="7"/>
      <c r="BMD112" s="7"/>
      <c r="BME112" s="7"/>
      <c r="BMF112" s="7"/>
      <c r="BMG112" s="7"/>
      <c r="BMH112" s="7"/>
      <c r="BMI112" s="7"/>
      <c r="BMJ112" s="7"/>
      <c r="BMK112" s="7"/>
      <c r="BML112" s="7"/>
      <c r="BMM112" s="7"/>
      <c r="BMN112" s="7"/>
      <c r="BMO112" s="7"/>
      <c r="BMP112" s="7"/>
      <c r="BMQ112" s="7"/>
      <c r="BMR112" s="7"/>
      <c r="BMS112" s="7"/>
      <c r="BMT112" s="7"/>
      <c r="BMU112" s="7"/>
      <c r="BMV112" s="7"/>
      <c r="BMW112" s="7"/>
      <c r="BMX112" s="7"/>
      <c r="BMY112" s="7"/>
      <c r="BMZ112" s="7"/>
      <c r="BNA112" s="7"/>
      <c r="BNB112" s="7"/>
      <c r="BNC112" s="7"/>
      <c r="BND112" s="7"/>
      <c r="BNE112" s="7"/>
      <c r="BNF112" s="7"/>
      <c r="BNG112" s="7"/>
      <c r="BNH112" s="7"/>
      <c r="BNI112" s="7"/>
      <c r="BNJ112" s="7"/>
      <c r="BNK112" s="7"/>
      <c r="BNL112" s="7"/>
      <c r="BNM112" s="7"/>
      <c r="BNN112" s="7"/>
      <c r="BNO112" s="7"/>
      <c r="BNP112" s="7"/>
      <c r="BNQ112" s="7"/>
      <c r="BNR112" s="7"/>
      <c r="BNS112" s="7"/>
      <c r="BNT112" s="7"/>
      <c r="BNU112" s="7"/>
      <c r="BNV112" s="7"/>
      <c r="BNW112" s="7"/>
      <c r="BNX112" s="7"/>
      <c r="BNY112" s="7"/>
      <c r="BNZ112" s="7"/>
      <c r="BOA112" s="7"/>
      <c r="BOB112" s="7"/>
      <c r="BOC112" s="7"/>
      <c r="BOD112" s="7"/>
      <c r="BOE112" s="7"/>
      <c r="BOF112" s="7"/>
      <c r="BOG112" s="7"/>
      <c r="BOH112" s="7"/>
      <c r="BOI112" s="7"/>
      <c r="BOJ112" s="7"/>
      <c r="BOK112" s="7"/>
      <c r="BOL112" s="7"/>
      <c r="BOM112" s="7"/>
      <c r="BON112" s="7"/>
      <c r="BOO112" s="7"/>
      <c r="BOP112" s="7"/>
      <c r="BOQ112" s="7"/>
      <c r="BOR112" s="7"/>
      <c r="BOS112" s="7"/>
      <c r="BOT112" s="7"/>
      <c r="BOU112" s="7"/>
      <c r="BOV112" s="7"/>
      <c r="BOW112" s="7"/>
      <c r="BOX112" s="7"/>
      <c r="BOY112" s="7"/>
      <c r="BOZ112" s="7"/>
      <c r="BPA112" s="7"/>
      <c r="BPB112" s="7"/>
      <c r="BPC112" s="7"/>
      <c r="BPD112" s="7"/>
      <c r="BPE112" s="7"/>
      <c r="BPF112" s="7"/>
      <c r="BPG112" s="7"/>
      <c r="BPH112" s="7"/>
      <c r="BPI112" s="7"/>
      <c r="BPJ112" s="7"/>
      <c r="BPK112" s="7"/>
      <c r="BPL112" s="7"/>
      <c r="BPM112" s="7"/>
      <c r="BPN112" s="7"/>
      <c r="BPO112" s="7"/>
      <c r="BPP112" s="7"/>
      <c r="BPQ112" s="7"/>
      <c r="BPR112" s="7"/>
      <c r="BPS112" s="7"/>
      <c r="BPT112" s="7"/>
      <c r="BPU112" s="7"/>
      <c r="BPV112" s="7"/>
      <c r="BPW112" s="7"/>
      <c r="BPX112" s="7"/>
      <c r="BPY112" s="7"/>
      <c r="BPZ112" s="7"/>
      <c r="BQA112" s="7"/>
      <c r="BQB112" s="7"/>
      <c r="BQC112" s="7"/>
      <c r="BQD112" s="7"/>
      <c r="BQE112" s="7"/>
      <c r="BQF112" s="7"/>
      <c r="BQG112" s="7"/>
      <c r="BQH112" s="7"/>
      <c r="BQI112" s="7"/>
      <c r="BQJ112" s="7"/>
      <c r="BQK112" s="7"/>
      <c r="BQL112" s="7"/>
      <c r="BQM112" s="7"/>
      <c r="BQN112" s="7"/>
      <c r="BQO112" s="7"/>
      <c r="BQP112" s="7"/>
      <c r="BQQ112" s="7"/>
      <c r="BQR112" s="7"/>
      <c r="BQS112" s="7"/>
      <c r="BQT112" s="7"/>
      <c r="BQU112" s="7"/>
      <c r="BQV112" s="7"/>
      <c r="BQW112" s="7"/>
      <c r="BQX112" s="7"/>
      <c r="BQY112" s="7"/>
      <c r="BQZ112" s="7"/>
      <c r="BRA112" s="7"/>
      <c r="BRB112" s="7"/>
      <c r="BRC112" s="7"/>
      <c r="BRD112" s="7"/>
      <c r="BRE112" s="7"/>
      <c r="BRF112" s="7"/>
      <c r="BRG112" s="7"/>
      <c r="BRH112" s="7"/>
      <c r="BRI112" s="7"/>
      <c r="BRJ112" s="7"/>
      <c r="BRK112" s="7"/>
      <c r="BRL112" s="7"/>
      <c r="BRM112" s="7"/>
      <c r="BRN112" s="7"/>
      <c r="BRO112" s="7"/>
      <c r="BRP112" s="7"/>
      <c r="BRQ112" s="7"/>
      <c r="BRR112" s="7"/>
      <c r="BRS112" s="7"/>
      <c r="BRT112" s="7"/>
      <c r="BRU112" s="7"/>
      <c r="BRV112" s="7"/>
      <c r="BRW112" s="7"/>
      <c r="BRX112" s="7"/>
      <c r="BRY112" s="7"/>
      <c r="BRZ112" s="7"/>
      <c r="BSA112" s="7"/>
      <c r="BSB112" s="7"/>
      <c r="BSC112" s="7"/>
      <c r="BSD112" s="7"/>
      <c r="BSE112" s="7"/>
      <c r="BSF112" s="7"/>
      <c r="BSG112" s="7"/>
      <c r="BSH112" s="7"/>
      <c r="BSI112" s="7"/>
      <c r="BSJ112" s="7"/>
      <c r="BSK112" s="7"/>
      <c r="BSL112" s="7"/>
      <c r="BSM112" s="7"/>
      <c r="BSN112" s="7"/>
      <c r="BSO112" s="7"/>
      <c r="BSP112" s="7"/>
      <c r="BSQ112" s="7"/>
      <c r="BSR112" s="7"/>
      <c r="BSS112" s="7"/>
      <c r="BST112" s="7"/>
      <c r="BSU112" s="7"/>
      <c r="BSV112" s="7"/>
      <c r="BSW112" s="7"/>
      <c r="BSX112" s="7"/>
      <c r="BSY112" s="7"/>
      <c r="BSZ112" s="7"/>
      <c r="BTA112" s="7"/>
      <c r="BTB112" s="7"/>
      <c r="BTC112" s="7"/>
      <c r="BTD112" s="7"/>
      <c r="BTE112" s="7"/>
      <c r="BTF112" s="7"/>
      <c r="BTG112" s="7"/>
      <c r="BTH112" s="7"/>
      <c r="BTI112" s="7"/>
      <c r="BTJ112" s="7"/>
      <c r="BTK112" s="7"/>
      <c r="BTL112" s="7"/>
      <c r="BTM112" s="7"/>
      <c r="BTN112" s="7"/>
      <c r="BTO112" s="7"/>
      <c r="BTP112" s="7"/>
      <c r="BTQ112" s="7"/>
      <c r="BTR112" s="7"/>
      <c r="BTS112" s="7"/>
      <c r="BTT112" s="7"/>
      <c r="BTU112" s="7"/>
      <c r="BTV112" s="7"/>
      <c r="BTW112" s="7"/>
      <c r="BTX112" s="7"/>
      <c r="BTY112" s="7"/>
      <c r="BTZ112" s="7"/>
      <c r="BUA112" s="7"/>
      <c r="BUB112" s="7"/>
      <c r="BUC112" s="7"/>
      <c r="BUD112" s="7"/>
      <c r="BUE112" s="7"/>
      <c r="BUF112" s="7"/>
      <c r="BUG112" s="7"/>
      <c r="BUH112" s="7"/>
      <c r="BUI112" s="7"/>
      <c r="BUJ112" s="7"/>
      <c r="BUK112" s="7"/>
      <c r="BUL112" s="7"/>
      <c r="BUM112" s="7"/>
      <c r="BUN112" s="7"/>
      <c r="BUO112" s="7"/>
      <c r="BUP112" s="7"/>
      <c r="BUQ112" s="7"/>
      <c r="BUR112" s="7"/>
      <c r="BUS112" s="7"/>
      <c r="BUT112" s="7"/>
      <c r="BUU112" s="7"/>
      <c r="BUV112" s="7"/>
      <c r="BUW112" s="7"/>
      <c r="BUX112" s="7"/>
      <c r="BUY112" s="7"/>
      <c r="BUZ112" s="7"/>
      <c r="BVA112" s="7"/>
      <c r="BVB112" s="7"/>
      <c r="BVC112" s="7"/>
      <c r="BVD112" s="7"/>
      <c r="BVE112" s="7"/>
      <c r="BVF112" s="7"/>
      <c r="BVG112" s="7"/>
      <c r="BVH112" s="7"/>
      <c r="BVI112" s="7"/>
      <c r="BVJ112" s="7"/>
      <c r="BVK112" s="7"/>
      <c r="BVL112" s="7"/>
      <c r="BVM112" s="7"/>
      <c r="BVN112" s="7"/>
      <c r="BVO112" s="7"/>
      <c r="BVP112" s="7"/>
      <c r="BVQ112" s="7"/>
      <c r="BVR112" s="7"/>
      <c r="BVS112" s="7"/>
      <c r="BVT112" s="7"/>
      <c r="BVU112" s="7"/>
      <c r="BVV112" s="7"/>
      <c r="BVW112" s="7"/>
      <c r="BVX112" s="7"/>
      <c r="BVY112" s="7"/>
      <c r="BVZ112" s="7"/>
      <c r="BWA112" s="7"/>
      <c r="BWB112" s="7"/>
      <c r="BWC112" s="7"/>
      <c r="BWD112" s="7"/>
      <c r="BWE112" s="7"/>
      <c r="BWF112" s="7"/>
      <c r="BWG112" s="7"/>
      <c r="BWH112" s="7"/>
      <c r="BWI112" s="7"/>
      <c r="BWJ112" s="7"/>
      <c r="BWK112" s="7"/>
      <c r="BWL112" s="7"/>
      <c r="BWM112" s="7"/>
      <c r="BWN112" s="7"/>
      <c r="BWO112" s="7"/>
      <c r="BWP112" s="7"/>
      <c r="BWQ112" s="7"/>
      <c r="BWR112" s="7"/>
      <c r="BWS112" s="7"/>
      <c r="BWT112" s="7"/>
      <c r="BWU112" s="7"/>
      <c r="BWV112" s="7"/>
      <c r="BWW112" s="7"/>
      <c r="BWX112" s="7"/>
      <c r="BWY112" s="7"/>
      <c r="BWZ112" s="7"/>
      <c r="BXA112" s="7"/>
      <c r="BXB112" s="7"/>
      <c r="BXC112" s="7"/>
      <c r="BXD112" s="7"/>
      <c r="BXE112" s="7"/>
      <c r="BXF112" s="7"/>
      <c r="BXG112" s="7"/>
      <c r="BXH112" s="7"/>
      <c r="BXI112" s="7"/>
      <c r="BXJ112" s="7"/>
      <c r="BXK112" s="7"/>
      <c r="BXL112" s="7"/>
      <c r="BXM112" s="7"/>
      <c r="BXN112" s="7"/>
      <c r="BXO112" s="7"/>
      <c r="BXP112" s="7"/>
      <c r="BXQ112" s="7"/>
      <c r="BXR112" s="7"/>
      <c r="BXS112" s="7"/>
      <c r="BXT112" s="7"/>
      <c r="BXU112" s="7"/>
      <c r="BXV112" s="7"/>
      <c r="BXW112" s="7"/>
      <c r="BXX112" s="7"/>
      <c r="BXY112" s="7"/>
      <c r="BXZ112" s="7"/>
      <c r="BYA112" s="7"/>
      <c r="BYB112" s="7"/>
      <c r="BYC112" s="7"/>
      <c r="BYD112" s="7"/>
      <c r="BYE112" s="7"/>
      <c r="BYF112" s="7"/>
      <c r="BYG112" s="7"/>
      <c r="BYH112" s="7"/>
      <c r="BYI112" s="7"/>
      <c r="BYJ112" s="7"/>
      <c r="BYK112" s="7"/>
      <c r="BYL112" s="7"/>
      <c r="BYM112" s="7"/>
      <c r="BYN112" s="7"/>
      <c r="BYO112" s="7"/>
      <c r="BYP112" s="7"/>
      <c r="BYQ112" s="7"/>
      <c r="BYR112" s="7"/>
      <c r="BYS112" s="7"/>
      <c r="BYT112" s="7"/>
      <c r="BYU112" s="7"/>
      <c r="BYV112" s="7"/>
      <c r="BYW112" s="7"/>
      <c r="BYX112" s="7"/>
      <c r="BYY112" s="7"/>
      <c r="BYZ112" s="7"/>
      <c r="BZA112" s="7"/>
      <c r="BZB112" s="7"/>
      <c r="BZC112" s="7"/>
      <c r="BZD112" s="7"/>
      <c r="BZE112" s="7"/>
      <c r="BZF112" s="7"/>
      <c r="BZG112" s="7"/>
      <c r="BZH112" s="7"/>
      <c r="BZI112" s="7"/>
      <c r="BZJ112" s="7"/>
      <c r="BZK112" s="7"/>
      <c r="BZL112" s="7"/>
      <c r="BZM112" s="7"/>
      <c r="BZN112" s="7"/>
      <c r="BZO112" s="7"/>
      <c r="BZP112" s="7"/>
      <c r="BZQ112" s="7"/>
      <c r="BZR112" s="7"/>
      <c r="BZS112" s="7"/>
      <c r="BZT112" s="7"/>
      <c r="BZU112" s="7"/>
      <c r="BZV112" s="7"/>
      <c r="BZW112" s="7"/>
      <c r="BZX112" s="7"/>
      <c r="BZY112" s="7"/>
      <c r="BZZ112" s="7"/>
      <c r="CAA112" s="7"/>
      <c r="CAB112" s="7"/>
      <c r="CAC112" s="7"/>
      <c r="CAD112" s="7"/>
      <c r="CAE112" s="7"/>
      <c r="CAF112" s="7"/>
      <c r="CAG112" s="7"/>
      <c r="CAH112" s="7"/>
      <c r="CAI112" s="7"/>
      <c r="CAJ112" s="7"/>
      <c r="CAK112" s="7"/>
      <c r="CAL112" s="7"/>
      <c r="CAM112" s="7"/>
      <c r="CAN112" s="7"/>
      <c r="CAO112" s="7"/>
      <c r="CAP112" s="7"/>
      <c r="CAQ112" s="7"/>
      <c r="CAR112" s="7"/>
      <c r="CAS112" s="7"/>
      <c r="CAT112" s="7"/>
      <c r="CAU112" s="7"/>
      <c r="CAV112" s="7"/>
      <c r="CAW112" s="7"/>
      <c r="CAX112" s="7"/>
      <c r="CAY112" s="7"/>
      <c r="CAZ112" s="7"/>
      <c r="CBA112" s="7"/>
      <c r="CBB112" s="7"/>
      <c r="CBC112" s="7"/>
      <c r="CBD112" s="7"/>
      <c r="CBE112" s="7"/>
      <c r="CBF112" s="7"/>
      <c r="CBG112" s="7"/>
      <c r="CBH112" s="7"/>
      <c r="CBI112" s="7"/>
      <c r="CBJ112" s="7"/>
      <c r="CBK112" s="7"/>
      <c r="CBL112" s="7"/>
      <c r="CBM112" s="7"/>
      <c r="CBN112" s="7"/>
      <c r="CBO112" s="7"/>
      <c r="CBP112" s="7"/>
      <c r="CBQ112" s="7"/>
      <c r="CBR112" s="7"/>
      <c r="CBS112" s="7"/>
      <c r="CBT112" s="7"/>
      <c r="CBU112" s="7"/>
      <c r="CBV112" s="7"/>
      <c r="CBW112" s="7"/>
      <c r="CBX112" s="7"/>
      <c r="CBY112" s="7"/>
      <c r="CBZ112" s="7"/>
      <c r="CCA112" s="7"/>
      <c r="CCB112" s="7"/>
      <c r="CCC112" s="7"/>
      <c r="CCD112" s="7"/>
      <c r="CCE112" s="7"/>
      <c r="CCF112" s="7"/>
      <c r="CCG112" s="7"/>
      <c r="CCH112" s="7"/>
      <c r="CCI112" s="7"/>
      <c r="CCJ112" s="7"/>
      <c r="CCK112" s="7"/>
      <c r="CCL112" s="7"/>
      <c r="CCM112" s="7"/>
      <c r="CCN112" s="7"/>
      <c r="CCO112" s="7"/>
      <c r="CCP112" s="7"/>
      <c r="CCQ112" s="7"/>
      <c r="CCR112" s="7"/>
      <c r="CCS112" s="7"/>
      <c r="CCT112" s="7"/>
      <c r="CCU112" s="7"/>
      <c r="CCV112" s="7"/>
      <c r="CCW112" s="7"/>
      <c r="CCX112" s="7"/>
      <c r="CCY112" s="7"/>
      <c r="CCZ112" s="7"/>
      <c r="CDA112" s="7"/>
      <c r="CDB112" s="7"/>
      <c r="CDC112" s="7"/>
      <c r="CDD112" s="7"/>
      <c r="CDE112" s="7"/>
      <c r="CDF112" s="7"/>
      <c r="CDG112" s="7"/>
      <c r="CDH112" s="7"/>
      <c r="CDI112" s="7"/>
      <c r="CDJ112" s="7"/>
      <c r="CDK112" s="7"/>
      <c r="CDL112" s="7"/>
      <c r="CDM112" s="7"/>
      <c r="CDN112" s="7"/>
      <c r="CDO112" s="7"/>
      <c r="CDP112" s="7"/>
      <c r="CDQ112" s="7"/>
      <c r="CDR112" s="7"/>
      <c r="CDS112" s="7"/>
      <c r="CDT112" s="7"/>
      <c r="CDU112" s="7"/>
      <c r="CDV112" s="7"/>
      <c r="CDW112" s="7"/>
      <c r="CDX112" s="7"/>
      <c r="CDY112" s="7"/>
      <c r="CDZ112" s="7"/>
      <c r="CEA112" s="7"/>
      <c r="CEB112" s="7"/>
      <c r="CEC112" s="7"/>
      <c r="CED112" s="7"/>
      <c r="CEE112" s="7"/>
      <c r="CEF112" s="7"/>
      <c r="CEG112" s="7"/>
      <c r="CEH112" s="7"/>
      <c r="CEI112" s="7"/>
      <c r="CEJ112" s="7"/>
      <c r="CEK112" s="7"/>
      <c r="CEL112" s="7"/>
      <c r="CEM112" s="7"/>
      <c r="CEN112" s="7"/>
      <c r="CEO112" s="7"/>
      <c r="CEP112" s="7"/>
      <c r="CEQ112" s="7"/>
      <c r="CER112" s="7"/>
      <c r="CES112" s="7"/>
      <c r="CET112" s="7"/>
      <c r="CEU112" s="7"/>
      <c r="CEV112" s="7"/>
      <c r="CEW112" s="7"/>
      <c r="CEX112" s="7"/>
      <c r="CEY112" s="7"/>
      <c r="CEZ112" s="7"/>
      <c r="CFA112" s="7"/>
      <c r="CFB112" s="7"/>
      <c r="CFC112" s="7"/>
      <c r="CFD112" s="7"/>
      <c r="CFE112" s="7"/>
      <c r="CFF112" s="7"/>
      <c r="CFG112" s="7"/>
      <c r="CFH112" s="7"/>
      <c r="CFI112" s="7"/>
      <c r="CFJ112" s="7"/>
      <c r="CFK112" s="7"/>
      <c r="CFL112" s="7"/>
      <c r="CFM112" s="7"/>
      <c r="CFN112" s="7"/>
      <c r="CFO112" s="7"/>
      <c r="CFP112" s="7"/>
      <c r="CFQ112" s="7"/>
      <c r="CFR112" s="7"/>
      <c r="CFS112" s="7"/>
      <c r="CFT112" s="7"/>
      <c r="CFU112" s="7"/>
      <c r="CFV112" s="7"/>
      <c r="CFW112" s="7"/>
      <c r="CFX112" s="7"/>
      <c r="CFY112" s="7"/>
      <c r="CFZ112" s="7"/>
      <c r="CGA112" s="7"/>
      <c r="CGB112" s="7"/>
      <c r="CGC112" s="7"/>
      <c r="CGD112" s="7"/>
      <c r="CGE112" s="7"/>
      <c r="CGF112" s="7"/>
      <c r="CGG112" s="7"/>
      <c r="CGH112" s="7"/>
      <c r="CGI112" s="7"/>
      <c r="CGJ112" s="7"/>
      <c r="CGK112" s="7"/>
      <c r="CGL112" s="7"/>
      <c r="CGM112" s="7"/>
      <c r="CGN112" s="7"/>
      <c r="CGO112" s="7"/>
      <c r="CGP112" s="7"/>
      <c r="CGQ112" s="7"/>
      <c r="CGR112" s="7"/>
      <c r="CGS112" s="7"/>
      <c r="CGT112" s="7"/>
      <c r="CGU112" s="7"/>
      <c r="CGV112" s="7"/>
      <c r="CGW112" s="7"/>
      <c r="CGX112" s="7"/>
      <c r="CGY112" s="7"/>
      <c r="CGZ112" s="7"/>
      <c r="CHA112" s="7"/>
      <c r="CHB112" s="7"/>
      <c r="CHC112" s="7"/>
      <c r="CHD112" s="7"/>
      <c r="CHE112" s="7"/>
      <c r="CHF112" s="7"/>
      <c r="CHG112" s="7"/>
      <c r="CHH112" s="7"/>
      <c r="CHI112" s="7"/>
      <c r="CHJ112" s="7"/>
      <c r="CHK112" s="7"/>
      <c r="CHL112" s="7"/>
      <c r="CHM112" s="7"/>
      <c r="CHN112" s="7"/>
      <c r="CHO112" s="7"/>
      <c r="CHP112" s="7"/>
      <c r="CHQ112" s="7"/>
      <c r="CHR112" s="7"/>
      <c r="CHS112" s="7"/>
      <c r="CHT112" s="7"/>
      <c r="CHU112" s="7"/>
      <c r="CHV112" s="7"/>
      <c r="CHW112" s="7"/>
      <c r="CHX112" s="7"/>
      <c r="CHY112" s="7"/>
      <c r="CHZ112" s="7"/>
      <c r="CIA112" s="7"/>
      <c r="CIB112" s="7"/>
      <c r="CIC112" s="7"/>
      <c r="CID112" s="7"/>
      <c r="CIE112" s="7"/>
      <c r="CIF112" s="7"/>
      <c r="CIG112" s="7"/>
      <c r="CIH112" s="7"/>
      <c r="CII112" s="7"/>
      <c r="CIJ112" s="7"/>
      <c r="CIK112" s="7"/>
      <c r="CIL112" s="7"/>
      <c r="CIM112" s="7"/>
      <c r="CIN112" s="7"/>
      <c r="CIO112" s="7"/>
      <c r="CIP112" s="7"/>
      <c r="CIQ112" s="7"/>
      <c r="CIR112" s="7"/>
      <c r="CIS112" s="7"/>
      <c r="CIT112" s="7"/>
      <c r="CIU112" s="7"/>
      <c r="CIV112" s="7"/>
      <c r="CIW112" s="7"/>
      <c r="CIX112" s="7"/>
      <c r="CIY112" s="7"/>
      <c r="CIZ112" s="7"/>
      <c r="CJA112" s="7"/>
      <c r="CJB112" s="7"/>
      <c r="CJC112" s="7"/>
      <c r="CJD112" s="7"/>
      <c r="CJE112" s="7"/>
      <c r="CJF112" s="7"/>
      <c r="CJG112" s="7"/>
      <c r="CJH112" s="7"/>
      <c r="CJI112" s="7"/>
      <c r="CJJ112" s="7"/>
      <c r="CJK112" s="7"/>
      <c r="CJL112" s="7"/>
      <c r="CJM112" s="7"/>
      <c r="CJN112" s="7"/>
      <c r="CJO112" s="7"/>
      <c r="CJP112" s="7"/>
      <c r="CJQ112" s="7"/>
      <c r="CJR112" s="7"/>
      <c r="CJS112" s="7"/>
      <c r="CJT112" s="7"/>
      <c r="CJU112" s="7"/>
      <c r="CJV112" s="7"/>
      <c r="CJW112" s="7"/>
      <c r="CJX112" s="7"/>
      <c r="CJY112" s="7"/>
      <c r="CJZ112" s="7"/>
      <c r="CKA112" s="7"/>
      <c r="CKB112" s="7"/>
      <c r="CKC112" s="7"/>
      <c r="CKD112" s="7"/>
      <c r="CKE112" s="7"/>
      <c r="CKF112" s="7"/>
      <c r="CKG112" s="7"/>
      <c r="CKH112" s="7"/>
      <c r="CKI112" s="7"/>
      <c r="CKJ112" s="7"/>
      <c r="CKK112" s="7"/>
      <c r="CKL112" s="7"/>
      <c r="CKM112" s="7"/>
      <c r="CKN112" s="7"/>
      <c r="CKO112" s="7"/>
      <c r="CKP112" s="7"/>
      <c r="CKQ112" s="7"/>
      <c r="CKR112" s="7"/>
      <c r="CKS112" s="7"/>
      <c r="CKT112" s="7"/>
      <c r="CKU112" s="7"/>
      <c r="CKV112" s="7"/>
      <c r="CKW112" s="7"/>
      <c r="CKX112" s="7"/>
      <c r="CKY112" s="7"/>
      <c r="CKZ112" s="7"/>
      <c r="CLA112" s="7"/>
      <c r="CLB112" s="7"/>
      <c r="CLC112" s="7"/>
      <c r="CLD112" s="7"/>
      <c r="CLE112" s="7"/>
      <c r="CLF112" s="7"/>
      <c r="CLG112" s="7"/>
      <c r="CLH112" s="7"/>
      <c r="CLI112" s="7"/>
      <c r="CLJ112" s="7"/>
      <c r="CLK112" s="7"/>
      <c r="CLL112" s="7"/>
      <c r="CLM112" s="7"/>
      <c r="CLN112" s="7"/>
      <c r="CLO112" s="7"/>
      <c r="CLP112" s="7"/>
      <c r="CLQ112" s="7"/>
      <c r="CLR112" s="7"/>
      <c r="CLS112" s="7"/>
      <c r="CLT112" s="7"/>
      <c r="CLU112" s="7"/>
      <c r="CLV112" s="7"/>
      <c r="CLW112" s="7"/>
      <c r="CLX112" s="7"/>
      <c r="CLY112" s="7"/>
      <c r="CLZ112" s="7"/>
      <c r="CMA112" s="7"/>
      <c r="CMB112" s="7"/>
      <c r="CMC112" s="7"/>
      <c r="CMD112" s="7"/>
      <c r="CME112" s="7"/>
      <c r="CMF112" s="7"/>
      <c r="CMG112" s="7"/>
      <c r="CMH112" s="7"/>
      <c r="CMI112" s="7"/>
      <c r="CMJ112" s="7"/>
      <c r="CMK112" s="7"/>
      <c r="CML112" s="7"/>
      <c r="CMM112" s="7"/>
      <c r="CMN112" s="7"/>
      <c r="CMO112" s="7"/>
      <c r="CMP112" s="7"/>
      <c r="CMQ112" s="7"/>
      <c r="CMR112" s="7"/>
      <c r="CMS112" s="7"/>
      <c r="CMT112" s="7"/>
      <c r="CMU112" s="7"/>
      <c r="CMV112" s="7"/>
      <c r="CMW112" s="7"/>
      <c r="CMX112" s="7"/>
      <c r="CMY112" s="7"/>
      <c r="CMZ112" s="7"/>
      <c r="CNA112" s="7"/>
      <c r="CNB112" s="7"/>
      <c r="CNC112" s="7"/>
      <c r="CND112" s="7"/>
      <c r="CNE112" s="7"/>
      <c r="CNF112" s="7"/>
      <c r="CNG112" s="7"/>
      <c r="CNH112" s="7"/>
      <c r="CNI112" s="7"/>
      <c r="CNJ112" s="7"/>
      <c r="CNK112" s="7"/>
      <c r="CNL112" s="7"/>
      <c r="CNM112" s="7"/>
      <c r="CNN112" s="7"/>
      <c r="CNO112" s="7"/>
      <c r="CNP112" s="7"/>
      <c r="CNQ112" s="7"/>
      <c r="CNR112" s="7"/>
      <c r="CNS112" s="7"/>
      <c r="CNT112" s="7"/>
      <c r="CNU112" s="7"/>
      <c r="CNV112" s="7"/>
      <c r="CNW112" s="7"/>
      <c r="CNX112" s="7"/>
      <c r="CNY112" s="7"/>
      <c r="CNZ112" s="7"/>
      <c r="COA112" s="7"/>
      <c r="COB112" s="7"/>
      <c r="COC112" s="7"/>
      <c r="COD112" s="7"/>
      <c r="COE112" s="7"/>
      <c r="COF112" s="7"/>
      <c r="COG112" s="7"/>
      <c r="COH112" s="7"/>
      <c r="COI112" s="7"/>
      <c r="COJ112" s="7"/>
      <c r="COK112" s="7"/>
      <c r="COL112" s="7"/>
      <c r="COM112" s="7"/>
      <c r="CON112" s="7"/>
      <c r="COO112" s="7"/>
      <c r="COP112" s="7"/>
      <c r="COQ112" s="7"/>
      <c r="COR112" s="7"/>
      <c r="COS112" s="7"/>
      <c r="COT112" s="7"/>
      <c r="COU112" s="7"/>
      <c r="COV112" s="7"/>
      <c r="COW112" s="7"/>
      <c r="COX112" s="7"/>
      <c r="COY112" s="7"/>
      <c r="COZ112" s="7"/>
      <c r="CPA112" s="7"/>
      <c r="CPB112" s="7"/>
      <c r="CPC112" s="7"/>
      <c r="CPD112" s="7"/>
      <c r="CPE112" s="7"/>
      <c r="CPF112" s="7"/>
      <c r="CPG112" s="7"/>
      <c r="CPH112" s="7"/>
      <c r="CPI112" s="7"/>
      <c r="CPJ112" s="7"/>
      <c r="CPK112" s="7"/>
      <c r="CPL112" s="7"/>
      <c r="CPM112" s="7"/>
      <c r="CPN112" s="7"/>
      <c r="CPO112" s="7"/>
      <c r="CPP112" s="7"/>
      <c r="CPQ112" s="7"/>
      <c r="CPR112" s="7"/>
      <c r="CPS112" s="7"/>
      <c r="CPT112" s="7"/>
      <c r="CPU112" s="7"/>
      <c r="CPV112" s="7"/>
      <c r="CPW112" s="7"/>
      <c r="CPX112" s="7"/>
      <c r="CPY112" s="7"/>
      <c r="CPZ112" s="7"/>
      <c r="CQA112" s="7"/>
      <c r="CQB112" s="7"/>
      <c r="CQC112" s="7"/>
      <c r="CQD112" s="7"/>
      <c r="CQE112" s="7"/>
      <c r="CQF112" s="7"/>
      <c r="CQG112" s="7"/>
      <c r="CQH112" s="7"/>
      <c r="CQI112" s="7"/>
      <c r="CQJ112" s="7"/>
      <c r="CQK112" s="7"/>
      <c r="CQL112" s="7"/>
      <c r="CQM112" s="7"/>
      <c r="CQN112" s="7"/>
      <c r="CQO112" s="7"/>
      <c r="CQP112" s="7"/>
      <c r="CQQ112" s="7"/>
      <c r="CQR112" s="7"/>
      <c r="CQS112" s="7"/>
      <c r="CQT112" s="7"/>
      <c r="CQU112" s="7"/>
      <c r="CQV112" s="7"/>
      <c r="CQW112" s="7"/>
      <c r="CQX112" s="7"/>
      <c r="CQY112" s="7"/>
      <c r="CQZ112" s="7"/>
      <c r="CRA112" s="7"/>
      <c r="CRB112" s="7"/>
      <c r="CRC112" s="7"/>
      <c r="CRD112" s="7"/>
      <c r="CRE112" s="7"/>
      <c r="CRF112" s="7"/>
      <c r="CRG112" s="7"/>
      <c r="CRH112" s="7"/>
      <c r="CRI112" s="7"/>
      <c r="CRJ112" s="7"/>
      <c r="CRK112" s="7"/>
      <c r="CRL112" s="7"/>
      <c r="CRM112" s="7"/>
      <c r="CRN112" s="7"/>
      <c r="CRO112" s="7"/>
      <c r="CRP112" s="7"/>
      <c r="CRQ112" s="7"/>
      <c r="CRR112" s="7"/>
      <c r="CRS112" s="7"/>
      <c r="CRT112" s="7"/>
      <c r="CRU112" s="7"/>
      <c r="CRV112" s="7"/>
      <c r="CRW112" s="7"/>
      <c r="CRX112" s="7"/>
      <c r="CRY112" s="7"/>
      <c r="CRZ112" s="7"/>
      <c r="CSA112" s="7"/>
      <c r="CSB112" s="7"/>
      <c r="CSC112" s="7"/>
      <c r="CSD112" s="7"/>
      <c r="CSE112" s="7"/>
      <c r="CSF112" s="7"/>
      <c r="CSG112" s="7"/>
      <c r="CSH112" s="7"/>
      <c r="CSI112" s="7"/>
      <c r="CSJ112" s="7"/>
      <c r="CSK112" s="7"/>
      <c r="CSL112" s="7"/>
      <c r="CSM112" s="7"/>
      <c r="CSN112" s="7"/>
      <c r="CSO112" s="7"/>
      <c r="CSP112" s="7"/>
      <c r="CSQ112" s="7"/>
      <c r="CSR112" s="7"/>
      <c r="CSS112" s="7"/>
      <c r="CST112" s="7"/>
      <c r="CSU112" s="7"/>
      <c r="CSV112" s="7"/>
      <c r="CSW112" s="7"/>
      <c r="CSX112" s="7"/>
      <c r="CSY112" s="7"/>
      <c r="CSZ112" s="7"/>
      <c r="CTA112" s="7"/>
      <c r="CTB112" s="7"/>
      <c r="CTC112" s="7"/>
      <c r="CTD112" s="7"/>
      <c r="CTE112" s="7"/>
      <c r="CTF112" s="7"/>
      <c r="CTG112" s="7"/>
      <c r="CTH112" s="7"/>
      <c r="CTI112" s="7"/>
      <c r="CTJ112" s="7"/>
      <c r="CTK112" s="7"/>
      <c r="CTL112" s="7"/>
      <c r="CTM112" s="7"/>
      <c r="CTN112" s="7"/>
      <c r="CTO112" s="7"/>
      <c r="CTP112" s="7"/>
      <c r="CTQ112" s="7"/>
      <c r="CTR112" s="7"/>
      <c r="CTS112" s="7"/>
      <c r="CTT112" s="7"/>
      <c r="CTU112" s="7"/>
      <c r="CTV112" s="7"/>
      <c r="CTW112" s="7"/>
      <c r="CTX112" s="7"/>
      <c r="CTY112" s="7"/>
      <c r="CTZ112" s="7"/>
      <c r="CUA112" s="7"/>
      <c r="CUB112" s="7"/>
      <c r="CUC112" s="7"/>
      <c r="CUD112" s="7"/>
      <c r="CUE112" s="7"/>
      <c r="CUF112" s="7"/>
      <c r="CUG112" s="7"/>
      <c r="CUH112" s="7"/>
      <c r="CUI112" s="7"/>
      <c r="CUJ112" s="7"/>
      <c r="CUK112" s="7"/>
      <c r="CUL112" s="7"/>
      <c r="CUM112" s="7"/>
      <c r="CUN112" s="7"/>
      <c r="CUO112" s="7"/>
      <c r="CUP112" s="7"/>
      <c r="CUQ112" s="7"/>
      <c r="CUR112" s="7"/>
      <c r="CUS112" s="7"/>
      <c r="CUT112" s="7"/>
      <c r="CUU112" s="7"/>
      <c r="CUV112" s="7"/>
      <c r="CUW112" s="7"/>
      <c r="CUX112" s="7"/>
      <c r="CUY112" s="7"/>
      <c r="CUZ112" s="7"/>
      <c r="CVA112" s="7"/>
      <c r="CVB112" s="7"/>
      <c r="CVC112" s="7"/>
      <c r="CVD112" s="7"/>
      <c r="CVE112" s="7"/>
      <c r="CVF112" s="7"/>
      <c r="CVG112" s="7"/>
      <c r="CVH112" s="7"/>
      <c r="CVI112" s="7"/>
      <c r="CVJ112" s="7"/>
      <c r="CVK112" s="7"/>
      <c r="CVL112" s="7"/>
      <c r="CVM112" s="7"/>
      <c r="CVN112" s="7"/>
      <c r="CVO112" s="7"/>
      <c r="CVP112" s="7"/>
      <c r="CVQ112" s="7"/>
      <c r="CVR112" s="7"/>
      <c r="CVS112" s="7"/>
      <c r="CVT112" s="7"/>
      <c r="CVU112" s="7"/>
      <c r="CVV112" s="7"/>
      <c r="CVW112" s="7"/>
      <c r="CVX112" s="7"/>
      <c r="CVY112" s="7"/>
      <c r="CVZ112" s="7"/>
      <c r="CWA112" s="7"/>
      <c r="CWB112" s="7"/>
      <c r="CWC112" s="7"/>
      <c r="CWD112" s="7"/>
      <c r="CWE112" s="7"/>
      <c r="CWF112" s="7"/>
      <c r="CWG112" s="7"/>
      <c r="CWH112" s="7"/>
      <c r="CWI112" s="7"/>
      <c r="CWJ112" s="7"/>
      <c r="CWK112" s="7"/>
      <c r="CWL112" s="7"/>
      <c r="CWM112" s="7"/>
      <c r="CWN112" s="7"/>
      <c r="CWO112" s="7"/>
      <c r="CWP112" s="7"/>
      <c r="CWQ112" s="7"/>
      <c r="CWR112" s="7"/>
      <c r="CWS112" s="7"/>
      <c r="CWT112" s="7"/>
      <c r="CWU112" s="7"/>
      <c r="CWV112" s="7"/>
      <c r="CWW112" s="7"/>
      <c r="CWX112" s="7"/>
      <c r="CWY112" s="7"/>
      <c r="CWZ112" s="7"/>
      <c r="CXA112" s="7"/>
      <c r="CXB112" s="7"/>
      <c r="CXC112" s="7"/>
      <c r="CXD112" s="7"/>
      <c r="CXE112" s="7"/>
      <c r="CXF112" s="7"/>
      <c r="CXG112" s="7"/>
      <c r="CXH112" s="7"/>
      <c r="CXI112" s="7"/>
      <c r="CXJ112" s="7"/>
      <c r="CXK112" s="7"/>
      <c r="CXL112" s="7"/>
      <c r="CXM112" s="7"/>
      <c r="CXN112" s="7"/>
      <c r="CXO112" s="7"/>
      <c r="CXP112" s="7"/>
      <c r="CXQ112" s="7"/>
      <c r="CXR112" s="7"/>
      <c r="CXS112" s="7"/>
      <c r="CXT112" s="7"/>
      <c r="CXU112" s="7"/>
      <c r="CXV112" s="7"/>
      <c r="CXW112" s="7"/>
      <c r="CXX112" s="7"/>
      <c r="CXY112" s="7"/>
      <c r="CXZ112" s="7"/>
      <c r="CYA112" s="7"/>
      <c r="CYB112" s="7"/>
      <c r="CYC112" s="7"/>
      <c r="CYD112" s="7"/>
      <c r="CYE112" s="7"/>
      <c r="CYF112" s="7"/>
      <c r="CYG112" s="7"/>
      <c r="CYH112" s="7"/>
      <c r="CYI112" s="7"/>
      <c r="CYJ112" s="7"/>
      <c r="CYK112" s="7"/>
      <c r="CYL112" s="7"/>
      <c r="CYM112" s="7"/>
      <c r="CYN112" s="7"/>
      <c r="CYO112" s="7"/>
      <c r="CYP112" s="7"/>
      <c r="CYQ112" s="7"/>
      <c r="CYR112" s="7"/>
      <c r="CYS112" s="7"/>
      <c r="CYT112" s="7"/>
      <c r="CYU112" s="7"/>
      <c r="CYV112" s="7"/>
      <c r="CYW112" s="7"/>
      <c r="CYX112" s="7"/>
      <c r="CYY112" s="7"/>
      <c r="CYZ112" s="7"/>
      <c r="CZA112" s="7"/>
      <c r="CZB112" s="7"/>
      <c r="CZC112" s="7"/>
      <c r="CZD112" s="7"/>
      <c r="CZE112" s="7"/>
      <c r="CZF112" s="7"/>
      <c r="CZG112" s="7"/>
      <c r="CZH112" s="7"/>
      <c r="CZI112" s="7"/>
      <c r="CZJ112" s="7"/>
      <c r="CZK112" s="7"/>
      <c r="CZL112" s="7"/>
      <c r="CZM112" s="7"/>
      <c r="CZN112" s="7"/>
      <c r="CZO112" s="7"/>
      <c r="CZP112" s="7"/>
      <c r="CZQ112" s="7"/>
      <c r="CZR112" s="7"/>
      <c r="CZS112" s="7"/>
      <c r="CZT112" s="7"/>
      <c r="CZU112" s="7"/>
      <c r="CZV112" s="7"/>
      <c r="CZW112" s="7"/>
      <c r="CZX112" s="7"/>
      <c r="CZY112" s="7"/>
      <c r="CZZ112" s="7"/>
      <c r="DAA112" s="7"/>
      <c r="DAB112" s="7"/>
      <c r="DAC112" s="7"/>
      <c r="DAD112" s="7"/>
      <c r="DAE112" s="7"/>
      <c r="DAF112" s="7"/>
      <c r="DAG112" s="7"/>
      <c r="DAH112" s="7"/>
      <c r="DAI112" s="7"/>
      <c r="DAJ112" s="7"/>
      <c r="DAK112" s="7"/>
      <c r="DAL112" s="7"/>
      <c r="DAM112" s="7"/>
      <c r="DAN112" s="7"/>
      <c r="DAO112" s="7"/>
      <c r="DAP112" s="7"/>
      <c r="DAQ112" s="7"/>
      <c r="DAR112" s="7"/>
      <c r="DAS112" s="7"/>
      <c r="DAT112" s="7"/>
      <c r="DAU112" s="7"/>
      <c r="DAV112" s="7"/>
      <c r="DAW112" s="7"/>
      <c r="DAX112" s="7"/>
      <c r="DAY112" s="7"/>
      <c r="DAZ112" s="7"/>
      <c r="DBA112" s="7"/>
      <c r="DBB112" s="7"/>
      <c r="DBC112" s="7"/>
      <c r="DBD112" s="7"/>
      <c r="DBE112" s="7"/>
      <c r="DBF112" s="7"/>
      <c r="DBG112" s="7"/>
      <c r="DBH112" s="7"/>
      <c r="DBI112" s="7"/>
      <c r="DBJ112" s="7"/>
      <c r="DBK112" s="7"/>
      <c r="DBL112" s="7"/>
      <c r="DBM112" s="7"/>
      <c r="DBN112" s="7"/>
      <c r="DBO112" s="7"/>
      <c r="DBP112" s="7"/>
      <c r="DBQ112" s="7"/>
      <c r="DBR112" s="7"/>
      <c r="DBS112" s="7"/>
      <c r="DBT112" s="7"/>
      <c r="DBU112" s="7"/>
      <c r="DBV112" s="7"/>
      <c r="DBW112" s="7"/>
      <c r="DBX112" s="7"/>
      <c r="DBY112" s="7"/>
      <c r="DBZ112" s="7"/>
      <c r="DCA112" s="7"/>
      <c r="DCB112" s="7"/>
      <c r="DCC112" s="7"/>
      <c r="DCD112" s="7"/>
      <c r="DCE112" s="7"/>
      <c r="DCF112" s="7"/>
      <c r="DCG112" s="7"/>
      <c r="DCH112" s="7"/>
      <c r="DCI112" s="7"/>
      <c r="DCJ112" s="7"/>
      <c r="DCK112" s="7"/>
      <c r="DCL112" s="7"/>
      <c r="DCM112" s="7"/>
      <c r="DCN112" s="7"/>
      <c r="DCO112" s="7"/>
      <c r="DCP112" s="7"/>
      <c r="DCQ112" s="7"/>
      <c r="DCR112" s="7"/>
      <c r="DCS112" s="7"/>
      <c r="DCT112" s="7"/>
      <c r="DCU112" s="7"/>
      <c r="DCV112" s="7"/>
      <c r="DCW112" s="7"/>
      <c r="DCX112" s="7"/>
      <c r="DCY112" s="7"/>
      <c r="DCZ112" s="7"/>
      <c r="DDA112" s="7"/>
      <c r="DDB112" s="7"/>
      <c r="DDC112" s="7"/>
      <c r="DDD112" s="7"/>
      <c r="DDE112" s="7"/>
      <c r="DDF112" s="7"/>
      <c r="DDG112" s="7"/>
      <c r="DDH112" s="7"/>
      <c r="DDI112" s="7"/>
      <c r="DDJ112" s="7"/>
      <c r="DDK112" s="7"/>
      <c r="DDL112" s="7"/>
      <c r="DDM112" s="7"/>
      <c r="DDN112" s="7"/>
      <c r="DDO112" s="7"/>
      <c r="DDP112" s="7"/>
      <c r="DDQ112" s="7"/>
      <c r="DDR112" s="7"/>
      <c r="DDS112" s="7"/>
      <c r="DDT112" s="7"/>
      <c r="DDU112" s="7"/>
      <c r="DDV112" s="7"/>
      <c r="DDW112" s="7"/>
      <c r="DDX112" s="7"/>
      <c r="DDY112" s="7"/>
      <c r="DDZ112" s="7"/>
      <c r="DEA112" s="7"/>
      <c r="DEB112" s="7"/>
      <c r="DEC112" s="7"/>
      <c r="DED112" s="7"/>
      <c r="DEE112" s="7"/>
      <c r="DEF112" s="7"/>
      <c r="DEG112" s="7"/>
      <c r="DEH112" s="7"/>
      <c r="DEI112" s="7"/>
      <c r="DEJ112" s="7"/>
      <c r="DEK112" s="7"/>
      <c r="DEL112" s="7"/>
      <c r="DEM112" s="7"/>
      <c r="DEN112" s="7"/>
      <c r="DEO112" s="7"/>
      <c r="DEP112" s="7"/>
      <c r="DEQ112" s="7"/>
      <c r="DER112" s="7"/>
      <c r="DES112" s="7"/>
      <c r="DET112" s="7"/>
      <c r="DEU112" s="7"/>
      <c r="DEV112" s="7"/>
      <c r="DEW112" s="7"/>
      <c r="DEX112" s="7"/>
      <c r="DEY112" s="7"/>
      <c r="DEZ112" s="7"/>
      <c r="DFA112" s="7"/>
      <c r="DFB112" s="7"/>
      <c r="DFC112" s="7"/>
      <c r="DFD112" s="7"/>
      <c r="DFE112" s="7"/>
      <c r="DFF112" s="7"/>
      <c r="DFG112" s="7"/>
      <c r="DFH112" s="7"/>
      <c r="DFI112" s="7"/>
      <c r="DFJ112" s="7"/>
      <c r="DFK112" s="7"/>
      <c r="DFL112" s="7"/>
      <c r="DFM112" s="7"/>
      <c r="DFN112" s="7"/>
      <c r="DFO112" s="7"/>
      <c r="DFP112" s="7"/>
      <c r="DFQ112" s="7"/>
      <c r="DFR112" s="7"/>
      <c r="DFS112" s="7"/>
      <c r="DFT112" s="7"/>
      <c r="DFU112" s="7"/>
      <c r="DFV112" s="7"/>
      <c r="DFW112" s="7"/>
      <c r="DFX112" s="7"/>
      <c r="DFY112" s="7"/>
      <c r="DFZ112" s="7"/>
      <c r="DGA112" s="7"/>
      <c r="DGB112" s="7"/>
      <c r="DGC112" s="7"/>
      <c r="DGD112" s="7"/>
      <c r="DGE112" s="7"/>
      <c r="DGF112" s="7"/>
      <c r="DGG112" s="7"/>
      <c r="DGH112" s="7"/>
      <c r="DGI112" s="7"/>
      <c r="DGJ112" s="7"/>
      <c r="DGK112" s="7"/>
      <c r="DGL112" s="7"/>
      <c r="DGM112" s="7"/>
      <c r="DGN112" s="7"/>
      <c r="DGO112" s="7"/>
      <c r="DGP112" s="7"/>
      <c r="DGQ112" s="7"/>
      <c r="DGR112" s="7"/>
      <c r="DGS112" s="7"/>
      <c r="DGT112" s="7"/>
      <c r="DGU112" s="7"/>
      <c r="DGV112" s="7"/>
      <c r="DGW112" s="7"/>
      <c r="DGX112" s="7"/>
      <c r="DGY112" s="7"/>
      <c r="DGZ112" s="7"/>
      <c r="DHA112" s="7"/>
      <c r="DHB112" s="7"/>
      <c r="DHC112" s="7"/>
      <c r="DHD112" s="7"/>
      <c r="DHE112" s="7"/>
      <c r="DHF112" s="7"/>
      <c r="DHG112" s="7"/>
      <c r="DHH112" s="7"/>
      <c r="DHI112" s="7"/>
      <c r="DHJ112" s="7"/>
      <c r="DHK112" s="7"/>
      <c r="DHL112" s="7"/>
      <c r="DHM112" s="7"/>
      <c r="DHN112" s="7"/>
      <c r="DHO112" s="7"/>
      <c r="DHP112" s="7"/>
      <c r="DHQ112" s="7"/>
      <c r="DHR112" s="7"/>
      <c r="DHS112" s="7"/>
      <c r="DHT112" s="7"/>
      <c r="DHU112" s="7"/>
      <c r="DHV112" s="7"/>
      <c r="DHW112" s="7"/>
      <c r="DHX112" s="7"/>
      <c r="DHY112" s="7"/>
      <c r="DHZ112" s="7"/>
      <c r="DIA112" s="7"/>
      <c r="DIB112" s="7"/>
      <c r="DIC112" s="7"/>
      <c r="DID112" s="7"/>
      <c r="DIE112" s="7"/>
      <c r="DIF112" s="7"/>
      <c r="DIG112" s="7"/>
      <c r="DIH112" s="7"/>
      <c r="DII112" s="7"/>
      <c r="DIJ112" s="7"/>
      <c r="DIK112" s="7"/>
      <c r="DIL112" s="7"/>
      <c r="DIM112" s="7"/>
      <c r="DIN112" s="7"/>
      <c r="DIO112" s="7"/>
      <c r="DIP112" s="7"/>
      <c r="DIQ112" s="7"/>
      <c r="DIR112" s="7"/>
      <c r="DIS112" s="7"/>
      <c r="DIT112" s="7"/>
      <c r="DIU112" s="7"/>
      <c r="DIV112" s="7"/>
      <c r="DIW112" s="7"/>
      <c r="DIX112" s="7"/>
      <c r="DIY112" s="7"/>
      <c r="DIZ112" s="7"/>
      <c r="DJA112" s="7"/>
      <c r="DJB112" s="7"/>
      <c r="DJC112" s="7"/>
      <c r="DJD112" s="7"/>
      <c r="DJE112" s="7"/>
      <c r="DJF112" s="7"/>
      <c r="DJG112" s="7"/>
      <c r="DJH112" s="7"/>
      <c r="DJI112" s="7"/>
      <c r="DJJ112" s="7"/>
      <c r="DJK112" s="7"/>
      <c r="DJL112" s="7"/>
      <c r="DJM112" s="7"/>
      <c r="DJN112" s="7"/>
      <c r="DJO112" s="7"/>
      <c r="DJP112" s="7"/>
      <c r="DJQ112" s="7"/>
      <c r="DJR112" s="7"/>
      <c r="DJS112" s="7"/>
      <c r="DJT112" s="7"/>
      <c r="DJU112" s="7"/>
      <c r="DJV112" s="7"/>
      <c r="DJW112" s="7"/>
      <c r="DJX112" s="7"/>
      <c r="DJY112" s="7"/>
      <c r="DJZ112" s="7"/>
      <c r="DKA112" s="7"/>
      <c r="DKB112" s="7"/>
      <c r="DKC112" s="7"/>
      <c r="DKD112" s="7"/>
      <c r="DKE112" s="7"/>
      <c r="DKF112" s="7"/>
      <c r="DKG112" s="7"/>
      <c r="DKH112" s="7"/>
      <c r="DKI112" s="7"/>
      <c r="DKJ112" s="7"/>
      <c r="DKK112" s="7"/>
      <c r="DKL112" s="7"/>
      <c r="DKM112" s="7"/>
      <c r="DKN112" s="7"/>
      <c r="DKO112" s="7"/>
      <c r="DKP112" s="7"/>
      <c r="DKQ112" s="7"/>
      <c r="DKR112" s="7"/>
      <c r="DKS112" s="7"/>
      <c r="DKT112" s="7"/>
      <c r="DKU112" s="7"/>
      <c r="DKV112" s="7"/>
      <c r="DKW112" s="7"/>
      <c r="DKX112" s="7"/>
      <c r="DKY112" s="7"/>
      <c r="DKZ112" s="7"/>
      <c r="DLA112" s="7"/>
      <c r="DLB112" s="7"/>
      <c r="DLC112" s="7"/>
      <c r="DLD112" s="7"/>
      <c r="DLE112" s="7"/>
      <c r="DLF112" s="7"/>
      <c r="DLG112" s="7"/>
      <c r="DLH112" s="7"/>
      <c r="DLI112" s="7"/>
      <c r="DLJ112" s="7"/>
      <c r="DLK112" s="7"/>
      <c r="DLL112" s="7"/>
      <c r="DLM112" s="7"/>
      <c r="DLN112" s="7"/>
      <c r="DLO112" s="7"/>
      <c r="DLP112" s="7"/>
      <c r="DLQ112" s="7"/>
      <c r="DLR112" s="7"/>
      <c r="DLS112" s="7"/>
      <c r="DLT112" s="7"/>
      <c r="DLU112" s="7"/>
      <c r="DLV112" s="7"/>
      <c r="DLW112" s="7"/>
      <c r="DLX112" s="7"/>
      <c r="DLY112" s="7"/>
      <c r="DLZ112" s="7"/>
      <c r="DMA112" s="7"/>
      <c r="DMB112" s="7"/>
      <c r="DMC112" s="7"/>
      <c r="DMD112" s="7"/>
      <c r="DME112" s="7"/>
      <c r="DMF112" s="7"/>
      <c r="DMG112" s="7"/>
      <c r="DMH112" s="7"/>
      <c r="DMI112" s="7"/>
      <c r="DMJ112" s="7"/>
      <c r="DMK112" s="7"/>
      <c r="DML112" s="7"/>
      <c r="DMM112" s="7"/>
      <c r="DMN112" s="7"/>
      <c r="DMO112" s="7"/>
      <c r="DMP112" s="7"/>
      <c r="DMQ112" s="7"/>
      <c r="DMR112" s="7"/>
      <c r="DMS112" s="7"/>
      <c r="DMT112" s="7"/>
      <c r="DMU112" s="7"/>
      <c r="DMV112" s="7"/>
      <c r="DMW112" s="7"/>
      <c r="DMX112" s="7"/>
      <c r="DMY112" s="7"/>
      <c r="DMZ112" s="7"/>
      <c r="DNA112" s="7"/>
      <c r="DNB112" s="7"/>
      <c r="DNC112" s="7"/>
      <c r="DND112" s="7"/>
      <c r="DNE112" s="7"/>
      <c r="DNF112" s="7"/>
      <c r="DNG112" s="7"/>
      <c r="DNH112" s="7"/>
      <c r="DNI112" s="7"/>
      <c r="DNJ112" s="7"/>
      <c r="DNK112" s="7"/>
      <c r="DNL112" s="7"/>
      <c r="DNM112" s="7"/>
      <c r="DNN112" s="7"/>
      <c r="DNO112" s="7"/>
      <c r="DNP112" s="7"/>
      <c r="DNQ112" s="7"/>
      <c r="DNR112" s="7"/>
      <c r="DNS112" s="7"/>
      <c r="DNT112" s="7"/>
      <c r="DNU112" s="7"/>
      <c r="DNV112" s="7"/>
      <c r="DNW112" s="7"/>
      <c r="DNX112" s="7"/>
      <c r="DNY112" s="7"/>
      <c r="DNZ112" s="7"/>
      <c r="DOA112" s="7"/>
      <c r="DOB112" s="7"/>
      <c r="DOC112" s="7"/>
      <c r="DOD112" s="7"/>
      <c r="DOE112" s="7"/>
      <c r="DOF112" s="7"/>
      <c r="DOG112" s="7"/>
      <c r="DOH112" s="7"/>
      <c r="DOI112" s="7"/>
      <c r="DOJ112" s="7"/>
      <c r="DOK112" s="7"/>
      <c r="DOL112" s="7"/>
      <c r="DOM112" s="7"/>
      <c r="DON112" s="7"/>
      <c r="DOO112" s="7"/>
      <c r="DOP112" s="7"/>
      <c r="DOQ112" s="7"/>
      <c r="DOR112" s="7"/>
      <c r="DOS112" s="7"/>
      <c r="DOT112" s="7"/>
      <c r="DOU112" s="7"/>
      <c r="DOV112" s="7"/>
      <c r="DOW112" s="7"/>
      <c r="DOX112" s="7"/>
      <c r="DOY112" s="7"/>
      <c r="DOZ112" s="7"/>
      <c r="DPA112" s="7"/>
      <c r="DPB112" s="7"/>
      <c r="DPC112" s="7"/>
      <c r="DPD112" s="7"/>
      <c r="DPE112" s="7"/>
      <c r="DPF112" s="7"/>
      <c r="DPG112" s="7"/>
      <c r="DPH112" s="7"/>
      <c r="DPI112" s="7"/>
      <c r="DPJ112" s="7"/>
      <c r="DPK112" s="7"/>
      <c r="DPL112" s="7"/>
      <c r="DPM112" s="7"/>
      <c r="DPN112" s="7"/>
      <c r="DPO112" s="7"/>
      <c r="DPP112" s="7"/>
      <c r="DPQ112" s="7"/>
      <c r="DPR112" s="7"/>
      <c r="DPS112" s="7"/>
      <c r="DPT112" s="7"/>
      <c r="DPU112" s="7"/>
      <c r="DPV112" s="7"/>
      <c r="DPW112" s="7"/>
      <c r="DPX112" s="7"/>
      <c r="DPY112" s="7"/>
      <c r="DPZ112" s="7"/>
      <c r="DQA112" s="7"/>
      <c r="DQB112" s="7"/>
      <c r="DQC112" s="7"/>
      <c r="DQD112" s="7"/>
      <c r="DQE112" s="7"/>
      <c r="DQF112" s="7"/>
      <c r="DQG112" s="7"/>
      <c r="DQH112" s="7"/>
      <c r="DQI112" s="7"/>
      <c r="DQJ112" s="7"/>
      <c r="DQK112" s="7"/>
      <c r="DQL112" s="7"/>
      <c r="DQM112" s="7"/>
      <c r="DQN112" s="7"/>
      <c r="DQO112" s="7"/>
      <c r="DQP112" s="7"/>
      <c r="DQQ112" s="7"/>
      <c r="DQR112" s="7"/>
      <c r="DQS112" s="7"/>
      <c r="DQT112" s="7"/>
      <c r="DQU112" s="7"/>
      <c r="DQV112" s="7"/>
      <c r="DQW112" s="7"/>
      <c r="DQX112" s="7"/>
      <c r="DQY112" s="7"/>
      <c r="DQZ112" s="7"/>
      <c r="DRA112" s="7"/>
      <c r="DRB112" s="7"/>
      <c r="DRC112" s="7"/>
      <c r="DRD112" s="7"/>
      <c r="DRE112" s="7"/>
      <c r="DRF112" s="7"/>
      <c r="DRG112" s="7"/>
      <c r="DRH112" s="7"/>
      <c r="DRI112" s="7"/>
      <c r="DRJ112" s="7"/>
      <c r="DRK112" s="7"/>
      <c r="DRL112" s="7"/>
      <c r="DRM112" s="7"/>
      <c r="DRN112" s="7"/>
      <c r="DRO112" s="7"/>
      <c r="DRP112" s="7"/>
      <c r="DRQ112" s="7"/>
      <c r="DRR112" s="7"/>
      <c r="DRS112" s="7"/>
      <c r="DRT112" s="7"/>
      <c r="DRU112" s="7"/>
      <c r="DRV112" s="7"/>
      <c r="DRW112" s="7"/>
      <c r="DRX112" s="7"/>
      <c r="DRY112" s="7"/>
      <c r="DRZ112" s="7"/>
      <c r="DSA112" s="7"/>
      <c r="DSB112" s="7"/>
      <c r="DSC112" s="7"/>
      <c r="DSD112" s="7"/>
      <c r="DSE112" s="7"/>
      <c r="DSF112" s="7"/>
      <c r="DSG112" s="7"/>
      <c r="DSH112" s="7"/>
      <c r="DSI112" s="7"/>
      <c r="DSJ112" s="7"/>
      <c r="DSK112" s="7"/>
      <c r="DSL112" s="7"/>
      <c r="DSM112" s="7"/>
      <c r="DSN112" s="7"/>
      <c r="DSO112" s="7"/>
      <c r="DSP112" s="7"/>
      <c r="DSQ112" s="7"/>
      <c r="DSR112" s="7"/>
      <c r="DSS112" s="7"/>
      <c r="DST112" s="7"/>
      <c r="DSU112" s="7"/>
      <c r="DSV112" s="7"/>
      <c r="DSW112" s="7"/>
      <c r="DSX112" s="7"/>
      <c r="DSY112" s="7"/>
      <c r="DSZ112" s="7"/>
      <c r="DTA112" s="7"/>
      <c r="DTB112" s="7"/>
      <c r="DTC112" s="7"/>
      <c r="DTD112" s="7"/>
      <c r="DTE112" s="7"/>
      <c r="DTF112" s="7"/>
      <c r="DTG112" s="7"/>
      <c r="DTH112" s="7"/>
      <c r="DTI112" s="7"/>
      <c r="DTJ112" s="7"/>
      <c r="DTK112" s="7"/>
      <c r="DTL112" s="7"/>
      <c r="DTM112" s="7"/>
      <c r="DTN112" s="7"/>
      <c r="DTO112" s="7"/>
      <c r="DTP112" s="7"/>
      <c r="DTQ112" s="7"/>
      <c r="DTR112" s="7"/>
      <c r="DTS112" s="7"/>
      <c r="DTT112" s="7"/>
      <c r="DTU112" s="7"/>
      <c r="DTV112" s="7"/>
      <c r="DTW112" s="7"/>
      <c r="DTX112" s="7"/>
      <c r="DTY112" s="7"/>
      <c r="DTZ112" s="7"/>
      <c r="DUA112" s="7"/>
      <c r="DUB112" s="7"/>
      <c r="DUC112" s="7"/>
      <c r="DUD112" s="7"/>
      <c r="DUE112" s="7"/>
      <c r="DUF112" s="7"/>
      <c r="DUG112" s="7"/>
      <c r="DUH112" s="7"/>
      <c r="DUI112" s="7"/>
      <c r="DUJ112" s="7"/>
      <c r="DUK112" s="7"/>
      <c r="DUL112" s="7"/>
      <c r="DUM112" s="7"/>
      <c r="DUN112" s="7"/>
      <c r="DUO112" s="7"/>
      <c r="DUP112" s="7"/>
      <c r="DUQ112" s="7"/>
      <c r="DUR112" s="7"/>
      <c r="DUS112" s="7"/>
      <c r="DUT112" s="7"/>
      <c r="DUU112" s="7"/>
      <c r="DUV112" s="7"/>
      <c r="DUW112" s="7"/>
      <c r="DUX112" s="7"/>
      <c r="DUY112" s="7"/>
      <c r="DUZ112" s="7"/>
      <c r="DVA112" s="7"/>
      <c r="DVB112" s="7"/>
      <c r="DVC112" s="7"/>
      <c r="DVD112" s="7"/>
      <c r="DVE112" s="7"/>
      <c r="DVF112" s="7"/>
      <c r="DVG112" s="7"/>
      <c r="DVH112" s="7"/>
      <c r="DVI112" s="7"/>
      <c r="DVJ112" s="7"/>
      <c r="DVK112" s="7"/>
      <c r="DVL112" s="7"/>
      <c r="DVM112" s="7"/>
      <c r="DVN112" s="7"/>
      <c r="DVO112" s="7"/>
      <c r="DVP112" s="7"/>
      <c r="DVQ112" s="7"/>
      <c r="DVR112" s="7"/>
      <c r="DVS112" s="7"/>
      <c r="DVT112" s="7"/>
      <c r="DVU112" s="7"/>
      <c r="DVV112" s="7"/>
      <c r="DVW112" s="7"/>
      <c r="DVX112" s="7"/>
      <c r="DVY112" s="7"/>
      <c r="DVZ112" s="7"/>
      <c r="DWA112" s="7"/>
      <c r="DWB112" s="7"/>
      <c r="DWC112" s="7"/>
      <c r="DWD112" s="7"/>
      <c r="DWE112" s="7"/>
      <c r="DWF112" s="7"/>
      <c r="DWG112" s="7"/>
      <c r="DWH112" s="7"/>
      <c r="DWI112" s="7"/>
      <c r="DWJ112" s="7"/>
      <c r="DWK112" s="7"/>
      <c r="DWL112" s="7"/>
      <c r="DWM112" s="7"/>
      <c r="DWN112" s="7"/>
      <c r="DWO112" s="7"/>
      <c r="DWP112" s="7"/>
      <c r="DWQ112" s="7"/>
      <c r="DWR112" s="7"/>
      <c r="DWS112" s="7"/>
      <c r="DWT112" s="7"/>
      <c r="DWU112" s="7"/>
      <c r="DWV112" s="7"/>
      <c r="DWW112" s="7"/>
      <c r="DWX112" s="7"/>
      <c r="DWY112" s="7"/>
      <c r="DWZ112" s="7"/>
      <c r="DXA112" s="7"/>
      <c r="DXB112" s="7"/>
      <c r="DXC112" s="7"/>
      <c r="DXD112" s="7"/>
      <c r="DXE112" s="7"/>
      <c r="DXF112" s="7"/>
      <c r="DXG112" s="7"/>
      <c r="DXH112" s="7"/>
      <c r="DXI112" s="7"/>
      <c r="DXJ112" s="7"/>
      <c r="DXK112" s="7"/>
      <c r="DXL112" s="7"/>
      <c r="DXM112" s="7"/>
      <c r="DXN112" s="7"/>
      <c r="DXO112" s="7"/>
      <c r="DXP112" s="7"/>
      <c r="DXQ112" s="7"/>
      <c r="DXR112" s="7"/>
      <c r="DXS112" s="7"/>
      <c r="DXT112" s="7"/>
      <c r="DXU112" s="7"/>
      <c r="DXV112" s="7"/>
      <c r="DXW112" s="7"/>
      <c r="DXX112" s="7"/>
      <c r="DXY112" s="7"/>
      <c r="DXZ112" s="7"/>
      <c r="DYA112" s="7"/>
      <c r="DYB112" s="7"/>
      <c r="DYC112" s="7"/>
      <c r="DYD112" s="7"/>
      <c r="DYE112" s="7"/>
      <c r="DYF112" s="7"/>
      <c r="DYG112" s="7"/>
      <c r="DYH112" s="7"/>
      <c r="DYI112" s="7"/>
      <c r="DYJ112" s="7"/>
      <c r="DYK112" s="7"/>
      <c r="DYL112" s="7"/>
      <c r="DYM112" s="7"/>
      <c r="DYN112" s="7"/>
      <c r="DYO112" s="7"/>
      <c r="DYP112" s="7"/>
      <c r="DYQ112" s="7"/>
      <c r="DYR112" s="7"/>
      <c r="DYS112" s="7"/>
      <c r="DYT112" s="7"/>
      <c r="DYU112" s="7"/>
      <c r="DYV112" s="7"/>
      <c r="DYW112" s="7"/>
      <c r="DYX112" s="7"/>
      <c r="DYY112" s="7"/>
      <c r="DYZ112" s="7"/>
      <c r="DZA112" s="7"/>
      <c r="DZB112" s="7"/>
      <c r="DZC112" s="7"/>
      <c r="DZD112" s="7"/>
      <c r="DZE112" s="7"/>
      <c r="DZF112" s="7"/>
      <c r="DZG112" s="7"/>
      <c r="DZH112" s="7"/>
      <c r="DZI112" s="7"/>
      <c r="DZJ112" s="7"/>
      <c r="DZK112" s="7"/>
      <c r="DZL112" s="7"/>
      <c r="DZM112" s="7"/>
      <c r="DZN112" s="7"/>
      <c r="DZO112" s="7"/>
      <c r="DZP112" s="7"/>
      <c r="DZQ112" s="7"/>
      <c r="DZR112" s="7"/>
      <c r="DZS112" s="7"/>
      <c r="DZT112" s="7"/>
      <c r="DZU112" s="7"/>
      <c r="DZV112" s="7"/>
      <c r="DZW112" s="7"/>
      <c r="DZX112" s="7"/>
      <c r="DZY112" s="7"/>
      <c r="DZZ112" s="7"/>
      <c r="EAA112" s="7"/>
      <c r="EAB112" s="7"/>
      <c r="EAC112" s="7"/>
      <c r="EAD112" s="7"/>
      <c r="EAE112" s="7"/>
      <c r="EAF112" s="7"/>
      <c r="EAG112" s="7"/>
      <c r="EAH112" s="7"/>
      <c r="EAI112" s="7"/>
      <c r="EAJ112" s="7"/>
      <c r="EAK112" s="7"/>
      <c r="EAL112" s="7"/>
      <c r="EAM112" s="7"/>
      <c r="EAN112" s="7"/>
      <c r="EAO112" s="7"/>
      <c r="EAP112" s="7"/>
      <c r="EAQ112" s="7"/>
      <c r="EAR112" s="7"/>
      <c r="EAS112" s="7"/>
      <c r="EAT112" s="7"/>
      <c r="EAU112" s="7"/>
      <c r="EAV112" s="7"/>
      <c r="EAW112" s="7"/>
      <c r="EAX112" s="7"/>
      <c r="EAY112" s="7"/>
      <c r="EAZ112" s="7"/>
      <c r="EBA112" s="7"/>
      <c r="EBB112" s="7"/>
      <c r="EBC112" s="7"/>
      <c r="EBD112" s="7"/>
      <c r="EBE112" s="7"/>
      <c r="EBF112" s="7"/>
      <c r="EBG112" s="7"/>
      <c r="EBH112" s="7"/>
      <c r="EBI112" s="7"/>
      <c r="EBJ112" s="7"/>
      <c r="EBK112" s="7"/>
      <c r="EBL112" s="7"/>
      <c r="EBM112" s="7"/>
      <c r="EBN112" s="7"/>
      <c r="EBO112" s="7"/>
      <c r="EBP112" s="7"/>
      <c r="EBQ112" s="7"/>
      <c r="EBR112" s="7"/>
      <c r="EBS112" s="7"/>
      <c r="EBT112" s="7"/>
      <c r="EBU112" s="7"/>
      <c r="EBV112" s="7"/>
      <c r="EBW112" s="7"/>
      <c r="EBX112" s="7"/>
      <c r="EBY112" s="7"/>
      <c r="EBZ112" s="7"/>
      <c r="ECA112" s="7"/>
      <c r="ECB112" s="7"/>
      <c r="ECC112" s="7"/>
      <c r="ECD112" s="7"/>
      <c r="ECE112" s="7"/>
      <c r="ECF112" s="7"/>
      <c r="ECG112" s="7"/>
      <c r="ECH112" s="7"/>
      <c r="ECI112" s="7"/>
      <c r="ECJ112" s="7"/>
      <c r="ECK112" s="7"/>
      <c r="ECL112" s="7"/>
      <c r="ECM112" s="7"/>
      <c r="ECN112" s="7"/>
      <c r="ECO112" s="7"/>
      <c r="ECP112" s="7"/>
      <c r="ECQ112" s="7"/>
      <c r="ECR112" s="7"/>
      <c r="ECS112" s="7"/>
      <c r="ECT112" s="7"/>
      <c r="ECU112" s="7"/>
      <c r="ECV112" s="7"/>
      <c r="ECW112" s="7"/>
      <c r="ECX112" s="7"/>
      <c r="ECY112" s="7"/>
      <c r="ECZ112" s="7"/>
      <c r="EDA112" s="7"/>
      <c r="EDB112" s="7"/>
      <c r="EDC112" s="7"/>
      <c r="EDD112" s="7"/>
      <c r="EDE112" s="7"/>
      <c r="EDF112" s="7"/>
      <c r="EDG112" s="7"/>
      <c r="EDH112" s="7"/>
      <c r="EDI112" s="7"/>
      <c r="EDJ112" s="7"/>
      <c r="EDK112" s="7"/>
      <c r="EDL112" s="7"/>
      <c r="EDM112" s="7"/>
      <c r="EDN112" s="7"/>
      <c r="EDO112" s="7"/>
      <c r="EDP112" s="7"/>
      <c r="EDQ112" s="7"/>
      <c r="EDR112" s="7"/>
      <c r="EDS112" s="7"/>
      <c r="EDT112" s="7"/>
      <c r="EDU112" s="7"/>
      <c r="EDV112" s="7"/>
      <c r="EDW112" s="7"/>
      <c r="EDX112" s="7"/>
      <c r="EDY112" s="7"/>
      <c r="EDZ112" s="7"/>
      <c r="EEA112" s="7"/>
      <c r="EEB112" s="7"/>
      <c r="EEC112" s="7"/>
      <c r="EED112" s="7"/>
      <c r="EEE112" s="7"/>
      <c r="EEF112" s="7"/>
      <c r="EEG112" s="7"/>
      <c r="EEH112" s="7"/>
      <c r="EEI112" s="7"/>
      <c r="EEJ112" s="7"/>
      <c r="EEK112" s="7"/>
      <c r="EEL112" s="7"/>
      <c r="EEM112" s="7"/>
      <c r="EEN112" s="7"/>
      <c r="EEO112" s="7"/>
      <c r="EEP112" s="7"/>
      <c r="EEQ112" s="7"/>
      <c r="EER112" s="7"/>
      <c r="EES112" s="7"/>
      <c r="EET112" s="7"/>
      <c r="EEU112" s="7"/>
      <c r="EEV112" s="7"/>
      <c r="EEW112" s="7"/>
      <c r="EEX112" s="7"/>
      <c r="EEY112" s="7"/>
      <c r="EEZ112" s="7"/>
      <c r="EFA112" s="7"/>
      <c r="EFB112" s="7"/>
      <c r="EFC112" s="7"/>
      <c r="EFD112" s="7"/>
      <c r="EFE112" s="7"/>
      <c r="EFF112" s="7"/>
      <c r="EFG112" s="7"/>
      <c r="EFH112" s="7"/>
      <c r="EFI112" s="7"/>
      <c r="EFJ112" s="7"/>
      <c r="EFK112" s="7"/>
      <c r="EFL112" s="7"/>
      <c r="EFM112" s="7"/>
      <c r="EFN112" s="7"/>
      <c r="EFO112" s="7"/>
      <c r="EFP112" s="7"/>
      <c r="EFQ112" s="7"/>
      <c r="EFR112" s="7"/>
      <c r="EFS112" s="7"/>
      <c r="EFT112" s="7"/>
      <c r="EFU112" s="7"/>
      <c r="EFV112" s="7"/>
      <c r="EFW112" s="7"/>
      <c r="EFX112" s="7"/>
      <c r="EFY112" s="7"/>
      <c r="EFZ112" s="7"/>
      <c r="EGA112" s="7"/>
      <c r="EGB112" s="7"/>
      <c r="EGC112" s="7"/>
      <c r="EGD112" s="7"/>
      <c r="EGE112" s="7"/>
      <c r="EGF112" s="7"/>
      <c r="EGG112" s="7"/>
      <c r="EGH112" s="7"/>
      <c r="EGI112" s="7"/>
      <c r="EGJ112" s="7"/>
      <c r="EGK112" s="7"/>
      <c r="EGL112" s="7"/>
      <c r="EGM112" s="7"/>
      <c r="EGN112" s="7"/>
      <c r="EGO112" s="7"/>
      <c r="EGP112" s="7"/>
      <c r="EGQ112" s="7"/>
      <c r="EGR112" s="7"/>
      <c r="EGS112" s="7"/>
      <c r="EGT112" s="7"/>
      <c r="EGU112" s="7"/>
      <c r="EGV112" s="7"/>
      <c r="EGW112" s="7"/>
      <c r="EGX112" s="7"/>
      <c r="EGY112" s="7"/>
      <c r="EGZ112" s="7"/>
      <c r="EHA112" s="7"/>
      <c r="EHB112" s="7"/>
      <c r="EHC112" s="7"/>
      <c r="EHD112" s="7"/>
      <c r="EHE112" s="7"/>
      <c r="EHF112" s="7"/>
      <c r="EHG112" s="7"/>
      <c r="EHH112" s="7"/>
      <c r="EHI112" s="7"/>
      <c r="EHJ112" s="7"/>
      <c r="EHK112" s="7"/>
      <c r="EHL112" s="7"/>
      <c r="EHM112" s="7"/>
      <c r="EHN112" s="7"/>
      <c r="EHO112" s="7"/>
      <c r="EHP112" s="7"/>
      <c r="EHQ112" s="7"/>
      <c r="EHR112" s="7"/>
      <c r="EHS112" s="7"/>
      <c r="EHT112" s="7"/>
      <c r="EHU112" s="7"/>
      <c r="EHV112" s="7"/>
      <c r="EHW112" s="7"/>
      <c r="EHX112" s="7"/>
      <c r="EHY112" s="7"/>
      <c r="EHZ112" s="7"/>
      <c r="EIA112" s="7"/>
      <c r="EIB112" s="7"/>
      <c r="EIC112" s="7"/>
      <c r="EID112" s="7"/>
      <c r="EIE112" s="7"/>
      <c r="EIF112" s="7"/>
      <c r="EIG112" s="7"/>
      <c r="EIH112" s="7"/>
      <c r="EII112" s="7"/>
      <c r="EIJ112" s="7"/>
      <c r="EIK112" s="7"/>
      <c r="EIL112" s="7"/>
      <c r="EIM112" s="7"/>
      <c r="EIN112" s="7"/>
      <c r="EIO112" s="7"/>
      <c r="EIP112" s="7"/>
      <c r="EIQ112" s="7"/>
      <c r="EIR112" s="7"/>
      <c r="EIS112" s="7"/>
      <c r="EIT112" s="7"/>
      <c r="EIU112" s="7"/>
      <c r="EIV112" s="7"/>
      <c r="EIW112" s="7"/>
      <c r="EIX112" s="7"/>
      <c r="EIY112" s="7"/>
      <c r="EIZ112" s="7"/>
      <c r="EJA112" s="7"/>
      <c r="EJB112" s="7"/>
      <c r="EJC112" s="7"/>
      <c r="EJD112" s="7"/>
      <c r="EJE112" s="7"/>
      <c r="EJF112" s="7"/>
      <c r="EJG112" s="7"/>
      <c r="EJH112" s="7"/>
      <c r="EJI112" s="7"/>
      <c r="EJJ112" s="7"/>
      <c r="EJK112" s="7"/>
      <c r="EJL112" s="7"/>
      <c r="EJM112" s="7"/>
      <c r="EJN112" s="7"/>
      <c r="EJO112" s="7"/>
      <c r="EJP112" s="7"/>
      <c r="EJQ112" s="7"/>
      <c r="EJR112" s="7"/>
      <c r="EJS112" s="7"/>
      <c r="EJT112" s="7"/>
      <c r="EJU112" s="7"/>
      <c r="EJV112" s="7"/>
      <c r="EJW112" s="7"/>
      <c r="EJX112" s="7"/>
      <c r="EJY112" s="7"/>
      <c r="EJZ112" s="7"/>
      <c r="EKA112" s="7"/>
      <c r="EKB112" s="7"/>
      <c r="EKC112" s="7"/>
      <c r="EKD112" s="7"/>
      <c r="EKE112" s="7"/>
      <c r="EKF112" s="7"/>
      <c r="EKG112" s="7"/>
      <c r="EKH112" s="7"/>
      <c r="EKI112" s="7"/>
      <c r="EKJ112" s="7"/>
      <c r="EKK112" s="7"/>
      <c r="EKL112" s="7"/>
      <c r="EKM112" s="7"/>
      <c r="EKN112" s="7"/>
      <c r="EKO112" s="7"/>
      <c r="EKP112" s="7"/>
      <c r="EKQ112" s="7"/>
      <c r="EKR112" s="7"/>
      <c r="EKS112" s="7"/>
      <c r="EKT112" s="7"/>
      <c r="EKU112" s="7"/>
      <c r="EKV112" s="7"/>
      <c r="EKW112" s="7"/>
      <c r="EKX112" s="7"/>
      <c r="EKY112" s="7"/>
      <c r="EKZ112" s="7"/>
      <c r="ELA112" s="7"/>
      <c r="ELB112" s="7"/>
      <c r="ELC112" s="7"/>
      <c r="ELD112" s="7"/>
      <c r="ELE112" s="7"/>
      <c r="ELF112" s="7"/>
      <c r="ELG112" s="7"/>
      <c r="ELH112" s="7"/>
      <c r="ELI112" s="7"/>
      <c r="ELJ112" s="7"/>
      <c r="ELK112" s="7"/>
      <c r="ELL112" s="7"/>
      <c r="ELM112" s="7"/>
      <c r="ELN112" s="7"/>
      <c r="ELO112" s="7"/>
      <c r="ELP112" s="7"/>
      <c r="ELQ112" s="7"/>
      <c r="ELR112" s="7"/>
      <c r="ELS112" s="7"/>
      <c r="ELT112" s="7"/>
      <c r="ELU112" s="7"/>
      <c r="ELV112" s="7"/>
      <c r="ELW112" s="7"/>
      <c r="ELX112" s="7"/>
      <c r="ELY112" s="7"/>
      <c r="ELZ112" s="7"/>
      <c r="EMA112" s="7"/>
      <c r="EMB112" s="7"/>
      <c r="EMC112" s="7"/>
      <c r="EMD112" s="7"/>
      <c r="EME112" s="7"/>
      <c r="EMF112" s="7"/>
      <c r="EMG112" s="7"/>
      <c r="EMH112" s="7"/>
      <c r="EMI112" s="7"/>
      <c r="EMJ112" s="7"/>
      <c r="EMK112" s="7"/>
      <c r="EML112" s="7"/>
      <c r="EMM112" s="7"/>
      <c r="EMN112" s="7"/>
      <c r="EMO112" s="7"/>
      <c r="EMP112" s="7"/>
      <c r="EMQ112" s="7"/>
      <c r="EMR112" s="7"/>
      <c r="EMS112" s="7"/>
      <c r="EMT112" s="7"/>
      <c r="EMU112" s="7"/>
      <c r="EMV112" s="7"/>
      <c r="EMW112" s="7"/>
      <c r="EMX112" s="7"/>
      <c r="EMY112" s="7"/>
      <c r="EMZ112" s="7"/>
      <c r="ENA112" s="7"/>
      <c r="ENB112" s="7"/>
      <c r="ENC112" s="7"/>
      <c r="END112" s="7"/>
      <c r="ENE112" s="7"/>
      <c r="ENF112" s="7"/>
      <c r="ENG112" s="7"/>
      <c r="ENH112" s="7"/>
      <c r="ENI112" s="7"/>
      <c r="ENJ112" s="7"/>
      <c r="ENK112" s="7"/>
      <c r="ENL112" s="7"/>
      <c r="ENM112" s="7"/>
      <c r="ENN112" s="7"/>
      <c r="ENO112" s="7"/>
      <c r="ENP112" s="7"/>
      <c r="ENQ112" s="7"/>
      <c r="ENR112" s="7"/>
      <c r="ENS112" s="7"/>
      <c r="ENT112" s="7"/>
      <c r="ENU112" s="7"/>
      <c r="ENV112" s="7"/>
      <c r="ENW112" s="7"/>
      <c r="ENX112" s="7"/>
      <c r="ENY112" s="7"/>
      <c r="ENZ112" s="7"/>
      <c r="EOA112" s="7"/>
      <c r="EOB112" s="7"/>
      <c r="EOC112" s="7"/>
      <c r="EOD112" s="7"/>
      <c r="EOE112" s="7"/>
      <c r="EOF112" s="7"/>
      <c r="EOG112" s="7"/>
      <c r="EOH112" s="7"/>
      <c r="EOI112" s="7"/>
      <c r="EOJ112" s="7"/>
      <c r="EOK112" s="7"/>
      <c r="EOL112" s="7"/>
      <c r="EOM112" s="7"/>
      <c r="EON112" s="7"/>
      <c r="EOO112" s="7"/>
      <c r="EOP112" s="7"/>
      <c r="EOQ112" s="7"/>
      <c r="EOR112" s="7"/>
      <c r="EOS112" s="7"/>
      <c r="EOT112" s="7"/>
      <c r="EOU112" s="7"/>
      <c r="EOV112" s="7"/>
      <c r="EOW112" s="7"/>
      <c r="EOX112" s="7"/>
      <c r="EOY112" s="7"/>
      <c r="EOZ112" s="7"/>
      <c r="EPA112" s="7"/>
      <c r="EPB112" s="7"/>
      <c r="EPC112" s="7"/>
      <c r="EPD112" s="7"/>
      <c r="EPE112" s="7"/>
      <c r="EPF112" s="7"/>
      <c r="EPG112" s="7"/>
      <c r="EPH112" s="7"/>
      <c r="EPI112" s="7"/>
      <c r="EPJ112" s="7"/>
      <c r="EPK112" s="7"/>
      <c r="EPL112" s="7"/>
      <c r="EPM112" s="7"/>
      <c r="EPN112" s="7"/>
      <c r="EPO112" s="7"/>
      <c r="EPP112" s="7"/>
      <c r="EPQ112" s="7"/>
      <c r="EPR112" s="7"/>
      <c r="EPS112" s="7"/>
      <c r="EPT112" s="7"/>
      <c r="EPU112" s="7"/>
      <c r="EPV112" s="7"/>
      <c r="EPW112" s="7"/>
      <c r="EPX112" s="7"/>
      <c r="EPY112" s="7"/>
      <c r="EPZ112" s="7"/>
      <c r="EQA112" s="7"/>
      <c r="EQB112" s="7"/>
      <c r="EQC112" s="7"/>
      <c r="EQD112" s="7"/>
      <c r="EQE112" s="7"/>
      <c r="EQF112" s="7"/>
      <c r="EQG112" s="7"/>
      <c r="EQH112" s="7"/>
      <c r="EQI112" s="7"/>
      <c r="EQJ112" s="7"/>
      <c r="EQK112" s="7"/>
      <c r="EQL112" s="7"/>
      <c r="EQM112" s="7"/>
      <c r="EQN112" s="7"/>
      <c r="EQO112" s="7"/>
      <c r="EQP112" s="7"/>
      <c r="EQQ112" s="7"/>
      <c r="EQR112" s="7"/>
      <c r="EQS112" s="7"/>
      <c r="EQT112" s="7"/>
      <c r="EQU112" s="7"/>
      <c r="EQV112" s="7"/>
      <c r="EQW112" s="7"/>
      <c r="EQX112" s="7"/>
      <c r="EQY112" s="7"/>
      <c r="EQZ112" s="7"/>
      <c r="ERA112" s="7"/>
      <c r="ERB112" s="7"/>
      <c r="ERC112" s="7"/>
      <c r="ERD112" s="7"/>
      <c r="ERE112" s="7"/>
      <c r="ERF112" s="7"/>
      <c r="ERG112" s="7"/>
      <c r="ERH112" s="7"/>
      <c r="ERI112" s="7"/>
      <c r="ERJ112" s="7"/>
      <c r="ERK112" s="7"/>
      <c r="ERL112" s="7"/>
      <c r="ERM112" s="7"/>
      <c r="ERN112" s="7"/>
      <c r="ERO112" s="7"/>
      <c r="ERP112" s="7"/>
      <c r="ERQ112" s="7"/>
      <c r="ERR112" s="7"/>
      <c r="ERS112" s="7"/>
      <c r="ERT112" s="7"/>
      <c r="ERU112" s="7"/>
      <c r="ERV112" s="7"/>
      <c r="ERW112" s="7"/>
      <c r="ERX112" s="7"/>
      <c r="ERY112" s="7"/>
      <c r="ERZ112" s="7"/>
      <c r="ESA112" s="7"/>
      <c r="ESB112" s="7"/>
      <c r="ESC112" s="7"/>
      <c r="ESD112" s="7"/>
      <c r="ESE112" s="7"/>
      <c r="ESF112" s="7"/>
      <c r="ESG112" s="7"/>
      <c r="ESH112" s="7"/>
      <c r="ESI112" s="7"/>
      <c r="ESJ112" s="7"/>
      <c r="ESK112" s="7"/>
      <c r="ESL112" s="7"/>
      <c r="ESM112" s="7"/>
      <c r="ESN112" s="7"/>
      <c r="ESO112" s="7"/>
      <c r="ESP112" s="7"/>
      <c r="ESQ112" s="7"/>
      <c r="ESR112" s="7"/>
      <c r="ESS112" s="7"/>
      <c r="EST112" s="7"/>
      <c r="ESU112" s="7"/>
      <c r="ESV112" s="7"/>
      <c r="ESW112" s="7"/>
      <c r="ESX112" s="7"/>
      <c r="ESY112" s="7"/>
      <c r="ESZ112" s="7"/>
      <c r="ETA112" s="7"/>
      <c r="ETB112" s="7"/>
      <c r="ETC112" s="7"/>
      <c r="ETD112" s="7"/>
      <c r="ETE112" s="7"/>
      <c r="ETF112" s="7"/>
      <c r="ETG112" s="7"/>
      <c r="ETH112" s="7"/>
      <c r="ETI112" s="7"/>
      <c r="ETJ112" s="7"/>
      <c r="ETK112" s="7"/>
      <c r="ETL112" s="7"/>
      <c r="ETM112" s="7"/>
      <c r="ETN112" s="7"/>
      <c r="ETO112" s="7"/>
      <c r="ETP112" s="7"/>
      <c r="ETQ112" s="7"/>
      <c r="ETR112" s="7"/>
      <c r="ETS112" s="7"/>
      <c r="ETT112" s="7"/>
      <c r="ETU112" s="7"/>
      <c r="ETV112" s="7"/>
      <c r="ETW112" s="7"/>
      <c r="ETX112" s="7"/>
      <c r="ETY112" s="7"/>
      <c r="ETZ112" s="7"/>
      <c r="EUA112" s="7"/>
      <c r="EUB112" s="7"/>
      <c r="EUC112" s="7"/>
      <c r="EUD112" s="7"/>
      <c r="EUE112" s="7"/>
      <c r="EUF112" s="7"/>
      <c r="EUG112" s="7"/>
      <c r="EUH112" s="7"/>
      <c r="EUI112" s="7"/>
      <c r="EUJ112" s="7"/>
      <c r="EUK112" s="7"/>
      <c r="EUL112" s="7"/>
      <c r="EUM112" s="7"/>
      <c r="EUN112" s="7"/>
      <c r="EUO112" s="7"/>
      <c r="EUP112" s="7"/>
      <c r="EUQ112" s="7"/>
      <c r="EUR112" s="7"/>
      <c r="EUS112" s="7"/>
      <c r="EUT112" s="7"/>
      <c r="EUU112" s="7"/>
      <c r="EUV112" s="7"/>
      <c r="EUW112" s="7"/>
      <c r="EUX112" s="7"/>
      <c r="EUY112" s="7"/>
      <c r="EUZ112" s="7"/>
      <c r="EVA112" s="7"/>
      <c r="EVB112" s="7"/>
      <c r="EVC112" s="7"/>
      <c r="EVD112" s="7"/>
      <c r="EVE112" s="7"/>
      <c r="EVF112" s="7"/>
      <c r="EVG112" s="7"/>
      <c r="EVH112" s="7"/>
      <c r="EVI112" s="7"/>
      <c r="EVJ112" s="7"/>
      <c r="EVK112" s="7"/>
      <c r="EVL112" s="7"/>
      <c r="EVM112" s="7"/>
      <c r="EVN112" s="7"/>
      <c r="EVO112" s="7"/>
      <c r="EVP112" s="7"/>
      <c r="EVQ112" s="7"/>
      <c r="EVR112" s="7"/>
      <c r="EVS112" s="7"/>
      <c r="EVT112" s="7"/>
      <c r="EVU112" s="7"/>
      <c r="EVV112" s="7"/>
      <c r="EVW112" s="7"/>
      <c r="EVX112" s="7"/>
      <c r="EVY112" s="7"/>
      <c r="EVZ112" s="7"/>
      <c r="EWA112" s="7"/>
      <c r="EWB112" s="7"/>
      <c r="EWC112" s="7"/>
      <c r="EWD112" s="7"/>
      <c r="EWE112" s="7"/>
      <c r="EWF112" s="7"/>
      <c r="EWG112" s="7"/>
      <c r="EWH112" s="7"/>
      <c r="EWI112" s="7"/>
      <c r="EWJ112" s="7"/>
      <c r="EWK112" s="7"/>
      <c r="EWL112" s="7"/>
      <c r="EWM112" s="7"/>
      <c r="EWN112" s="7"/>
      <c r="EWO112" s="7"/>
      <c r="EWP112" s="7"/>
      <c r="EWQ112" s="7"/>
      <c r="EWR112" s="7"/>
      <c r="EWS112" s="7"/>
      <c r="EWT112" s="7"/>
      <c r="EWU112" s="7"/>
      <c r="EWV112" s="7"/>
      <c r="EWW112" s="7"/>
      <c r="EWX112" s="7"/>
      <c r="EWY112" s="7"/>
      <c r="EWZ112" s="7"/>
      <c r="EXA112" s="7"/>
      <c r="EXB112" s="7"/>
      <c r="EXC112" s="7"/>
      <c r="EXD112" s="7"/>
      <c r="EXE112" s="7"/>
      <c r="EXF112" s="7"/>
      <c r="EXG112" s="7"/>
      <c r="EXH112" s="7"/>
      <c r="EXI112" s="7"/>
      <c r="EXJ112" s="7"/>
      <c r="EXK112" s="7"/>
      <c r="EXL112" s="7"/>
      <c r="EXM112" s="7"/>
      <c r="EXN112" s="7"/>
      <c r="EXO112" s="7"/>
      <c r="EXP112" s="7"/>
      <c r="EXQ112" s="7"/>
      <c r="EXR112" s="7"/>
      <c r="EXS112" s="7"/>
      <c r="EXT112" s="7"/>
      <c r="EXU112" s="7"/>
      <c r="EXV112" s="7"/>
      <c r="EXW112" s="7"/>
      <c r="EXX112" s="7"/>
      <c r="EXY112" s="7"/>
      <c r="EXZ112" s="7"/>
      <c r="EYA112" s="7"/>
      <c r="EYB112" s="7"/>
      <c r="EYC112" s="7"/>
      <c r="EYD112" s="7"/>
      <c r="EYE112" s="7"/>
      <c r="EYF112" s="7"/>
      <c r="EYG112" s="7"/>
      <c r="EYH112" s="7"/>
      <c r="EYI112" s="7"/>
      <c r="EYJ112" s="7"/>
      <c r="EYK112" s="7"/>
      <c r="EYL112" s="7"/>
      <c r="EYM112" s="7"/>
      <c r="EYN112" s="7"/>
      <c r="EYO112" s="7"/>
      <c r="EYP112" s="7"/>
      <c r="EYQ112" s="7"/>
      <c r="EYR112" s="7"/>
      <c r="EYS112" s="7"/>
      <c r="EYT112" s="7"/>
      <c r="EYU112" s="7"/>
      <c r="EYV112" s="7"/>
      <c r="EYW112" s="7"/>
      <c r="EYX112" s="7"/>
      <c r="EYY112" s="7"/>
      <c r="EYZ112" s="7"/>
      <c r="EZA112" s="7"/>
      <c r="EZB112" s="7"/>
      <c r="EZC112" s="7"/>
      <c r="EZD112" s="7"/>
      <c r="EZE112" s="7"/>
      <c r="EZF112" s="7"/>
      <c r="EZG112" s="7"/>
      <c r="EZH112" s="7"/>
      <c r="EZI112" s="7"/>
      <c r="EZJ112" s="7"/>
      <c r="EZK112" s="7"/>
      <c r="EZL112" s="7"/>
      <c r="EZM112" s="7"/>
      <c r="EZN112" s="7"/>
      <c r="EZO112" s="7"/>
      <c r="EZP112" s="7"/>
      <c r="EZQ112" s="7"/>
      <c r="EZR112" s="7"/>
      <c r="EZS112" s="7"/>
      <c r="EZT112" s="7"/>
      <c r="EZU112" s="7"/>
      <c r="EZV112" s="7"/>
      <c r="EZW112" s="7"/>
      <c r="EZX112" s="7"/>
      <c r="EZY112" s="7"/>
      <c r="EZZ112" s="7"/>
      <c r="FAA112" s="7"/>
      <c r="FAB112" s="7"/>
      <c r="FAC112" s="7"/>
      <c r="FAD112" s="7"/>
      <c r="FAE112" s="7"/>
      <c r="FAF112" s="7"/>
      <c r="FAG112" s="7"/>
      <c r="FAH112" s="7"/>
      <c r="FAI112" s="7"/>
      <c r="FAJ112" s="7"/>
      <c r="FAK112" s="7"/>
      <c r="FAL112" s="7"/>
      <c r="FAM112" s="7"/>
      <c r="FAN112" s="7"/>
      <c r="FAO112" s="7"/>
      <c r="FAP112" s="7"/>
      <c r="FAQ112" s="7"/>
      <c r="FAR112" s="7"/>
      <c r="FAS112" s="7"/>
      <c r="FAT112" s="7"/>
      <c r="FAU112" s="7"/>
      <c r="FAV112" s="7"/>
      <c r="FAW112" s="7"/>
      <c r="FAX112" s="7"/>
      <c r="FAY112" s="7"/>
      <c r="FAZ112" s="7"/>
      <c r="FBA112" s="7"/>
      <c r="FBB112" s="7"/>
      <c r="FBC112" s="7"/>
      <c r="FBD112" s="7"/>
      <c r="FBE112" s="7"/>
      <c r="FBF112" s="7"/>
      <c r="FBG112" s="7"/>
      <c r="FBH112" s="7"/>
      <c r="FBI112" s="7"/>
      <c r="FBJ112" s="7"/>
      <c r="FBK112" s="7"/>
      <c r="FBL112" s="7"/>
      <c r="FBM112" s="7"/>
      <c r="FBN112" s="7"/>
      <c r="FBO112" s="7"/>
      <c r="FBP112" s="7"/>
      <c r="FBQ112" s="7"/>
      <c r="FBR112" s="7"/>
      <c r="FBS112" s="7"/>
      <c r="FBT112" s="7"/>
      <c r="FBU112" s="7"/>
      <c r="FBV112" s="7"/>
      <c r="FBW112" s="7"/>
      <c r="FBX112" s="7"/>
      <c r="FBY112" s="7"/>
      <c r="FBZ112" s="7"/>
      <c r="FCA112" s="7"/>
      <c r="FCB112" s="7"/>
      <c r="FCC112" s="7"/>
      <c r="FCD112" s="7"/>
      <c r="FCE112" s="7"/>
      <c r="FCF112" s="7"/>
      <c r="FCG112" s="7"/>
      <c r="FCH112" s="7"/>
      <c r="FCI112" s="7"/>
      <c r="FCJ112" s="7"/>
      <c r="FCK112" s="7"/>
      <c r="FCL112" s="7"/>
      <c r="FCM112" s="7"/>
      <c r="FCN112" s="7"/>
      <c r="FCO112" s="7"/>
      <c r="FCP112" s="7"/>
      <c r="FCQ112" s="7"/>
      <c r="FCR112" s="7"/>
      <c r="FCS112" s="7"/>
      <c r="FCT112" s="7"/>
      <c r="FCU112" s="7"/>
      <c r="FCV112" s="7"/>
      <c r="FCW112" s="7"/>
      <c r="FCX112" s="7"/>
      <c r="FCY112" s="7"/>
      <c r="FCZ112" s="7"/>
      <c r="FDA112" s="7"/>
      <c r="FDB112" s="7"/>
      <c r="FDC112" s="7"/>
      <c r="FDD112" s="7"/>
      <c r="FDE112" s="7"/>
      <c r="FDF112" s="7"/>
      <c r="FDG112" s="7"/>
      <c r="FDH112" s="7"/>
      <c r="FDI112" s="7"/>
      <c r="FDJ112" s="7"/>
      <c r="FDK112" s="7"/>
      <c r="FDL112" s="7"/>
      <c r="FDM112" s="7"/>
      <c r="FDN112" s="7"/>
      <c r="FDO112" s="7"/>
      <c r="FDP112" s="7"/>
      <c r="FDQ112" s="7"/>
      <c r="FDR112" s="7"/>
      <c r="FDS112" s="7"/>
      <c r="FDT112" s="7"/>
      <c r="FDU112" s="7"/>
      <c r="FDV112" s="7"/>
      <c r="FDW112" s="7"/>
      <c r="FDX112" s="7"/>
      <c r="FDY112" s="7"/>
      <c r="FDZ112" s="7"/>
      <c r="FEA112" s="7"/>
      <c r="FEB112" s="7"/>
      <c r="FEC112" s="7"/>
      <c r="FED112" s="7"/>
      <c r="FEE112" s="7"/>
      <c r="FEF112" s="7"/>
      <c r="FEG112" s="7"/>
      <c r="FEH112" s="7"/>
      <c r="FEI112" s="7"/>
      <c r="FEJ112" s="7"/>
      <c r="FEK112" s="7"/>
      <c r="FEL112" s="7"/>
      <c r="FEM112" s="7"/>
      <c r="FEN112" s="7"/>
      <c r="FEO112" s="7"/>
      <c r="FEP112" s="7"/>
      <c r="FEQ112" s="7"/>
      <c r="FER112" s="7"/>
      <c r="FES112" s="7"/>
      <c r="FET112" s="7"/>
      <c r="FEU112" s="7"/>
      <c r="FEV112" s="7"/>
      <c r="FEW112" s="7"/>
      <c r="FEX112" s="7"/>
      <c r="FEY112" s="7"/>
      <c r="FEZ112" s="7"/>
      <c r="FFA112" s="7"/>
      <c r="FFB112" s="7"/>
      <c r="FFC112" s="7"/>
      <c r="FFD112" s="7"/>
      <c r="FFE112" s="7"/>
      <c r="FFF112" s="7"/>
      <c r="FFG112" s="7"/>
      <c r="FFH112" s="7"/>
      <c r="FFI112" s="7"/>
      <c r="FFJ112" s="7"/>
      <c r="FFK112" s="7"/>
      <c r="FFL112" s="7"/>
      <c r="FFM112" s="7"/>
      <c r="FFN112" s="7"/>
      <c r="FFO112" s="7"/>
      <c r="FFP112" s="7"/>
      <c r="FFQ112" s="7"/>
      <c r="FFR112" s="7"/>
      <c r="FFS112" s="7"/>
      <c r="FFT112" s="7"/>
      <c r="FFU112" s="7"/>
      <c r="FFV112" s="7"/>
      <c r="FFW112" s="7"/>
      <c r="FFX112" s="7"/>
      <c r="FFY112" s="7"/>
      <c r="FFZ112" s="7"/>
      <c r="FGA112" s="7"/>
      <c r="FGB112" s="7"/>
      <c r="FGC112" s="7"/>
      <c r="FGD112" s="7"/>
      <c r="FGE112" s="7"/>
      <c r="FGF112" s="7"/>
      <c r="FGG112" s="7"/>
      <c r="FGH112" s="7"/>
      <c r="FGI112" s="7"/>
      <c r="FGJ112" s="7"/>
      <c r="FGK112" s="7"/>
      <c r="FGL112" s="7"/>
      <c r="FGM112" s="7"/>
      <c r="FGN112" s="7"/>
      <c r="FGO112" s="7"/>
      <c r="FGP112" s="7"/>
      <c r="FGQ112" s="7"/>
      <c r="FGR112" s="7"/>
      <c r="FGS112" s="7"/>
      <c r="FGT112" s="7"/>
      <c r="FGU112" s="7"/>
      <c r="FGV112" s="7"/>
      <c r="FGW112" s="7"/>
      <c r="FGX112" s="7"/>
      <c r="FGY112" s="7"/>
      <c r="FGZ112" s="7"/>
      <c r="FHA112" s="7"/>
      <c r="FHB112" s="7"/>
      <c r="FHC112" s="7"/>
      <c r="FHD112" s="7"/>
      <c r="FHE112" s="7"/>
      <c r="FHF112" s="7"/>
      <c r="FHG112" s="7"/>
      <c r="FHH112" s="7"/>
      <c r="FHI112" s="7"/>
      <c r="FHJ112" s="7"/>
      <c r="FHK112" s="7"/>
      <c r="FHL112" s="7"/>
      <c r="FHM112" s="7"/>
      <c r="FHN112" s="7"/>
      <c r="FHO112" s="7"/>
      <c r="FHP112" s="7"/>
      <c r="FHQ112" s="7"/>
      <c r="FHR112" s="7"/>
      <c r="FHS112" s="7"/>
      <c r="FHT112" s="7"/>
      <c r="FHU112" s="7"/>
      <c r="FHV112" s="7"/>
      <c r="FHW112" s="7"/>
      <c r="FHX112" s="7"/>
      <c r="FHY112" s="7"/>
      <c r="FHZ112" s="7"/>
      <c r="FIA112" s="7"/>
      <c r="FIB112" s="7"/>
      <c r="FIC112" s="7"/>
      <c r="FID112" s="7"/>
      <c r="FIE112" s="7"/>
      <c r="FIF112" s="7"/>
      <c r="FIG112" s="7"/>
      <c r="FIH112" s="7"/>
      <c r="FII112" s="7"/>
      <c r="FIJ112" s="7"/>
      <c r="FIK112" s="7"/>
      <c r="FIL112" s="7"/>
      <c r="FIM112" s="7"/>
      <c r="FIN112" s="7"/>
      <c r="FIO112" s="7"/>
      <c r="FIP112" s="7"/>
      <c r="FIQ112" s="7"/>
      <c r="FIR112" s="7"/>
      <c r="FIS112" s="7"/>
      <c r="FIT112" s="7"/>
      <c r="FIU112" s="7"/>
      <c r="FIV112" s="7"/>
      <c r="FIW112" s="7"/>
      <c r="FIX112" s="7"/>
      <c r="FIY112" s="7"/>
      <c r="FIZ112" s="7"/>
      <c r="FJA112" s="7"/>
      <c r="FJB112" s="7"/>
      <c r="FJC112" s="7"/>
      <c r="FJD112" s="7"/>
      <c r="FJE112" s="7"/>
      <c r="FJF112" s="7"/>
      <c r="FJG112" s="7"/>
      <c r="FJH112" s="7"/>
      <c r="FJI112" s="7"/>
      <c r="FJJ112" s="7"/>
      <c r="FJK112" s="7"/>
      <c r="FJL112" s="7"/>
      <c r="FJM112" s="7"/>
      <c r="FJN112" s="7"/>
      <c r="FJO112" s="7"/>
      <c r="FJP112" s="7"/>
      <c r="FJQ112" s="7"/>
      <c r="FJR112" s="7"/>
      <c r="FJS112" s="7"/>
      <c r="FJT112" s="7"/>
      <c r="FJU112" s="7"/>
      <c r="FJV112" s="7"/>
      <c r="FJW112" s="7"/>
      <c r="FJX112" s="7"/>
      <c r="FJY112" s="7"/>
      <c r="FJZ112" s="7"/>
      <c r="FKA112" s="7"/>
      <c r="FKB112" s="7"/>
      <c r="FKC112" s="7"/>
      <c r="FKD112" s="7"/>
      <c r="FKE112" s="7"/>
      <c r="FKF112" s="7"/>
      <c r="FKG112" s="7"/>
      <c r="FKH112" s="7"/>
      <c r="FKI112" s="7"/>
      <c r="FKJ112" s="7"/>
      <c r="FKK112" s="7"/>
      <c r="FKL112" s="7"/>
      <c r="FKM112" s="7"/>
      <c r="FKN112" s="7"/>
      <c r="FKO112" s="7"/>
      <c r="FKP112" s="7"/>
      <c r="FKQ112" s="7"/>
      <c r="FKR112" s="7"/>
      <c r="FKS112" s="7"/>
      <c r="FKT112" s="7"/>
      <c r="FKU112" s="7"/>
      <c r="FKV112" s="7"/>
      <c r="FKW112" s="7"/>
      <c r="FKX112" s="7"/>
      <c r="FKY112" s="7"/>
      <c r="FKZ112" s="7"/>
      <c r="FLA112" s="7"/>
      <c r="FLB112" s="7"/>
      <c r="FLC112" s="7"/>
      <c r="FLD112" s="7"/>
      <c r="FLE112" s="7"/>
      <c r="FLF112" s="7"/>
      <c r="FLG112" s="7"/>
      <c r="FLH112" s="7"/>
      <c r="FLI112" s="7"/>
      <c r="FLJ112" s="7"/>
      <c r="FLK112" s="7"/>
      <c r="FLL112" s="7"/>
      <c r="FLM112" s="7"/>
      <c r="FLN112" s="7"/>
      <c r="FLO112" s="7"/>
      <c r="FLP112" s="7"/>
      <c r="FLQ112" s="7"/>
      <c r="FLR112" s="7"/>
      <c r="FLS112" s="7"/>
      <c r="FLT112" s="7"/>
      <c r="FLU112" s="7"/>
      <c r="FLV112" s="7"/>
      <c r="FLW112" s="7"/>
      <c r="FLX112" s="7"/>
      <c r="FLY112" s="7"/>
      <c r="FLZ112" s="7"/>
      <c r="FMA112" s="7"/>
      <c r="FMB112" s="7"/>
      <c r="FMC112" s="7"/>
      <c r="FMD112" s="7"/>
      <c r="FME112" s="7"/>
      <c r="FMF112" s="7"/>
      <c r="FMG112" s="7"/>
      <c r="FMH112" s="7"/>
      <c r="FMI112" s="7"/>
      <c r="FMJ112" s="7"/>
      <c r="FMK112" s="7"/>
      <c r="FML112" s="7"/>
      <c r="FMM112" s="7"/>
      <c r="FMN112" s="7"/>
      <c r="FMO112" s="7"/>
      <c r="FMP112" s="7"/>
      <c r="FMQ112" s="7"/>
      <c r="FMR112" s="7"/>
      <c r="FMS112" s="7"/>
      <c r="FMT112" s="7"/>
      <c r="FMU112" s="7"/>
      <c r="FMV112" s="7"/>
      <c r="FMW112" s="7"/>
      <c r="FMX112" s="7"/>
      <c r="FMY112" s="7"/>
      <c r="FMZ112" s="7"/>
      <c r="FNA112" s="7"/>
      <c r="FNB112" s="7"/>
      <c r="FNC112" s="7"/>
      <c r="FND112" s="7"/>
      <c r="FNE112" s="7"/>
      <c r="FNF112" s="7"/>
      <c r="FNG112" s="7"/>
      <c r="FNH112" s="7"/>
      <c r="FNI112" s="7"/>
      <c r="FNJ112" s="7"/>
      <c r="FNK112" s="7"/>
      <c r="FNL112" s="7"/>
      <c r="FNM112" s="7"/>
      <c r="FNN112" s="7"/>
      <c r="FNO112" s="7"/>
      <c r="FNP112" s="7"/>
      <c r="FNQ112" s="7"/>
      <c r="FNR112" s="7"/>
      <c r="FNS112" s="7"/>
      <c r="FNT112" s="7"/>
      <c r="FNU112" s="7"/>
      <c r="FNV112" s="7"/>
      <c r="FNW112" s="7"/>
      <c r="FNX112" s="7"/>
      <c r="FNY112" s="7"/>
      <c r="FNZ112" s="7"/>
      <c r="FOA112" s="7"/>
      <c r="FOB112" s="7"/>
      <c r="FOC112" s="7"/>
      <c r="FOD112" s="7"/>
      <c r="FOE112" s="7"/>
      <c r="FOF112" s="7"/>
      <c r="FOG112" s="7"/>
      <c r="FOH112" s="7"/>
      <c r="FOI112" s="7"/>
      <c r="FOJ112" s="7"/>
      <c r="FOK112" s="7"/>
      <c r="FOL112" s="7"/>
      <c r="FOM112" s="7"/>
      <c r="FON112" s="7"/>
      <c r="FOO112" s="7"/>
      <c r="FOP112" s="7"/>
      <c r="FOQ112" s="7"/>
      <c r="FOR112" s="7"/>
      <c r="FOS112" s="7"/>
      <c r="FOT112" s="7"/>
      <c r="FOU112" s="7"/>
      <c r="FOV112" s="7"/>
      <c r="FOW112" s="7"/>
      <c r="FOX112" s="7"/>
      <c r="FOY112" s="7"/>
      <c r="FOZ112" s="7"/>
      <c r="FPA112" s="7"/>
      <c r="FPB112" s="7"/>
      <c r="FPC112" s="7"/>
      <c r="FPD112" s="7"/>
      <c r="FPE112" s="7"/>
      <c r="FPF112" s="7"/>
      <c r="FPG112" s="7"/>
      <c r="FPH112" s="7"/>
      <c r="FPI112" s="7"/>
      <c r="FPJ112" s="7"/>
      <c r="FPK112" s="7"/>
      <c r="FPL112" s="7"/>
      <c r="FPM112" s="7"/>
      <c r="FPN112" s="7"/>
      <c r="FPO112" s="7"/>
      <c r="FPP112" s="7"/>
      <c r="FPQ112" s="7"/>
      <c r="FPR112" s="7"/>
      <c r="FPS112" s="7"/>
      <c r="FPT112" s="7"/>
      <c r="FPU112" s="7"/>
      <c r="FPV112" s="7"/>
      <c r="FPW112" s="7"/>
      <c r="FPX112" s="7"/>
      <c r="FPY112" s="7"/>
      <c r="FPZ112" s="7"/>
      <c r="FQA112" s="7"/>
      <c r="FQB112" s="7"/>
      <c r="FQC112" s="7"/>
      <c r="FQD112" s="7"/>
      <c r="FQE112" s="7"/>
      <c r="FQF112" s="7"/>
      <c r="FQG112" s="7"/>
      <c r="FQH112" s="7"/>
      <c r="FQI112" s="7"/>
      <c r="FQJ112" s="7"/>
      <c r="FQK112" s="7"/>
      <c r="FQL112" s="7"/>
      <c r="FQM112" s="7"/>
      <c r="FQN112" s="7"/>
      <c r="FQO112" s="7"/>
      <c r="FQP112" s="7"/>
      <c r="FQQ112" s="7"/>
      <c r="FQR112" s="7"/>
      <c r="FQS112" s="7"/>
      <c r="FQT112" s="7"/>
      <c r="FQU112" s="7"/>
      <c r="FQV112" s="7"/>
      <c r="FQW112" s="7"/>
      <c r="FQX112" s="7"/>
      <c r="FQY112" s="7"/>
      <c r="FQZ112" s="7"/>
      <c r="FRA112" s="7"/>
      <c r="FRB112" s="7"/>
      <c r="FRC112" s="7"/>
      <c r="FRD112" s="7"/>
      <c r="FRE112" s="7"/>
      <c r="FRF112" s="7"/>
      <c r="FRG112" s="7"/>
      <c r="FRH112" s="7"/>
      <c r="FRI112" s="7"/>
      <c r="FRJ112" s="7"/>
      <c r="FRK112" s="7"/>
      <c r="FRL112" s="7"/>
      <c r="FRM112" s="7"/>
      <c r="FRN112" s="7"/>
      <c r="FRO112" s="7"/>
      <c r="FRP112" s="7"/>
      <c r="FRQ112" s="7"/>
      <c r="FRR112" s="7"/>
      <c r="FRS112" s="7"/>
      <c r="FRT112" s="7"/>
      <c r="FRU112" s="7"/>
      <c r="FRV112" s="7"/>
      <c r="FRW112" s="7"/>
      <c r="FRX112" s="7"/>
      <c r="FRY112" s="7"/>
      <c r="FRZ112" s="7"/>
      <c r="FSA112" s="7"/>
      <c r="FSB112" s="7"/>
      <c r="FSC112" s="7"/>
      <c r="FSD112" s="7"/>
      <c r="FSE112" s="7"/>
      <c r="FSF112" s="7"/>
      <c r="FSG112" s="7"/>
      <c r="FSH112" s="7"/>
      <c r="FSI112" s="7"/>
      <c r="FSJ112" s="7"/>
      <c r="FSK112" s="7"/>
      <c r="FSL112" s="7"/>
      <c r="FSM112" s="7"/>
      <c r="FSN112" s="7"/>
      <c r="FSO112" s="7"/>
      <c r="FSP112" s="7"/>
      <c r="FSQ112" s="7"/>
      <c r="FSR112" s="7"/>
      <c r="FSS112" s="7"/>
      <c r="FST112" s="7"/>
      <c r="FSU112" s="7"/>
      <c r="FSV112" s="7"/>
      <c r="FSW112" s="7"/>
      <c r="FSX112" s="7"/>
      <c r="FSY112" s="7"/>
      <c r="FSZ112" s="7"/>
      <c r="FTA112" s="7"/>
      <c r="FTB112" s="7"/>
      <c r="FTC112" s="7"/>
      <c r="FTD112" s="7"/>
      <c r="FTE112" s="7"/>
      <c r="FTF112" s="7"/>
      <c r="FTG112" s="7"/>
      <c r="FTH112" s="7"/>
      <c r="FTI112" s="7"/>
      <c r="FTJ112" s="7"/>
      <c r="FTK112" s="7"/>
      <c r="FTL112" s="7"/>
      <c r="FTM112" s="7"/>
      <c r="FTN112" s="7"/>
      <c r="FTO112" s="7"/>
      <c r="FTP112" s="7"/>
      <c r="FTQ112" s="7"/>
      <c r="FTR112" s="7"/>
      <c r="FTS112" s="7"/>
      <c r="FTT112" s="7"/>
      <c r="FTU112" s="7"/>
      <c r="FTV112" s="7"/>
      <c r="FTW112" s="7"/>
      <c r="FTX112" s="7"/>
      <c r="FTY112" s="7"/>
      <c r="FTZ112" s="7"/>
      <c r="FUA112" s="7"/>
      <c r="FUB112" s="7"/>
      <c r="FUC112" s="7"/>
      <c r="FUD112" s="7"/>
      <c r="FUE112" s="7"/>
      <c r="FUF112" s="7"/>
      <c r="FUG112" s="7"/>
      <c r="FUH112" s="7"/>
      <c r="FUI112" s="7"/>
      <c r="FUJ112" s="7"/>
      <c r="FUK112" s="7"/>
      <c r="FUL112" s="7"/>
      <c r="FUM112" s="7"/>
      <c r="FUN112" s="7"/>
      <c r="FUO112" s="7"/>
      <c r="FUP112" s="7"/>
      <c r="FUQ112" s="7"/>
      <c r="FUR112" s="7"/>
      <c r="FUS112" s="7"/>
      <c r="FUT112" s="7"/>
      <c r="FUU112" s="7"/>
      <c r="FUV112" s="7"/>
      <c r="FUW112" s="7"/>
      <c r="FUX112" s="7"/>
      <c r="FUY112" s="7"/>
      <c r="FUZ112" s="7"/>
      <c r="FVA112" s="7"/>
      <c r="FVB112" s="7"/>
      <c r="FVC112" s="7"/>
      <c r="FVD112" s="7"/>
      <c r="FVE112" s="7"/>
      <c r="FVF112" s="7"/>
      <c r="FVG112" s="7"/>
      <c r="FVH112" s="7"/>
      <c r="FVI112" s="7"/>
      <c r="FVJ112" s="7"/>
      <c r="FVK112" s="7"/>
      <c r="FVL112" s="7"/>
      <c r="FVM112" s="7"/>
      <c r="FVN112" s="7"/>
      <c r="FVO112" s="7"/>
      <c r="FVP112" s="7"/>
      <c r="FVQ112" s="7"/>
      <c r="FVR112" s="7"/>
      <c r="FVS112" s="7"/>
      <c r="FVT112" s="7"/>
      <c r="FVU112" s="7"/>
      <c r="FVV112" s="7"/>
      <c r="FVW112" s="7"/>
      <c r="FVX112" s="7"/>
      <c r="FVY112" s="7"/>
      <c r="FVZ112" s="7"/>
      <c r="FWA112" s="7"/>
      <c r="FWB112" s="7"/>
      <c r="FWC112" s="7"/>
      <c r="FWD112" s="7"/>
      <c r="FWE112" s="7"/>
      <c r="FWF112" s="7"/>
      <c r="FWG112" s="7"/>
      <c r="FWH112" s="7"/>
      <c r="FWI112" s="7"/>
      <c r="FWJ112" s="7"/>
      <c r="FWK112" s="7"/>
      <c r="FWL112" s="7"/>
      <c r="FWM112" s="7"/>
      <c r="FWN112" s="7"/>
      <c r="FWO112" s="7"/>
      <c r="FWP112" s="7"/>
      <c r="FWQ112" s="7"/>
      <c r="FWR112" s="7"/>
      <c r="FWS112" s="7"/>
      <c r="FWT112" s="7"/>
      <c r="FWU112" s="7"/>
      <c r="FWV112" s="7"/>
      <c r="FWW112" s="7"/>
      <c r="FWX112" s="7"/>
      <c r="FWY112" s="7"/>
      <c r="FWZ112" s="7"/>
      <c r="FXA112" s="7"/>
      <c r="FXB112" s="7"/>
      <c r="FXC112" s="7"/>
      <c r="FXD112" s="7"/>
      <c r="FXE112" s="7"/>
      <c r="FXF112" s="7"/>
      <c r="FXG112" s="7"/>
      <c r="FXH112" s="7"/>
      <c r="FXI112" s="7"/>
      <c r="FXJ112" s="7"/>
      <c r="FXK112" s="7"/>
      <c r="FXL112" s="7"/>
      <c r="FXM112" s="7"/>
      <c r="FXN112" s="7"/>
      <c r="FXO112" s="7"/>
      <c r="FXP112" s="7"/>
      <c r="FXQ112" s="7"/>
      <c r="FXR112" s="7"/>
      <c r="FXS112" s="7"/>
      <c r="FXT112" s="7"/>
      <c r="FXU112" s="7"/>
      <c r="FXV112" s="7"/>
      <c r="FXW112" s="7"/>
      <c r="FXX112" s="7"/>
      <c r="FXY112" s="7"/>
      <c r="FXZ112" s="7"/>
      <c r="FYA112" s="7"/>
      <c r="FYB112" s="7"/>
      <c r="FYC112" s="7"/>
      <c r="FYD112" s="7"/>
      <c r="FYE112" s="7"/>
      <c r="FYF112" s="7"/>
      <c r="FYG112" s="7"/>
      <c r="FYH112" s="7"/>
      <c r="FYI112" s="7"/>
      <c r="FYJ112" s="7"/>
      <c r="FYK112" s="7"/>
      <c r="FYL112" s="7"/>
      <c r="FYM112" s="7"/>
      <c r="FYN112" s="7"/>
      <c r="FYO112" s="7"/>
      <c r="FYP112" s="7"/>
      <c r="FYQ112" s="7"/>
      <c r="FYR112" s="7"/>
      <c r="FYS112" s="7"/>
      <c r="FYT112" s="7"/>
      <c r="FYU112" s="7"/>
      <c r="FYV112" s="7"/>
      <c r="FYW112" s="7"/>
      <c r="FYX112" s="7"/>
      <c r="FYY112" s="7"/>
      <c r="FYZ112" s="7"/>
      <c r="FZA112" s="7"/>
      <c r="FZB112" s="7"/>
      <c r="FZC112" s="7"/>
      <c r="FZD112" s="7"/>
      <c r="FZE112" s="7"/>
      <c r="FZF112" s="7"/>
      <c r="FZG112" s="7"/>
      <c r="FZH112" s="7"/>
      <c r="FZI112" s="7"/>
      <c r="FZJ112" s="7"/>
      <c r="FZK112" s="7"/>
      <c r="FZL112" s="7"/>
      <c r="FZM112" s="7"/>
      <c r="FZN112" s="7"/>
      <c r="FZO112" s="7"/>
      <c r="FZP112" s="7"/>
      <c r="FZQ112" s="7"/>
      <c r="FZR112" s="7"/>
      <c r="FZS112" s="7"/>
      <c r="FZT112" s="7"/>
      <c r="FZU112" s="7"/>
      <c r="FZV112" s="7"/>
      <c r="FZW112" s="7"/>
      <c r="FZX112" s="7"/>
      <c r="FZY112" s="7"/>
      <c r="FZZ112" s="7"/>
      <c r="GAA112" s="7"/>
      <c r="GAB112" s="7"/>
      <c r="GAC112" s="7"/>
      <c r="GAD112" s="7"/>
      <c r="GAE112" s="7"/>
      <c r="GAF112" s="7"/>
      <c r="GAG112" s="7"/>
      <c r="GAH112" s="7"/>
      <c r="GAI112" s="7"/>
      <c r="GAJ112" s="7"/>
      <c r="GAK112" s="7"/>
      <c r="GAL112" s="7"/>
      <c r="GAM112" s="7"/>
      <c r="GAN112" s="7"/>
      <c r="GAO112" s="7"/>
      <c r="GAP112" s="7"/>
      <c r="GAQ112" s="7"/>
      <c r="GAR112" s="7"/>
      <c r="GAS112" s="7"/>
      <c r="GAT112" s="7"/>
      <c r="GAU112" s="7"/>
      <c r="GAV112" s="7"/>
      <c r="GAW112" s="7"/>
      <c r="GAX112" s="7"/>
      <c r="GAY112" s="7"/>
      <c r="GAZ112" s="7"/>
      <c r="GBA112" s="7"/>
      <c r="GBB112" s="7"/>
      <c r="GBC112" s="7"/>
      <c r="GBD112" s="7"/>
      <c r="GBE112" s="7"/>
      <c r="GBF112" s="7"/>
      <c r="GBG112" s="7"/>
      <c r="GBH112" s="7"/>
      <c r="GBI112" s="7"/>
      <c r="GBJ112" s="7"/>
      <c r="GBK112" s="7"/>
      <c r="GBL112" s="7"/>
      <c r="GBM112" s="7"/>
      <c r="GBN112" s="7"/>
      <c r="GBO112" s="7"/>
      <c r="GBP112" s="7"/>
      <c r="GBQ112" s="7"/>
      <c r="GBR112" s="7"/>
      <c r="GBS112" s="7"/>
      <c r="GBT112" s="7"/>
      <c r="GBU112" s="7"/>
      <c r="GBV112" s="7"/>
      <c r="GBW112" s="7"/>
      <c r="GBX112" s="7"/>
      <c r="GBY112" s="7"/>
      <c r="GBZ112" s="7"/>
      <c r="GCA112" s="7"/>
      <c r="GCB112" s="7"/>
      <c r="GCC112" s="7"/>
      <c r="GCD112" s="7"/>
      <c r="GCE112" s="7"/>
      <c r="GCF112" s="7"/>
      <c r="GCG112" s="7"/>
      <c r="GCH112" s="7"/>
      <c r="GCI112" s="7"/>
      <c r="GCJ112" s="7"/>
      <c r="GCK112" s="7"/>
      <c r="GCL112" s="7"/>
      <c r="GCM112" s="7"/>
      <c r="GCN112" s="7"/>
      <c r="GCO112" s="7"/>
      <c r="GCP112" s="7"/>
      <c r="GCQ112" s="7"/>
      <c r="GCR112" s="7"/>
      <c r="GCS112" s="7"/>
      <c r="GCT112" s="7"/>
      <c r="GCU112" s="7"/>
      <c r="GCV112" s="7"/>
      <c r="GCW112" s="7"/>
      <c r="GCX112" s="7"/>
      <c r="GCY112" s="7"/>
      <c r="GCZ112" s="7"/>
      <c r="GDA112" s="7"/>
      <c r="GDB112" s="7"/>
      <c r="GDC112" s="7"/>
      <c r="GDD112" s="7"/>
      <c r="GDE112" s="7"/>
      <c r="GDF112" s="7"/>
      <c r="GDG112" s="7"/>
      <c r="GDH112" s="7"/>
      <c r="GDI112" s="7"/>
      <c r="GDJ112" s="7"/>
      <c r="GDK112" s="7"/>
      <c r="GDL112" s="7"/>
      <c r="GDM112" s="7"/>
      <c r="GDN112" s="7"/>
      <c r="GDO112" s="7"/>
      <c r="GDP112" s="7"/>
      <c r="GDQ112" s="7"/>
      <c r="GDR112" s="7"/>
      <c r="GDS112" s="7"/>
      <c r="GDT112" s="7"/>
      <c r="GDU112" s="7"/>
      <c r="GDV112" s="7"/>
      <c r="GDW112" s="7"/>
      <c r="GDX112" s="7"/>
      <c r="GDY112" s="7"/>
      <c r="GDZ112" s="7"/>
      <c r="GEA112" s="7"/>
      <c r="GEB112" s="7"/>
      <c r="GEC112" s="7"/>
      <c r="GED112" s="7"/>
      <c r="GEE112" s="7"/>
      <c r="GEF112" s="7"/>
      <c r="GEG112" s="7"/>
      <c r="GEH112" s="7"/>
      <c r="GEI112" s="7"/>
      <c r="GEJ112" s="7"/>
      <c r="GEK112" s="7"/>
      <c r="GEL112" s="7"/>
      <c r="GEM112" s="7"/>
      <c r="GEN112" s="7"/>
      <c r="GEO112" s="7"/>
      <c r="GEP112" s="7"/>
      <c r="GEQ112" s="7"/>
      <c r="GER112" s="7"/>
      <c r="GES112" s="7"/>
      <c r="GET112" s="7"/>
      <c r="GEU112" s="7"/>
      <c r="GEV112" s="7"/>
      <c r="GEW112" s="7"/>
      <c r="GEX112" s="7"/>
      <c r="GEY112" s="7"/>
      <c r="GEZ112" s="7"/>
      <c r="GFA112" s="7"/>
      <c r="GFB112" s="7"/>
      <c r="GFC112" s="7"/>
      <c r="GFD112" s="7"/>
      <c r="GFE112" s="7"/>
      <c r="GFF112" s="7"/>
      <c r="GFG112" s="7"/>
      <c r="GFH112" s="7"/>
      <c r="GFI112" s="7"/>
      <c r="GFJ112" s="7"/>
      <c r="GFK112" s="7"/>
      <c r="GFL112" s="7"/>
      <c r="GFM112" s="7"/>
      <c r="GFN112" s="7"/>
      <c r="GFO112" s="7"/>
      <c r="GFP112" s="7"/>
      <c r="GFQ112" s="7"/>
      <c r="GFR112" s="7"/>
      <c r="GFS112" s="7"/>
      <c r="GFT112" s="7"/>
      <c r="GFU112" s="7"/>
      <c r="GFV112" s="7"/>
      <c r="GFW112" s="7"/>
      <c r="GFX112" s="7"/>
      <c r="GFY112" s="7"/>
      <c r="GFZ112" s="7"/>
      <c r="GGA112" s="7"/>
      <c r="GGB112" s="7"/>
      <c r="GGC112" s="7"/>
      <c r="GGD112" s="7"/>
      <c r="GGE112" s="7"/>
      <c r="GGF112" s="7"/>
      <c r="GGG112" s="7"/>
      <c r="GGH112" s="7"/>
      <c r="GGI112" s="7"/>
      <c r="GGJ112" s="7"/>
      <c r="GGK112" s="7"/>
      <c r="GGL112" s="7"/>
      <c r="GGM112" s="7"/>
      <c r="GGN112" s="7"/>
      <c r="GGO112" s="7"/>
      <c r="GGP112" s="7"/>
      <c r="GGQ112" s="7"/>
      <c r="GGR112" s="7"/>
      <c r="GGS112" s="7"/>
      <c r="GGT112" s="7"/>
      <c r="GGU112" s="7"/>
      <c r="GGV112" s="7"/>
      <c r="GGW112" s="7"/>
      <c r="GGX112" s="7"/>
      <c r="GGY112" s="7"/>
      <c r="GGZ112" s="7"/>
      <c r="GHA112" s="7"/>
      <c r="GHB112" s="7"/>
      <c r="GHC112" s="7"/>
      <c r="GHD112" s="7"/>
      <c r="GHE112" s="7"/>
      <c r="GHF112" s="7"/>
      <c r="GHG112" s="7"/>
      <c r="GHH112" s="7"/>
      <c r="GHI112" s="7"/>
      <c r="GHJ112" s="7"/>
      <c r="GHK112" s="7"/>
      <c r="GHL112" s="7"/>
      <c r="GHM112" s="7"/>
      <c r="GHN112" s="7"/>
      <c r="GHO112" s="7"/>
      <c r="GHP112" s="7"/>
      <c r="GHQ112" s="7"/>
      <c r="GHR112" s="7"/>
      <c r="GHS112" s="7"/>
      <c r="GHT112" s="7"/>
      <c r="GHU112" s="7"/>
      <c r="GHV112" s="7"/>
      <c r="GHW112" s="7"/>
      <c r="GHX112" s="7"/>
      <c r="GHY112" s="7"/>
      <c r="GHZ112" s="7"/>
      <c r="GIA112" s="7"/>
      <c r="GIB112" s="7"/>
      <c r="GIC112" s="7"/>
      <c r="GID112" s="7"/>
      <c r="GIE112" s="7"/>
      <c r="GIF112" s="7"/>
      <c r="GIG112" s="7"/>
      <c r="GIH112" s="7"/>
      <c r="GII112" s="7"/>
      <c r="GIJ112" s="7"/>
      <c r="GIK112" s="7"/>
      <c r="GIL112" s="7"/>
      <c r="GIM112" s="7"/>
      <c r="GIN112" s="7"/>
      <c r="GIO112" s="7"/>
      <c r="GIP112" s="7"/>
      <c r="GIQ112" s="7"/>
      <c r="GIR112" s="7"/>
      <c r="GIS112" s="7"/>
      <c r="GIT112" s="7"/>
      <c r="GIU112" s="7"/>
      <c r="GIV112" s="7"/>
      <c r="GIW112" s="7"/>
      <c r="GIX112" s="7"/>
      <c r="GIY112" s="7"/>
      <c r="GIZ112" s="7"/>
      <c r="GJA112" s="7"/>
      <c r="GJB112" s="7"/>
      <c r="GJC112" s="7"/>
      <c r="GJD112" s="7"/>
      <c r="GJE112" s="7"/>
      <c r="GJF112" s="7"/>
      <c r="GJG112" s="7"/>
      <c r="GJH112" s="7"/>
      <c r="GJI112" s="7"/>
      <c r="GJJ112" s="7"/>
      <c r="GJK112" s="7"/>
      <c r="GJL112" s="7"/>
      <c r="GJM112" s="7"/>
      <c r="GJN112" s="7"/>
      <c r="GJO112" s="7"/>
      <c r="GJP112" s="7"/>
      <c r="GJQ112" s="7"/>
      <c r="GJR112" s="7"/>
      <c r="GJS112" s="7"/>
      <c r="GJT112" s="7"/>
      <c r="GJU112" s="7"/>
      <c r="GJV112" s="7"/>
      <c r="GJW112" s="7"/>
      <c r="GJX112" s="7"/>
      <c r="GJY112" s="7"/>
      <c r="GJZ112" s="7"/>
      <c r="GKA112" s="7"/>
      <c r="GKB112" s="7"/>
      <c r="GKC112" s="7"/>
      <c r="GKD112" s="7"/>
      <c r="GKE112" s="7"/>
      <c r="GKF112" s="7"/>
      <c r="GKG112" s="7"/>
      <c r="GKH112" s="7"/>
      <c r="GKI112" s="7"/>
      <c r="GKJ112" s="7"/>
      <c r="GKK112" s="7"/>
      <c r="GKL112" s="7"/>
      <c r="GKM112" s="7"/>
      <c r="GKN112" s="7"/>
      <c r="GKO112" s="7"/>
      <c r="GKP112" s="7"/>
      <c r="GKQ112" s="7"/>
      <c r="GKR112" s="7"/>
      <c r="GKS112" s="7"/>
      <c r="GKT112" s="7"/>
      <c r="GKU112" s="7"/>
      <c r="GKV112" s="7"/>
      <c r="GKW112" s="7"/>
      <c r="GKX112" s="7"/>
      <c r="GKY112" s="7"/>
      <c r="GKZ112" s="7"/>
      <c r="GLA112" s="7"/>
      <c r="GLB112" s="7"/>
      <c r="GLC112" s="7"/>
      <c r="GLD112" s="7"/>
      <c r="GLE112" s="7"/>
      <c r="GLF112" s="7"/>
      <c r="GLG112" s="7"/>
      <c r="GLH112" s="7"/>
      <c r="GLI112" s="7"/>
      <c r="GLJ112" s="7"/>
      <c r="GLK112" s="7"/>
      <c r="GLL112" s="7"/>
      <c r="GLM112" s="7"/>
      <c r="GLN112" s="7"/>
      <c r="GLO112" s="7"/>
      <c r="GLP112" s="7"/>
      <c r="GLQ112" s="7"/>
      <c r="GLR112" s="7"/>
      <c r="GLS112" s="7"/>
      <c r="GLT112" s="7"/>
      <c r="GLU112" s="7"/>
      <c r="GLV112" s="7"/>
      <c r="GLW112" s="7"/>
      <c r="GLX112" s="7"/>
      <c r="GLY112" s="7"/>
      <c r="GLZ112" s="7"/>
      <c r="GMA112" s="7"/>
      <c r="GMB112" s="7"/>
      <c r="GMC112" s="7"/>
      <c r="GMD112" s="7"/>
      <c r="GME112" s="7"/>
      <c r="GMF112" s="7"/>
      <c r="GMG112" s="7"/>
      <c r="GMH112" s="7"/>
      <c r="GMI112" s="7"/>
      <c r="GMJ112" s="7"/>
      <c r="GMK112" s="7"/>
      <c r="GML112" s="7"/>
      <c r="GMM112" s="7"/>
      <c r="GMN112" s="7"/>
      <c r="GMO112" s="7"/>
      <c r="GMP112" s="7"/>
      <c r="GMQ112" s="7"/>
      <c r="GMR112" s="7"/>
      <c r="GMS112" s="7"/>
      <c r="GMT112" s="7"/>
      <c r="GMU112" s="7"/>
      <c r="GMV112" s="7"/>
      <c r="GMW112" s="7"/>
      <c r="GMX112" s="7"/>
      <c r="GMY112" s="7"/>
      <c r="GMZ112" s="7"/>
      <c r="GNA112" s="7"/>
      <c r="GNB112" s="7"/>
      <c r="GNC112" s="7"/>
      <c r="GND112" s="7"/>
      <c r="GNE112" s="7"/>
      <c r="GNF112" s="7"/>
      <c r="GNG112" s="7"/>
      <c r="GNH112" s="7"/>
      <c r="GNI112" s="7"/>
      <c r="GNJ112" s="7"/>
      <c r="GNK112" s="7"/>
      <c r="GNL112" s="7"/>
      <c r="GNM112" s="7"/>
      <c r="GNN112" s="7"/>
      <c r="GNO112" s="7"/>
      <c r="GNP112" s="7"/>
      <c r="GNQ112" s="7"/>
      <c r="GNR112" s="7"/>
      <c r="GNS112" s="7"/>
      <c r="GNT112" s="7"/>
      <c r="GNU112" s="7"/>
      <c r="GNV112" s="7"/>
      <c r="GNW112" s="7"/>
      <c r="GNX112" s="7"/>
      <c r="GNY112" s="7"/>
      <c r="GNZ112" s="7"/>
      <c r="GOA112" s="7"/>
      <c r="GOB112" s="7"/>
      <c r="GOC112" s="7"/>
      <c r="GOD112" s="7"/>
      <c r="GOE112" s="7"/>
      <c r="GOF112" s="7"/>
      <c r="GOG112" s="7"/>
      <c r="GOH112" s="7"/>
      <c r="GOI112" s="7"/>
      <c r="GOJ112" s="7"/>
      <c r="GOK112" s="7"/>
      <c r="GOL112" s="7"/>
      <c r="GOM112" s="7"/>
      <c r="GON112" s="7"/>
      <c r="GOO112" s="7"/>
      <c r="GOP112" s="7"/>
      <c r="GOQ112" s="7"/>
      <c r="GOR112" s="7"/>
      <c r="GOS112" s="7"/>
      <c r="GOT112" s="7"/>
      <c r="GOU112" s="7"/>
      <c r="GOV112" s="7"/>
      <c r="GOW112" s="7"/>
      <c r="GOX112" s="7"/>
      <c r="GOY112" s="7"/>
      <c r="GOZ112" s="7"/>
      <c r="GPA112" s="7"/>
      <c r="GPB112" s="7"/>
      <c r="GPC112" s="7"/>
      <c r="GPD112" s="7"/>
      <c r="GPE112" s="7"/>
      <c r="GPF112" s="7"/>
      <c r="GPG112" s="7"/>
      <c r="GPH112" s="7"/>
      <c r="GPI112" s="7"/>
      <c r="GPJ112" s="7"/>
      <c r="GPK112" s="7"/>
      <c r="GPL112" s="7"/>
      <c r="GPM112" s="7"/>
      <c r="GPN112" s="7"/>
      <c r="GPO112" s="7"/>
      <c r="GPP112" s="7"/>
      <c r="GPQ112" s="7"/>
      <c r="GPR112" s="7"/>
      <c r="GPS112" s="7"/>
      <c r="GPT112" s="7"/>
      <c r="GPU112" s="7"/>
      <c r="GPV112" s="7"/>
      <c r="GPW112" s="7"/>
      <c r="GPX112" s="7"/>
      <c r="GPY112" s="7"/>
      <c r="GPZ112" s="7"/>
      <c r="GQA112" s="7"/>
      <c r="GQB112" s="7"/>
      <c r="GQC112" s="7"/>
      <c r="GQD112" s="7"/>
      <c r="GQE112" s="7"/>
      <c r="GQF112" s="7"/>
      <c r="GQG112" s="7"/>
      <c r="GQH112" s="7"/>
      <c r="GQI112" s="7"/>
      <c r="GQJ112" s="7"/>
      <c r="GQK112" s="7"/>
      <c r="GQL112" s="7"/>
      <c r="GQM112" s="7"/>
      <c r="GQN112" s="7"/>
      <c r="GQO112" s="7"/>
      <c r="GQP112" s="7"/>
      <c r="GQQ112" s="7"/>
      <c r="GQR112" s="7"/>
      <c r="GQS112" s="7"/>
      <c r="GQT112" s="7"/>
      <c r="GQU112" s="7"/>
      <c r="GQV112" s="7"/>
      <c r="GQW112" s="7"/>
      <c r="GQX112" s="7"/>
      <c r="GQY112" s="7"/>
      <c r="GQZ112" s="7"/>
      <c r="GRA112" s="7"/>
      <c r="GRB112" s="7"/>
      <c r="GRC112" s="7"/>
      <c r="GRD112" s="7"/>
      <c r="GRE112" s="7"/>
      <c r="GRF112" s="7"/>
      <c r="GRG112" s="7"/>
      <c r="GRH112" s="7"/>
      <c r="GRI112" s="7"/>
      <c r="GRJ112" s="7"/>
      <c r="GRK112" s="7"/>
      <c r="GRL112" s="7"/>
      <c r="GRM112" s="7"/>
      <c r="GRN112" s="7"/>
      <c r="GRO112" s="7"/>
      <c r="GRP112" s="7"/>
      <c r="GRQ112" s="7"/>
      <c r="GRR112" s="7"/>
      <c r="GRS112" s="7"/>
      <c r="GRT112" s="7"/>
      <c r="GRU112" s="7"/>
      <c r="GRV112" s="7"/>
      <c r="GRW112" s="7"/>
      <c r="GRX112" s="7"/>
      <c r="GRY112" s="7"/>
      <c r="GRZ112" s="7"/>
      <c r="GSA112" s="7"/>
      <c r="GSB112" s="7"/>
      <c r="GSC112" s="7"/>
      <c r="GSD112" s="7"/>
      <c r="GSE112" s="7"/>
      <c r="GSF112" s="7"/>
      <c r="GSG112" s="7"/>
      <c r="GSH112" s="7"/>
      <c r="GSI112" s="7"/>
      <c r="GSJ112" s="7"/>
      <c r="GSK112" s="7"/>
      <c r="GSL112" s="7"/>
      <c r="GSM112" s="7"/>
      <c r="GSN112" s="7"/>
      <c r="GSO112" s="7"/>
      <c r="GSP112" s="7"/>
      <c r="GSQ112" s="7"/>
      <c r="GSR112" s="7"/>
      <c r="GSS112" s="7"/>
      <c r="GST112" s="7"/>
      <c r="GSU112" s="7"/>
      <c r="GSV112" s="7"/>
      <c r="GSW112" s="7"/>
      <c r="GSX112" s="7"/>
      <c r="GSY112" s="7"/>
      <c r="GSZ112" s="7"/>
      <c r="GTA112" s="7"/>
      <c r="GTB112" s="7"/>
      <c r="GTC112" s="7"/>
      <c r="GTD112" s="7"/>
      <c r="GTE112" s="7"/>
      <c r="GTF112" s="7"/>
      <c r="GTG112" s="7"/>
      <c r="GTH112" s="7"/>
      <c r="GTI112" s="7"/>
      <c r="GTJ112" s="7"/>
      <c r="GTK112" s="7"/>
      <c r="GTL112" s="7"/>
      <c r="GTM112" s="7"/>
      <c r="GTN112" s="7"/>
      <c r="GTO112" s="7"/>
      <c r="GTP112" s="7"/>
      <c r="GTQ112" s="7"/>
      <c r="GTR112" s="7"/>
      <c r="GTS112" s="7"/>
      <c r="GTT112" s="7"/>
      <c r="GTU112" s="7"/>
      <c r="GTV112" s="7"/>
      <c r="GTW112" s="7"/>
      <c r="GTX112" s="7"/>
      <c r="GTY112" s="7"/>
      <c r="GTZ112" s="7"/>
      <c r="GUA112" s="7"/>
      <c r="GUB112" s="7"/>
      <c r="GUC112" s="7"/>
      <c r="GUD112" s="7"/>
      <c r="GUE112" s="7"/>
      <c r="GUF112" s="7"/>
      <c r="GUG112" s="7"/>
      <c r="GUH112" s="7"/>
      <c r="GUI112" s="7"/>
      <c r="GUJ112" s="7"/>
      <c r="GUK112" s="7"/>
      <c r="GUL112" s="7"/>
      <c r="GUM112" s="7"/>
      <c r="GUN112" s="7"/>
      <c r="GUO112" s="7"/>
      <c r="GUP112" s="7"/>
      <c r="GUQ112" s="7"/>
      <c r="GUR112" s="7"/>
      <c r="GUS112" s="7"/>
      <c r="GUT112" s="7"/>
      <c r="GUU112" s="7"/>
      <c r="GUV112" s="7"/>
      <c r="GUW112" s="7"/>
      <c r="GUX112" s="7"/>
      <c r="GUY112" s="7"/>
      <c r="GUZ112" s="7"/>
      <c r="GVA112" s="7"/>
      <c r="GVB112" s="7"/>
      <c r="GVC112" s="7"/>
      <c r="GVD112" s="7"/>
      <c r="GVE112" s="7"/>
      <c r="GVF112" s="7"/>
      <c r="GVG112" s="7"/>
      <c r="GVH112" s="7"/>
      <c r="GVI112" s="7"/>
      <c r="GVJ112" s="7"/>
      <c r="GVK112" s="7"/>
      <c r="GVL112" s="7"/>
      <c r="GVM112" s="7"/>
      <c r="GVN112" s="7"/>
      <c r="GVO112" s="7"/>
      <c r="GVP112" s="7"/>
      <c r="GVQ112" s="7"/>
      <c r="GVR112" s="7"/>
      <c r="GVS112" s="7"/>
      <c r="GVT112" s="7"/>
      <c r="GVU112" s="7"/>
      <c r="GVV112" s="7"/>
      <c r="GVW112" s="7"/>
      <c r="GVX112" s="7"/>
      <c r="GVY112" s="7"/>
      <c r="GVZ112" s="7"/>
      <c r="GWA112" s="7"/>
      <c r="GWB112" s="7"/>
      <c r="GWC112" s="7"/>
      <c r="GWD112" s="7"/>
      <c r="GWE112" s="7"/>
      <c r="GWF112" s="7"/>
      <c r="GWG112" s="7"/>
      <c r="GWH112" s="7"/>
      <c r="GWI112" s="7"/>
      <c r="GWJ112" s="7"/>
      <c r="GWK112" s="7"/>
      <c r="GWL112" s="7"/>
      <c r="GWM112" s="7"/>
      <c r="GWN112" s="7"/>
      <c r="GWO112" s="7"/>
      <c r="GWP112" s="7"/>
      <c r="GWQ112" s="7"/>
      <c r="GWR112" s="7"/>
      <c r="GWS112" s="7"/>
      <c r="GWT112" s="7"/>
      <c r="GWU112" s="7"/>
      <c r="GWV112" s="7"/>
      <c r="GWW112" s="7"/>
      <c r="GWX112" s="7"/>
      <c r="GWY112" s="7"/>
      <c r="GWZ112" s="7"/>
      <c r="GXA112" s="7"/>
      <c r="GXB112" s="7"/>
      <c r="GXC112" s="7"/>
      <c r="GXD112" s="7"/>
      <c r="GXE112" s="7"/>
      <c r="GXF112" s="7"/>
      <c r="GXG112" s="7"/>
      <c r="GXH112" s="7"/>
      <c r="GXI112" s="7"/>
      <c r="GXJ112" s="7"/>
      <c r="GXK112" s="7"/>
      <c r="GXL112" s="7"/>
      <c r="GXM112" s="7"/>
      <c r="GXN112" s="7"/>
      <c r="GXO112" s="7"/>
      <c r="GXP112" s="7"/>
      <c r="GXQ112" s="7"/>
      <c r="GXR112" s="7"/>
      <c r="GXS112" s="7"/>
      <c r="GXT112" s="7"/>
      <c r="GXU112" s="7"/>
      <c r="GXV112" s="7"/>
      <c r="GXW112" s="7"/>
      <c r="GXX112" s="7"/>
      <c r="GXY112" s="7"/>
      <c r="GXZ112" s="7"/>
      <c r="GYA112" s="7"/>
      <c r="GYB112" s="7"/>
      <c r="GYC112" s="7"/>
      <c r="GYD112" s="7"/>
      <c r="GYE112" s="7"/>
      <c r="GYF112" s="7"/>
      <c r="GYG112" s="7"/>
      <c r="GYH112" s="7"/>
      <c r="GYI112" s="7"/>
      <c r="GYJ112" s="7"/>
      <c r="GYK112" s="7"/>
      <c r="GYL112" s="7"/>
      <c r="GYM112" s="7"/>
      <c r="GYN112" s="7"/>
      <c r="GYO112" s="7"/>
      <c r="GYP112" s="7"/>
      <c r="GYQ112" s="7"/>
      <c r="GYR112" s="7"/>
      <c r="GYS112" s="7"/>
      <c r="GYT112" s="7"/>
      <c r="GYU112" s="7"/>
      <c r="GYV112" s="7"/>
      <c r="GYW112" s="7"/>
      <c r="GYX112" s="7"/>
      <c r="GYY112" s="7"/>
      <c r="GYZ112" s="7"/>
      <c r="GZA112" s="7"/>
      <c r="GZB112" s="7"/>
      <c r="GZC112" s="7"/>
      <c r="GZD112" s="7"/>
      <c r="GZE112" s="7"/>
      <c r="GZF112" s="7"/>
      <c r="GZG112" s="7"/>
      <c r="GZH112" s="7"/>
      <c r="GZI112" s="7"/>
      <c r="GZJ112" s="7"/>
      <c r="GZK112" s="7"/>
      <c r="GZL112" s="7"/>
      <c r="GZM112" s="7"/>
      <c r="GZN112" s="7"/>
      <c r="GZO112" s="7"/>
      <c r="GZP112" s="7"/>
      <c r="GZQ112" s="7"/>
      <c r="GZR112" s="7"/>
      <c r="GZS112" s="7"/>
      <c r="GZT112" s="7"/>
      <c r="GZU112" s="7"/>
      <c r="GZV112" s="7"/>
      <c r="GZW112" s="7"/>
      <c r="GZX112" s="7"/>
      <c r="GZY112" s="7"/>
      <c r="GZZ112" s="7"/>
      <c r="HAA112" s="7"/>
      <c r="HAB112" s="7"/>
      <c r="HAC112" s="7"/>
      <c r="HAD112" s="7"/>
      <c r="HAE112" s="7"/>
      <c r="HAF112" s="7"/>
      <c r="HAG112" s="7"/>
      <c r="HAH112" s="7"/>
      <c r="HAI112" s="7"/>
      <c r="HAJ112" s="7"/>
      <c r="HAK112" s="7"/>
      <c r="HAL112" s="7"/>
      <c r="HAM112" s="7"/>
      <c r="HAN112" s="7"/>
      <c r="HAO112" s="7"/>
      <c r="HAP112" s="7"/>
      <c r="HAQ112" s="7"/>
      <c r="HAR112" s="7"/>
      <c r="HAS112" s="7"/>
      <c r="HAT112" s="7"/>
      <c r="HAU112" s="7"/>
      <c r="HAV112" s="7"/>
      <c r="HAW112" s="7"/>
      <c r="HAX112" s="7"/>
      <c r="HAY112" s="7"/>
      <c r="HAZ112" s="7"/>
      <c r="HBA112" s="7"/>
      <c r="HBB112" s="7"/>
      <c r="HBC112" s="7"/>
      <c r="HBD112" s="7"/>
      <c r="HBE112" s="7"/>
      <c r="HBF112" s="7"/>
      <c r="HBG112" s="7"/>
      <c r="HBH112" s="7"/>
      <c r="HBI112" s="7"/>
      <c r="HBJ112" s="7"/>
      <c r="HBK112" s="7"/>
      <c r="HBL112" s="7"/>
      <c r="HBM112" s="7"/>
      <c r="HBN112" s="7"/>
      <c r="HBO112" s="7"/>
      <c r="HBP112" s="7"/>
      <c r="HBQ112" s="7"/>
      <c r="HBR112" s="7"/>
      <c r="HBS112" s="7"/>
      <c r="HBT112" s="7"/>
      <c r="HBU112" s="7"/>
      <c r="HBV112" s="7"/>
      <c r="HBW112" s="7"/>
      <c r="HBX112" s="7"/>
      <c r="HBY112" s="7"/>
      <c r="HBZ112" s="7"/>
      <c r="HCA112" s="7"/>
      <c r="HCB112" s="7"/>
      <c r="HCC112" s="7"/>
      <c r="HCD112" s="7"/>
      <c r="HCE112" s="7"/>
      <c r="HCF112" s="7"/>
      <c r="HCG112" s="7"/>
      <c r="HCH112" s="7"/>
      <c r="HCI112" s="7"/>
      <c r="HCJ112" s="7"/>
      <c r="HCK112" s="7"/>
      <c r="HCL112" s="7"/>
      <c r="HCM112" s="7"/>
      <c r="HCN112" s="7"/>
      <c r="HCO112" s="7"/>
      <c r="HCP112" s="7"/>
      <c r="HCQ112" s="7"/>
      <c r="HCR112" s="7"/>
      <c r="HCS112" s="7"/>
      <c r="HCT112" s="7"/>
      <c r="HCU112" s="7"/>
      <c r="HCV112" s="7"/>
      <c r="HCW112" s="7"/>
      <c r="HCX112" s="7"/>
      <c r="HCY112" s="7"/>
      <c r="HCZ112" s="7"/>
      <c r="HDA112" s="7"/>
      <c r="HDB112" s="7"/>
      <c r="HDC112" s="7"/>
      <c r="HDD112" s="7"/>
      <c r="HDE112" s="7"/>
      <c r="HDF112" s="7"/>
      <c r="HDG112" s="7"/>
      <c r="HDH112" s="7"/>
      <c r="HDI112" s="7"/>
      <c r="HDJ112" s="7"/>
      <c r="HDK112" s="7"/>
      <c r="HDL112" s="7"/>
      <c r="HDM112" s="7"/>
      <c r="HDN112" s="7"/>
      <c r="HDO112" s="7"/>
      <c r="HDP112" s="7"/>
      <c r="HDQ112" s="7"/>
      <c r="HDR112" s="7"/>
      <c r="HDS112" s="7"/>
      <c r="HDT112" s="7"/>
      <c r="HDU112" s="7"/>
      <c r="HDV112" s="7"/>
      <c r="HDW112" s="7"/>
      <c r="HDX112" s="7"/>
      <c r="HDY112" s="7"/>
      <c r="HDZ112" s="7"/>
      <c r="HEA112" s="7"/>
      <c r="HEB112" s="7"/>
      <c r="HEC112" s="7"/>
      <c r="HED112" s="7"/>
      <c r="HEE112" s="7"/>
      <c r="HEF112" s="7"/>
      <c r="HEG112" s="7"/>
      <c r="HEH112" s="7"/>
      <c r="HEI112" s="7"/>
      <c r="HEJ112" s="7"/>
      <c r="HEK112" s="7"/>
      <c r="HEL112" s="7"/>
      <c r="HEM112" s="7"/>
      <c r="HEN112" s="7"/>
      <c r="HEO112" s="7"/>
      <c r="HEP112" s="7"/>
      <c r="HEQ112" s="7"/>
      <c r="HER112" s="7"/>
      <c r="HES112" s="7"/>
      <c r="HET112" s="7"/>
      <c r="HEU112" s="7"/>
      <c r="HEV112" s="7"/>
      <c r="HEW112" s="7"/>
      <c r="HEX112" s="7"/>
      <c r="HEY112" s="7"/>
      <c r="HEZ112" s="7"/>
      <c r="HFA112" s="7"/>
      <c r="HFB112" s="7"/>
      <c r="HFC112" s="7"/>
      <c r="HFD112" s="7"/>
      <c r="HFE112" s="7"/>
      <c r="HFF112" s="7"/>
      <c r="HFG112" s="7"/>
      <c r="HFH112" s="7"/>
      <c r="HFI112" s="7"/>
      <c r="HFJ112" s="7"/>
      <c r="HFK112" s="7"/>
      <c r="HFL112" s="7"/>
      <c r="HFM112" s="7"/>
      <c r="HFN112" s="7"/>
      <c r="HFO112" s="7"/>
      <c r="HFP112" s="7"/>
      <c r="HFQ112" s="7"/>
      <c r="HFR112" s="7"/>
      <c r="HFS112" s="7"/>
      <c r="HFT112" s="7"/>
      <c r="HFU112" s="7"/>
      <c r="HFV112" s="7"/>
      <c r="HFW112" s="7"/>
      <c r="HFX112" s="7"/>
      <c r="HFY112" s="7"/>
      <c r="HFZ112" s="7"/>
      <c r="HGA112" s="7"/>
      <c r="HGB112" s="7"/>
      <c r="HGC112" s="7"/>
      <c r="HGD112" s="7"/>
      <c r="HGE112" s="7"/>
      <c r="HGF112" s="7"/>
      <c r="HGG112" s="7"/>
      <c r="HGH112" s="7"/>
      <c r="HGI112" s="7"/>
      <c r="HGJ112" s="7"/>
      <c r="HGK112" s="7"/>
      <c r="HGL112" s="7"/>
      <c r="HGM112" s="7"/>
      <c r="HGN112" s="7"/>
      <c r="HGO112" s="7"/>
      <c r="HGP112" s="7"/>
      <c r="HGQ112" s="7"/>
      <c r="HGR112" s="7"/>
      <c r="HGS112" s="7"/>
      <c r="HGT112" s="7"/>
      <c r="HGU112" s="7"/>
      <c r="HGV112" s="7"/>
      <c r="HGW112" s="7"/>
      <c r="HGX112" s="7"/>
      <c r="HGY112" s="7"/>
      <c r="HGZ112" s="7"/>
      <c r="HHA112" s="7"/>
      <c r="HHB112" s="7"/>
      <c r="HHC112" s="7"/>
      <c r="HHD112" s="7"/>
      <c r="HHE112" s="7"/>
      <c r="HHF112" s="7"/>
      <c r="HHG112" s="7"/>
      <c r="HHH112" s="7"/>
      <c r="HHI112" s="7"/>
      <c r="HHJ112" s="7"/>
      <c r="HHK112" s="7"/>
      <c r="HHL112" s="7"/>
      <c r="HHM112" s="7"/>
      <c r="HHN112" s="7"/>
      <c r="HHO112" s="7"/>
      <c r="HHP112" s="7"/>
      <c r="HHQ112" s="7"/>
      <c r="HHR112" s="7"/>
      <c r="HHS112" s="7"/>
      <c r="HHT112" s="7"/>
      <c r="HHU112" s="7"/>
      <c r="HHV112" s="7"/>
      <c r="HHW112" s="7"/>
      <c r="HHX112" s="7"/>
      <c r="HHY112" s="7"/>
      <c r="HHZ112" s="7"/>
      <c r="HIA112" s="7"/>
      <c r="HIB112" s="7"/>
      <c r="HIC112" s="7"/>
      <c r="HID112" s="7"/>
      <c r="HIE112" s="7"/>
      <c r="HIF112" s="7"/>
      <c r="HIG112" s="7"/>
      <c r="HIH112" s="7"/>
      <c r="HII112" s="7"/>
      <c r="HIJ112" s="7"/>
      <c r="HIK112" s="7"/>
      <c r="HIL112" s="7"/>
      <c r="HIM112" s="7"/>
      <c r="HIN112" s="7"/>
      <c r="HIO112" s="7"/>
      <c r="HIP112" s="7"/>
      <c r="HIQ112" s="7"/>
      <c r="HIR112" s="7"/>
      <c r="HIS112" s="7"/>
      <c r="HIT112" s="7"/>
      <c r="HIU112" s="7"/>
      <c r="HIV112" s="7"/>
      <c r="HIW112" s="7"/>
      <c r="HIX112" s="7"/>
      <c r="HIY112" s="7"/>
      <c r="HIZ112" s="7"/>
      <c r="HJA112" s="7"/>
      <c r="HJB112" s="7"/>
      <c r="HJC112" s="7"/>
      <c r="HJD112" s="7"/>
      <c r="HJE112" s="7"/>
      <c r="HJF112" s="7"/>
      <c r="HJG112" s="7"/>
      <c r="HJH112" s="7"/>
      <c r="HJI112" s="7"/>
      <c r="HJJ112" s="7"/>
      <c r="HJK112" s="7"/>
      <c r="HJL112" s="7"/>
      <c r="HJM112" s="7"/>
      <c r="HJN112" s="7"/>
      <c r="HJO112" s="7"/>
      <c r="HJP112" s="7"/>
      <c r="HJQ112" s="7"/>
      <c r="HJR112" s="7"/>
      <c r="HJS112" s="7"/>
      <c r="HJT112" s="7"/>
      <c r="HJU112" s="7"/>
      <c r="HJV112" s="7"/>
      <c r="HJW112" s="7"/>
      <c r="HJX112" s="7"/>
      <c r="HJY112" s="7"/>
      <c r="HJZ112" s="7"/>
      <c r="HKA112" s="7"/>
      <c r="HKB112" s="7"/>
      <c r="HKC112" s="7"/>
      <c r="HKD112" s="7"/>
      <c r="HKE112" s="7"/>
      <c r="HKF112" s="7"/>
      <c r="HKG112" s="7"/>
      <c r="HKH112" s="7"/>
      <c r="HKI112" s="7"/>
      <c r="HKJ112" s="7"/>
      <c r="HKK112" s="7"/>
      <c r="HKL112" s="7"/>
      <c r="HKM112" s="7"/>
      <c r="HKN112" s="7"/>
      <c r="HKO112" s="7"/>
      <c r="HKP112" s="7"/>
      <c r="HKQ112" s="7"/>
      <c r="HKR112" s="7"/>
      <c r="HKS112" s="7"/>
      <c r="HKT112" s="7"/>
      <c r="HKU112" s="7"/>
      <c r="HKV112" s="7"/>
      <c r="HKW112" s="7"/>
      <c r="HKX112" s="7"/>
      <c r="HKY112" s="7"/>
      <c r="HKZ112" s="7"/>
      <c r="HLA112" s="7"/>
      <c r="HLB112" s="7"/>
      <c r="HLC112" s="7"/>
      <c r="HLD112" s="7"/>
      <c r="HLE112" s="7"/>
      <c r="HLF112" s="7"/>
      <c r="HLG112" s="7"/>
      <c r="HLH112" s="7"/>
      <c r="HLI112" s="7"/>
      <c r="HLJ112" s="7"/>
      <c r="HLK112" s="7"/>
      <c r="HLL112" s="7"/>
      <c r="HLM112" s="7"/>
      <c r="HLN112" s="7"/>
      <c r="HLO112" s="7"/>
      <c r="HLP112" s="7"/>
      <c r="HLQ112" s="7"/>
      <c r="HLR112" s="7"/>
      <c r="HLS112" s="7"/>
      <c r="HLT112" s="7"/>
      <c r="HLU112" s="7"/>
      <c r="HLV112" s="7"/>
      <c r="HLW112" s="7"/>
      <c r="HLX112" s="7"/>
      <c r="HLY112" s="7"/>
      <c r="HLZ112" s="7"/>
      <c r="HMA112" s="7"/>
      <c r="HMB112" s="7"/>
      <c r="HMC112" s="7"/>
      <c r="HMD112" s="7"/>
      <c r="HME112" s="7"/>
      <c r="HMF112" s="7"/>
      <c r="HMG112" s="7"/>
      <c r="HMH112" s="7"/>
      <c r="HMI112" s="7"/>
      <c r="HMJ112" s="7"/>
      <c r="HMK112" s="7"/>
      <c r="HML112" s="7"/>
      <c r="HMM112" s="7"/>
      <c r="HMN112" s="7"/>
      <c r="HMO112" s="7"/>
      <c r="HMP112" s="7"/>
      <c r="HMQ112" s="7"/>
      <c r="HMR112" s="7"/>
      <c r="HMS112" s="7"/>
      <c r="HMT112" s="7"/>
      <c r="HMU112" s="7"/>
      <c r="HMV112" s="7"/>
      <c r="HMW112" s="7"/>
      <c r="HMX112" s="7"/>
      <c r="HMY112" s="7"/>
      <c r="HMZ112" s="7"/>
      <c r="HNA112" s="7"/>
      <c r="HNB112" s="7"/>
      <c r="HNC112" s="7"/>
      <c r="HND112" s="7"/>
      <c r="HNE112" s="7"/>
      <c r="HNF112" s="7"/>
      <c r="HNG112" s="7"/>
      <c r="HNH112" s="7"/>
      <c r="HNI112" s="7"/>
      <c r="HNJ112" s="7"/>
      <c r="HNK112" s="7"/>
      <c r="HNL112" s="7"/>
      <c r="HNM112" s="7"/>
      <c r="HNN112" s="7"/>
      <c r="HNO112" s="7"/>
      <c r="HNP112" s="7"/>
      <c r="HNQ112" s="7"/>
      <c r="HNR112" s="7"/>
      <c r="HNS112" s="7"/>
      <c r="HNT112" s="7"/>
      <c r="HNU112" s="7"/>
      <c r="HNV112" s="7"/>
      <c r="HNW112" s="7"/>
      <c r="HNX112" s="7"/>
      <c r="HNY112" s="7"/>
      <c r="HNZ112" s="7"/>
      <c r="HOA112" s="7"/>
      <c r="HOB112" s="7"/>
      <c r="HOC112" s="7"/>
      <c r="HOD112" s="7"/>
      <c r="HOE112" s="7"/>
      <c r="HOF112" s="7"/>
      <c r="HOG112" s="7"/>
      <c r="HOH112" s="7"/>
      <c r="HOI112" s="7"/>
      <c r="HOJ112" s="7"/>
      <c r="HOK112" s="7"/>
      <c r="HOL112" s="7"/>
      <c r="HOM112" s="7"/>
      <c r="HON112" s="7"/>
      <c r="HOO112" s="7"/>
      <c r="HOP112" s="7"/>
      <c r="HOQ112" s="7"/>
      <c r="HOR112" s="7"/>
      <c r="HOS112" s="7"/>
      <c r="HOT112" s="7"/>
      <c r="HOU112" s="7"/>
      <c r="HOV112" s="7"/>
      <c r="HOW112" s="7"/>
      <c r="HOX112" s="7"/>
      <c r="HOY112" s="7"/>
      <c r="HOZ112" s="7"/>
      <c r="HPA112" s="7"/>
      <c r="HPB112" s="7"/>
      <c r="HPC112" s="7"/>
      <c r="HPD112" s="7"/>
      <c r="HPE112" s="7"/>
      <c r="HPF112" s="7"/>
      <c r="HPG112" s="7"/>
      <c r="HPH112" s="7"/>
      <c r="HPI112" s="7"/>
      <c r="HPJ112" s="7"/>
      <c r="HPK112" s="7"/>
      <c r="HPL112" s="7"/>
      <c r="HPM112" s="7"/>
      <c r="HPN112" s="7"/>
      <c r="HPO112" s="7"/>
      <c r="HPP112" s="7"/>
      <c r="HPQ112" s="7"/>
      <c r="HPR112" s="7"/>
      <c r="HPS112" s="7"/>
      <c r="HPT112" s="7"/>
      <c r="HPU112" s="7"/>
      <c r="HPV112" s="7"/>
      <c r="HPW112" s="7"/>
      <c r="HPX112" s="7"/>
      <c r="HPY112" s="7"/>
      <c r="HPZ112" s="7"/>
      <c r="HQA112" s="7"/>
      <c r="HQB112" s="7"/>
      <c r="HQC112" s="7"/>
      <c r="HQD112" s="7"/>
      <c r="HQE112" s="7"/>
      <c r="HQF112" s="7"/>
      <c r="HQG112" s="7"/>
      <c r="HQH112" s="7"/>
      <c r="HQI112" s="7"/>
      <c r="HQJ112" s="7"/>
      <c r="HQK112" s="7"/>
      <c r="HQL112" s="7"/>
      <c r="HQM112" s="7"/>
      <c r="HQN112" s="7"/>
      <c r="HQO112" s="7"/>
      <c r="HQP112" s="7"/>
      <c r="HQQ112" s="7"/>
      <c r="HQR112" s="7"/>
      <c r="HQS112" s="7"/>
      <c r="HQT112" s="7"/>
      <c r="HQU112" s="7"/>
      <c r="HQV112" s="7"/>
      <c r="HQW112" s="7"/>
      <c r="HQX112" s="7"/>
      <c r="HQY112" s="7"/>
      <c r="HQZ112" s="7"/>
      <c r="HRA112" s="7"/>
      <c r="HRB112" s="7"/>
      <c r="HRC112" s="7"/>
      <c r="HRD112" s="7"/>
      <c r="HRE112" s="7"/>
      <c r="HRF112" s="7"/>
      <c r="HRG112" s="7"/>
      <c r="HRH112" s="7"/>
      <c r="HRI112" s="7"/>
      <c r="HRJ112" s="7"/>
      <c r="HRK112" s="7"/>
      <c r="HRL112" s="7"/>
      <c r="HRM112" s="7"/>
      <c r="HRN112" s="7"/>
      <c r="HRO112" s="7"/>
      <c r="HRP112" s="7"/>
      <c r="HRQ112" s="7"/>
      <c r="HRR112" s="7"/>
      <c r="HRS112" s="7"/>
      <c r="HRT112" s="7"/>
      <c r="HRU112" s="7"/>
      <c r="HRV112" s="7"/>
      <c r="HRW112" s="7"/>
      <c r="HRX112" s="7"/>
      <c r="HRY112" s="7"/>
      <c r="HRZ112" s="7"/>
      <c r="HSA112" s="7"/>
      <c r="HSB112" s="7"/>
      <c r="HSC112" s="7"/>
      <c r="HSD112" s="7"/>
      <c r="HSE112" s="7"/>
      <c r="HSF112" s="7"/>
      <c r="HSG112" s="7"/>
      <c r="HSH112" s="7"/>
      <c r="HSI112" s="7"/>
      <c r="HSJ112" s="7"/>
      <c r="HSK112" s="7"/>
      <c r="HSL112" s="7"/>
      <c r="HSM112" s="7"/>
      <c r="HSN112" s="7"/>
      <c r="HSO112" s="7"/>
      <c r="HSP112" s="7"/>
      <c r="HSQ112" s="7"/>
      <c r="HSR112" s="7"/>
      <c r="HSS112" s="7"/>
      <c r="HST112" s="7"/>
      <c r="HSU112" s="7"/>
      <c r="HSV112" s="7"/>
      <c r="HSW112" s="7"/>
      <c r="HSX112" s="7"/>
      <c r="HSY112" s="7"/>
      <c r="HSZ112" s="7"/>
      <c r="HTA112" s="7"/>
      <c r="HTB112" s="7"/>
      <c r="HTC112" s="7"/>
      <c r="HTD112" s="7"/>
      <c r="HTE112" s="7"/>
      <c r="HTF112" s="7"/>
      <c r="HTG112" s="7"/>
      <c r="HTH112" s="7"/>
      <c r="HTI112" s="7"/>
      <c r="HTJ112" s="7"/>
      <c r="HTK112" s="7"/>
      <c r="HTL112" s="7"/>
      <c r="HTM112" s="7"/>
      <c r="HTN112" s="7"/>
      <c r="HTO112" s="7"/>
      <c r="HTP112" s="7"/>
      <c r="HTQ112" s="7"/>
      <c r="HTR112" s="7"/>
      <c r="HTS112" s="7"/>
      <c r="HTT112" s="7"/>
      <c r="HTU112" s="7"/>
      <c r="HTV112" s="7"/>
      <c r="HTW112" s="7"/>
      <c r="HTX112" s="7"/>
      <c r="HTY112" s="7"/>
      <c r="HTZ112" s="7"/>
      <c r="HUA112" s="7"/>
      <c r="HUB112" s="7"/>
      <c r="HUC112" s="7"/>
      <c r="HUD112" s="7"/>
      <c r="HUE112" s="7"/>
      <c r="HUF112" s="7"/>
      <c r="HUG112" s="7"/>
      <c r="HUH112" s="7"/>
      <c r="HUI112" s="7"/>
      <c r="HUJ112" s="7"/>
      <c r="HUK112" s="7"/>
      <c r="HUL112" s="7"/>
      <c r="HUM112" s="7"/>
      <c r="HUN112" s="7"/>
      <c r="HUO112" s="7"/>
      <c r="HUP112" s="7"/>
      <c r="HUQ112" s="7"/>
      <c r="HUR112" s="7"/>
      <c r="HUS112" s="7"/>
      <c r="HUT112" s="7"/>
      <c r="HUU112" s="7"/>
      <c r="HUV112" s="7"/>
      <c r="HUW112" s="7"/>
      <c r="HUX112" s="7"/>
      <c r="HUY112" s="7"/>
      <c r="HUZ112" s="7"/>
      <c r="HVA112" s="7"/>
      <c r="HVB112" s="7"/>
      <c r="HVC112" s="7"/>
      <c r="HVD112" s="7"/>
      <c r="HVE112" s="7"/>
      <c r="HVF112" s="7"/>
      <c r="HVG112" s="7"/>
      <c r="HVH112" s="7"/>
      <c r="HVI112" s="7"/>
      <c r="HVJ112" s="7"/>
      <c r="HVK112" s="7"/>
      <c r="HVL112" s="7"/>
      <c r="HVM112" s="7"/>
      <c r="HVN112" s="7"/>
      <c r="HVO112" s="7"/>
      <c r="HVP112" s="7"/>
      <c r="HVQ112" s="7"/>
      <c r="HVR112" s="7"/>
      <c r="HVS112" s="7"/>
      <c r="HVT112" s="7"/>
      <c r="HVU112" s="7"/>
      <c r="HVV112" s="7"/>
      <c r="HVW112" s="7"/>
      <c r="HVX112" s="7"/>
      <c r="HVY112" s="7"/>
      <c r="HVZ112" s="7"/>
      <c r="HWA112" s="7"/>
      <c r="HWB112" s="7"/>
      <c r="HWC112" s="7"/>
      <c r="HWD112" s="7"/>
      <c r="HWE112" s="7"/>
      <c r="HWF112" s="7"/>
      <c r="HWG112" s="7"/>
      <c r="HWH112" s="7"/>
      <c r="HWI112" s="7"/>
      <c r="HWJ112" s="7"/>
      <c r="HWK112" s="7"/>
      <c r="HWL112" s="7"/>
      <c r="HWM112" s="7"/>
      <c r="HWN112" s="7"/>
      <c r="HWO112" s="7"/>
      <c r="HWP112" s="7"/>
      <c r="HWQ112" s="7"/>
      <c r="HWR112" s="7"/>
      <c r="HWS112" s="7"/>
      <c r="HWT112" s="7"/>
      <c r="HWU112" s="7"/>
      <c r="HWV112" s="7"/>
      <c r="HWW112" s="7"/>
      <c r="HWX112" s="7"/>
      <c r="HWY112" s="7"/>
      <c r="HWZ112" s="7"/>
      <c r="HXA112" s="7"/>
      <c r="HXB112" s="7"/>
      <c r="HXC112" s="7"/>
      <c r="HXD112" s="7"/>
      <c r="HXE112" s="7"/>
      <c r="HXF112" s="7"/>
      <c r="HXG112" s="7"/>
      <c r="HXH112" s="7"/>
      <c r="HXI112" s="7"/>
      <c r="HXJ112" s="7"/>
      <c r="HXK112" s="7"/>
      <c r="HXL112" s="7"/>
      <c r="HXM112" s="7"/>
      <c r="HXN112" s="7"/>
      <c r="HXO112" s="7"/>
      <c r="HXP112" s="7"/>
      <c r="HXQ112" s="7"/>
      <c r="HXR112" s="7"/>
      <c r="HXS112" s="7"/>
      <c r="HXT112" s="7"/>
      <c r="HXU112" s="7"/>
      <c r="HXV112" s="7"/>
      <c r="HXW112" s="7"/>
      <c r="HXX112" s="7"/>
      <c r="HXY112" s="7"/>
      <c r="HXZ112" s="7"/>
      <c r="HYA112" s="7"/>
      <c r="HYB112" s="7"/>
      <c r="HYC112" s="7"/>
      <c r="HYD112" s="7"/>
      <c r="HYE112" s="7"/>
      <c r="HYF112" s="7"/>
      <c r="HYG112" s="7"/>
      <c r="HYH112" s="7"/>
      <c r="HYI112" s="7"/>
      <c r="HYJ112" s="7"/>
      <c r="HYK112" s="7"/>
      <c r="HYL112" s="7"/>
      <c r="HYM112" s="7"/>
      <c r="HYN112" s="7"/>
      <c r="HYO112" s="7"/>
      <c r="HYP112" s="7"/>
      <c r="HYQ112" s="7"/>
      <c r="HYR112" s="7"/>
      <c r="HYS112" s="7"/>
      <c r="HYT112" s="7"/>
      <c r="HYU112" s="7"/>
      <c r="HYV112" s="7"/>
      <c r="HYW112" s="7"/>
      <c r="HYX112" s="7"/>
      <c r="HYY112" s="7"/>
      <c r="HYZ112" s="7"/>
      <c r="HZA112" s="7"/>
      <c r="HZB112" s="7"/>
      <c r="HZC112" s="7"/>
      <c r="HZD112" s="7"/>
      <c r="HZE112" s="7"/>
      <c r="HZF112" s="7"/>
      <c r="HZG112" s="7"/>
      <c r="HZH112" s="7"/>
      <c r="HZI112" s="7"/>
      <c r="HZJ112" s="7"/>
      <c r="HZK112" s="7"/>
      <c r="HZL112" s="7"/>
      <c r="HZM112" s="7"/>
      <c r="HZN112" s="7"/>
      <c r="HZO112" s="7"/>
      <c r="HZP112" s="7"/>
      <c r="HZQ112" s="7"/>
      <c r="HZR112" s="7"/>
      <c r="HZS112" s="7"/>
      <c r="HZT112" s="7"/>
      <c r="HZU112" s="7"/>
      <c r="HZV112" s="7"/>
      <c r="HZW112" s="7"/>
      <c r="HZX112" s="7"/>
      <c r="HZY112" s="7"/>
      <c r="HZZ112" s="7"/>
      <c r="IAA112" s="7"/>
      <c r="IAB112" s="7"/>
      <c r="IAC112" s="7"/>
      <c r="IAD112" s="7"/>
      <c r="IAE112" s="7"/>
      <c r="IAF112" s="7"/>
      <c r="IAG112" s="7"/>
      <c r="IAH112" s="7"/>
      <c r="IAI112" s="7"/>
      <c r="IAJ112" s="7"/>
      <c r="IAK112" s="7"/>
      <c r="IAL112" s="7"/>
      <c r="IAM112" s="7"/>
      <c r="IAN112" s="7"/>
      <c r="IAO112" s="7"/>
      <c r="IAP112" s="7"/>
      <c r="IAQ112" s="7"/>
      <c r="IAR112" s="7"/>
      <c r="IAS112" s="7"/>
      <c r="IAT112" s="7"/>
      <c r="IAU112" s="7"/>
      <c r="IAV112" s="7"/>
      <c r="IAW112" s="7"/>
      <c r="IAX112" s="7"/>
      <c r="IAY112" s="7"/>
      <c r="IAZ112" s="7"/>
      <c r="IBA112" s="7"/>
      <c r="IBB112" s="7"/>
      <c r="IBC112" s="7"/>
      <c r="IBD112" s="7"/>
      <c r="IBE112" s="7"/>
      <c r="IBF112" s="7"/>
      <c r="IBG112" s="7"/>
      <c r="IBH112" s="7"/>
      <c r="IBI112" s="7"/>
      <c r="IBJ112" s="7"/>
      <c r="IBK112" s="7"/>
      <c r="IBL112" s="7"/>
      <c r="IBM112" s="7"/>
      <c r="IBN112" s="7"/>
      <c r="IBO112" s="7"/>
      <c r="IBP112" s="7"/>
      <c r="IBQ112" s="7"/>
      <c r="IBR112" s="7"/>
      <c r="IBS112" s="7"/>
      <c r="IBT112" s="7"/>
      <c r="IBU112" s="7"/>
      <c r="IBV112" s="7"/>
      <c r="IBW112" s="7"/>
      <c r="IBX112" s="7"/>
      <c r="IBY112" s="7"/>
      <c r="IBZ112" s="7"/>
      <c r="ICA112" s="7"/>
      <c r="ICB112" s="7"/>
      <c r="ICC112" s="7"/>
      <c r="ICD112" s="7"/>
      <c r="ICE112" s="7"/>
      <c r="ICF112" s="7"/>
      <c r="ICG112" s="7"/>
      <c r="ICH112" s="7"/>
      <c r="ICI112" s="7"/>
      <c r="ICJ112" s="7"/>
      <c r="ICK112" s="7"/>
      <c r="ICL112" s="7"/>
      <c r="ICM112" s="7"/>
      <c r="ICN112" s="7"/>
      <c r="ICO112" s="7"/>
      <c r="ICP112" s="7"/>
      <c r="ICQ112" s="7"/>
      <c r="ICR112" s="7"/>
      <c r="ICS112" s="7"/>
      <c r="ICT112" s="7"/>
      <c r="ICU112" s="7"/>
      <c r="ICV112" s="7"/>
      <c r="ICW112" s="7"/>
      <c r="ICX112" s="7"/>
      <c r="ICY112" s="7"/>
      <c r="ICZ112" s="7"/>
      <c r="IDA112" s="7"/>
      <c r="IDB112" s="7"/>
      <c r="IDC112" s="7"/>
      <c r="IDD112" s="7"/>
      <c r="IDE112" s="7"/>
      <c r="IDF112" s="7"/>
      <c r="IDG112" s="7"/>
      <c r="IDH112" s="7"/>
      <c r="IDI112" s="7"/>
      <c r="IDJ112" s="7"/>
      <c r="IDK112" s="7"/>
      <c r="IDL112" s="7"/>
      <c r="IDM112" s="7"/>
      <c r="IDN112" s="7"/>
      <c r="IDO112" s="7"/>
      <c r="IDP112" s="7"/>
      <c r="IDQ112" s="7"/>
      <c r="IDR112" s="7"/>
      <c r="IDS112" s="7"/>
      <c r="IDT112" s="7"/>
      <c r="IDU112" s="7"/>
      <c r="IDV112" s="7"/>
      <c r="IDW112" s="7"/>
      <c r="IDX112" s="7"/>
      <c r="IDY112" s="7"/>
      <c r="IDZ112" s="7"/>
      <c r="IEA112" s="7"/>
      <c r="IEB112" s="7"/>
      <c r="IEC112" s="7"/>
      <c r="IED112" s="7"/>
      <c r="IEE112" s="7"/>
      <c r="IEF112" s="7"/>
      <c r="IEG112" s="7"/>
      <c r="IEH112" s="7"/>
      <c r="IEI112" s="7"/>
      <c r="IEJ112" s="7"/>
      <c r="IEK112" s="7"/>
      <c r="IEL112" s="7"/>
      <c r="IEM112" s="7"/>
      <c r="IEN112" s="7"/>
      <c r="IEO112" s="7"/>
      <c r="IEP112" s="7"/>
      <c r="IEQ112" s="7"/>
      <c r="IER112" s="7"/>
      <c r="IES112" s="7"/>
      <c r="IET112" s="7"/>
      <c r="IEU112" s="7"/>
      <c r="IEV112" s="7"/>
      <c r="IEW112" s="7"/>
      <c r="IEX112" s="7"/>
      <c r="IEY112" s="7"/>
      <c r="IEZ112" s="7"/>
      <c r="IFA112" s="7"/>
      <c r="IFB112" s="7"/>
      <c r="IFC112" s="7"/>
      <c r="IFD112" s="7"/>
      <c r="IFE112" s="7"/>
      <c r="IFF112" s="7"/>
      <c r="IFG112" s="7"/>
      <c r="IFH112" s="7"/>
      <c r="IFI112" s="7"/>
      <c r="IFJ112" s="7"/>
      <c r="IFK112" s="7"/>
      <c r="IFL112" s="7"/>
      <c r="IFM112" s="7"/>
      <c r="IFN112" s="7"/>
      <c r="IFO112" s="7"/>
      <c r="IFP112" s="7"/>
      <c r="IFQ112" s="7"/>
      <c r="IFR112" s="7"/>
      <c r="IFS112" s="7"/>
      <c r="IFT112" s="7"/>
      <c r="IFU112" s="7"/>
      <c r="IFV112" s="7"/>
      <c r="IFW112" s="7"/>
      <c r="IFX112" s="7"/>
      <c r="IFY112" s="7"/>
      <c r="IFZ112" s="7"/>
      <c r="IGA112" s="7"/>
      <c r="IGB112" s="7"/>
      <c r="IGC112" s="7"/>
      <c r="IGD112" s="7"/>
      <c r="IGE112" s="7"/>
      <c r="IGF112" s="7"/>
      <c r="IGG112" s="7"/>
      <c r="IGH112" s="7"/>
      <c r="IGI112" s="7"/>
      <c r="IGJ112" s="7"/>
      <c r="IGK112" s="7"/>
      <c r="IGL112" s="7"/>
      <c r="IGM112" s="7"/>
      <c r="IGN112" s="7"/>
      <c r="IGO112" s="7"/>
      <c r="IGP112" s="7"/>
      <c r="IGQ112" s="7"/>
      <c r="IGR112" s="7"/>
      <c r="IGS112" s="7"/>
      <c r="IGT112" s="7"/>
      <c r="IGU112" s="7"/>
      <c r="IGV112" s="7"/>
      <c r="IGW112" s="7"/>
      <c r="IGX112" s="7"/>
      <c r="IGY112" s="7"/>
      <c r="IGZ112" s="7"/>
      <c r="IHA112" s="7"/>
      <c r="IHB112" s="7"/>
      <c r="IHC112" s="7"/>
      <c r="IHD112" s="7"/>
      <c r="IHE112" s="7"/>
      <c r="IHF112" s="7"/>
      <c r="IHG112" s="7"/>
      <c r="IHH112" s="7"/>
      <c r="IHI112" s="7"/>
      <c r="IHJ112" s="7"/>
      <c r="IHK112" s="7"/>
      <c r="IHL112" s="7"/>
      <c r="IHM112" s="7"/>
      <c r="IHN112" s="7"/>
      <c r="IHO112" s="7"/>
      <c r="IHP112" s="7"/>
      <c r="IHQ112" s="7"/>
      <c r="IHR112" s="7"/>
      <c r="IHS112" s="7"/>
      <c r="IHT112" s="7"/>
      <c r="IHU112" s="7"/>
      <c r="IHV112" s="7"/>
      <c r="IHW112" s="7"/>
      <c r="IHX112" s="7"/>
      <c r="IHY112" s="7"/>
      <c r="IHZ112" s="7"/>
      <c r="IIA112" s="7"/>
      <c r="IIB112" s="7"/>
      <c r="IIC112" s="7"/>
      <c r="IID112" s="7"/>
      <c r="IIE112" s="7"/>
      <c r="IIF112" s="7"/>
      <c r="IIG112" s="7"/>
      <c r="IIH112" s="7"/>
      <c r="III112" s="7"/>
      <c r="IIJ112" s="7"/>
      <c r="IIK112" s="7"/>
      <c r="IIL112" s="7"/>
      <c r="IIM112" s="7"/>
      <c r="IIN112" s="7"/>
      <c r="IIO112" s="7"/>
      <c r="IIP112" s="7"/>
      <c r="IIQ112" s="7"/>
      <c r="IIR112" s="7"/>
      <c r="IIS112" s="7"/>
      <c r="IIT112" s="7"/>
      <c r="IIU112" s="7"/>
      <c r="IIV112" s="7"/>
      <c r="IIW112" s="7"/>
      <c r="IIX112" s="7"/>
      <c r="IIY112" s="7"/>
      <c r="IIZ112" s="7"/>
      <c r="IJA112" s="7"/>
      <c r="IJB112" s="7"/>
      <c r="IJC112" s="7"/>
      <c r="IJD112" s="7"/>
      <c r="IJE112" s="7"/>
      <c r="IJF112" s="7"/>
      <c r="IJG112" s="7"/>
      <c r="IJH112" s="7"/>
      <c r="IJI112" s="7"/>
      <c r="IJJ112" s="7"/>
      <c r="IJK112" s="7"/>
      <c r="IJL112" s="7"/>
      <c r="IJM112" s="7"/>
      <c r="IJN112" s="7"/>
      <c r="IJO112" s="7"/>
      <c r="IJP112" s="7"/>
      <c r="IJQ112" s="7"/>
      <c r="IJR112" s="7"/>
      <c r="IJS112" s="7"/>
      <c r="IJT112" s="7"/>
      <c r="IJU112" s="7"/>
      <c r="IJV112" s="7"/>
      <c r="IJW112" s="7"/>
      <c r="IJX112" s="7"/>
      <c r="IJY112" s="7"/>
      <c r="IJZ112" s="7"/>
      <c r="IKA112" s="7"/>
      <c r="IKB112" s="7"/>
      <c r="IKC112" s="7"/>
      <c r="IKD112" s="7"/>
      <c r="IKE112" s="7"/>
      <c r="IKF112" s="7"/>
      <c r="IKG112" s="7"/>
      <c r="IKH112" s="7"/>
      <c r="IKI112" s="7"/>
      <c r="IKJ112" s="7"/>
      <c r="IKK112" s="7"/>
      <c r="IKL112" s="7"/>
      <c r="IKM112" s="7"/>
      <c r="IKN112" s="7"/>
      <c r="IKO112" s="7"/>
      <c r="IKP112" s="7"/>
      <c r="IKQ112" s="7"/>
      <c r="IKR112" s="7"/>
      <c r="IKS112" s="7"/>
      <c r="IKT112" s="7"/>
      <c r="IKU112" s="7"/>
      <c r="IKV112" s="7"/>
      <c r="IKW112" s="7"/>
      <c r="IKX112" s="7"/>
      <c r="IKY112" s="7"/>
      <c r="IKZ112" s="7"/>
      <c r="ILA112" s="7"/>
      <c r="ILB112" s="7"/>
      <c r="ILC112" s="7"/>
      <c r="ILD112" s="7"/>
      <c r="ILE112" s="7"/>
      <c r="ILF112" s="7"/>
      <c r="ILG112" s="7"/>
      <c r="ILH112" s="7"/>
      <c r="ILI112" s="7"/>
      <c r="ILJ112" s="7"/>
      <c r="ILK112" s="7"/>
      <c r="ILL112" s="7"/>
      <c r="ILM112" s="7"/>
      <c r="ILN112" s="7"/>
      <c r="ILO112" s="7"/>
      <c r="ILP112" s="7"/>
      <c r="ILQ112" s="7"/>
      <c r="ILR112" s="7"/>
      <c r="ILS112" s="7"/>
      <c r="ILT112" s="7"/>
      <c r="ILU112" s="7"/>
      <c r="ILV112" s="7"/>
      <c r="ILW112" s="7"/>
      <c r="ILX112" s="7"/>
      <c r="ILY112" s="7"/>
      <c r="ILZ112" s="7"/>
      <c r="IMA112" s="7"/>
      <c r="IMB112" s="7"/>
      <c r="IMC112" s="7"/>
      <c r="IMD112" s="7"/>
      <c r="IME112" s="7"/>
      <c r="IMF112" s="7"/>
      <c r="IMG112" s="7"/>
      <c r="IMH112" s="7"/>
      <c r="IMI112" s="7"/>
      <c r="IMJ112" s="7"/>
      <c r="IMK112" s="7"/>
      <c r="IML112" s="7"/>
      <c r="IMM112" s="7"/>
      <c r="IMN112" s="7"/>
      <c r="IMO112" s="7"/>
      <c r="IMP112" s="7"/>
      <c r="IMQ112" s="7"/>
      <c r="IMR112" s="7"/>
      <c r="IMS112" s="7"/>
      <c r="IMT112" s="7"/>
      <c r="IMU112" s="7"/>
      <c r="IMV112" s="7"/>
      <c r="IMW112" s="7"/>
      <c r="IMX112" s="7"/>
      <c r="IMY112" s="7"/>
      <c r="IMZ112" s="7"/>
      <c r="INA112" s="7"/>
      <c r="INB112" s="7"/>
      <c r="INC112" s="7"/>
      <c r="IND112" s="7"/>
      <c r="INE112" s="7"/>
      <c r="INF112" s="7"/>
      <c r="ING112" s="7"/>
      <c r="INH112" s="7"/>
      <c r="INI112" s="7"/>
      <c r="INJ112" s="7"/>
      <c r="INK112" s="7"/>
      <c r="INL112" s="7"/>
      <c r="INM112" s="7"/>
      <c r="INN112" s="7"/>
      <c r="INO112" s="7"/>
      <c r="INP112" s="7"/>
      <c r="INQ112" s="7"/>
      <c r="INR112" s="7"/>
      <c r="INS112" s="7"/>
      <c r="INT112" s="7"/>
      <c r="INU112" s="7"/>
      <c r="INV112" s="7"/>
      <c r="INW112" s="7"/>
      <c r="INX112" s="7"/>
      <c r="INY112" s="7"/>
      <c r="INZ112" s="7"/>
      <c r="IOA112" s="7"/>
      <c r="IOB112" s="7"/>
      <c r="IOC112" s="7"/>
      <c r="IOD112" s="7"/>
      <c r="IOE112" s="7"/>
      <c r="IOF112" s="7"/>
      <c r="IOG112" s="7"/>
      <c r="IOH112" s="7"/>
      <c r="IOI112" s="7"/>
      <c r="IOJ112" s="7"/>
      <c r="IOK112" s="7"/>
      <c r="IOL112" s="7"/>
      <c r="IOM112" s="7"/>
      <c r="ION112" s="7"/>
      <c r="IOO112" s="7"/>
      <c r="IOP112" s="7"/>
      <c r="IOQ112" s="7"/>
      <c r="IOR112" s="7"/>
      <c r="IOS112" s="7"/>
      <c r="IOT112" s="7"/>
      <c r="IOU112" s="7"/>
      <c r="IOV112" s="7"/>
      <c r="IOW112" s="7"/>
      <c r="IOX112" s="7"/>
      <c r="IOY112" s="7"/>
      <c r="IOZ112" s="7"/>
      <c r="IPA112" s="7"/>
      <c r="IPB112" s="7"/>
      <c r="IPC112" s="7"/>
      <c r="IPD112" s="7"/>
      <c r="IPE112" s="7"/>
      <c r="IPF112" s="7"/>
      <c r="IPG112" s="7"/>
      <c r="IPH112" s="7"/>
      <c r="IPI112" s="7"/>
      <c r="IPJ112" s="7"/>
      <c r="IPK112" s="7"/>
      <c r="IPL112" s="7"/>
      <c r="IPM112" s="7"/>
      <c r="IPN112" s="7"/>
      <c r="IPO112" s="7"/>
      <c r="IPP112" s="7"/>
      <c r="IPQ112" s="7"/>
      <c r="IPR112" s="7"/>
      <c r="IPS112" s="7"/>
      <c r="IPT112" s="7"/>
      <c r="IPU112" s="7"/>
      <c r="IPV112" s="7"/>
      <c r="IPW112" s="7"/>
      <c r="IPX112" s="7"/>
      <c r="IPY112" s="7"/>
      <c r="IPZ112" s="7"/>
      <c r="IQA112" s="7"/>
      <c r="IQB112" s="7"/>
      <c r="IQC112" s="7"/>
      <c r="IQD112" s="7"/>
      <c r="IQE112" s="7"/>
      <c r="IQF112" s="7"/>
      <c r="IQG112" s="7"/>
      <c r="IQH112" s="7"/>
      <c r="IQI112" s="7"/>
      <c r="IQJ112" s="7"/>
      <c r="IQK112" s="7"/>
      <c r="IQL112" s="7"/>
      <c r="IQM112" s="7"/>
      <c r="IQN112" s="7"/>
      <c r="IQO112" s="7"/>
      <c r="IQP112" s="7"/>
      <c r="IQQ112" s="7"/>
      <c r="IQR112" s="7"/>
      <c r="IQS112" s="7"/>
      <c r="IQT112" s="7"/>
      <c r="IQU112" s="7"/>
      <c r="IQV112" s="7"/>
      <c r="IQW112" s="7"/>
      <c r="IQX112" s="7"/>
      <c r="IQY112" s="7"/>
      <c r="IQZ112" s="7"/>
      <c r="IRA112" s="7"/>
      <c r="IRB112" s="7"/>
      <c r="IRC112" s="7"/>
      <c r="IRD112" s="7"/>
      <c r="IRE112" s="7"/>
      <c r="IRF112" s="7"/>
      <c r="IRG112" s="7"/>
      <c r="IRH112" s="7"/>
      <c r="IRI112" s="7"/>
      <c r="IRJ112" s="7"/>
      <c r="IRK112" s="7"/>
      <c r="IRL112" s="7"/>
      <c r="IRM112" s="7"/>
      <c r="IRN112" s="7"/>
      <c r="IRO112" s="7"/>
      <c r="IRP112" s="7"/>
      <c r="IRQ112" s="7"/>
      <c r="IRR112" s="7"/>
      <c r="IRS112" s="7"/>
      <c r="IRT112" s="7"/>
      <c r="IRU112" s="7"/>
      <c r="IRV112" s="7"/>
      <c r="IRW112" s="7"/>
      <c r="IRX112" s="7"/>
      <c r="IRY112" s="7"/>
      <c r="IRZ112" s="7"/>
      <c r="ISA112" s="7"/>
      <c r="ISB112" s="7"/>
      <c r="ISC112" s="7"/>
      <c r="ISD112" s="7"/>
      <c r="ISE112" s="7"/>
      <c r="ISF112" s="7"/>
      <c r="ISG112" s="7"/>
      <c r="ISH112" s="7"/>
      <c r="ISI112" s="7"/>
      <c r="ISJ112" s="7"/>
      <c r="ISK112" s="7"/>
      <c r="ISL112" s="7"/>
      <c r="ISM112" s="7"/>
      <c r="ISN112" s="7"/>
      <c r="ISO112" s="7"/>
      <c r="ISP112" s="7"/>
      <c r="ISQ112" s="7"/>
      <c r="ISR112" s="7"/>
      <c r="ISS112" s="7"/>
      <c r="IST112" s="7"/>
      <c r="ISU112" s="7"/>
      <c r="ISV112" s="7"/>
      <c r="ISW112" s="7"/>
      <c r="ISX112" s="7"/>
      <c r="ISY112" s="7"/>
      <c r="ISZ112" s="7"/>
      <c r="ITA112" s="7"/>
      <c r="ITB112" s="7"/>
      <c r="ITC112" s="7"/>
      <c r="ITD112" s="7"/>
      <c r="ITE112" s="7"/>
      <c r="ITF112" s="7"/>
      <c r="ITG112" s="7"/>
      <c r="ITH112" s="7"/>
      <c r="ITI112" s="7"/>
      <c r="ITJ112" s="7"/>
      <c r="ITK112" s="7"/>
      <c r="ITL112" s="7"/>
      <c r="ITM112" s="7"/>
      <c r="ITN112" s="7"/>
      <c r="ITO112" s="7"/>
      <c r="ITP112" s="7"/>
      <c r="ITQ112" s="7"/>
      <c r="ITR112" s="7"/>
      <c r="ITS112" s="7"/>
      <c r="ITT112" s="7"/>
      <c r="ITU112" s="7"/>
      <c r="ITV112" s="7"/>
      <c r="ITW112" s="7"/>
      <c r="ITX112" s="7"/>
      <c r="ITY112" s="7"/>
      <c r="ITZ112" s="7"/>
      <c r="IUA112" s="7"/>
      <c r="IUB112" s="7"/>
      <c r="IUC112" s="7"/>
      <c r="IUD112" s="7"/>
      <c r="IUE112" s="7"/>
      <c r="IUF112" s="7"/>
      <c r="IUG112" s="7"/>
      <c r="IUH112" s="7"/>
      <c r="IUI112" s="7"/>
      <c r="IUJ112" s="7"/>
      <c r="IUK112" s="7"/>
      <c r="IUL112" s="7"/>
      <c r="IUM112" s="7"/>
      <c r="IUN112" s="7"/>
      <c r="IUO112" s="7"/>
      <c r="IUP112" s="7"/>
      <c r="IUQ112" s="7"/>
      <c r="IUR112" s="7"/>
      <c r="IUS112" s="7"/>
      <c r="IUT112" s="7"/>
      <c r="IUU112" s="7"/>
      <c r="IUV112" s="7"/>
      <c r="IUW112" s="7"/>
      <c r="IUX112" s="7"/>
      <c r="IUY112" s="7"/>
      <c r="IUZ112" s="7"/>
      <c r="IVA112" s="7"/>
      <c r="IVB112" s="7"/>
      <c r="IVC112" s="7"/>
      <c r="IVD112" s="7"/>
      <c r="IVE112" s="7"/>
      <c r="IVF112" s="7"/>
      <c r="IVG112" s="7"/>
      <c r="IVH112" s="7"/>
      <c r="IVI112" s="7"/>
      <c r="IVJ112" s="7"/>
      <c r="IVK112" s="7"/>
      <c r="IVL112" s="7"/>
      <c r="IVM112" s="7"/>
      <c r="IVN112" s="7"/>
      <c r="IVO112" s="7"/>
      <c r="IVP112" s="7"/>
      <c r="IVQ112" s="7"/>
      <c r="IVR112" s="7"/>
      <c r="IVS112" s="7"/>
      <c r="IVT112" s="7"/>
      <c r="IVU112" s="7"/>
      <c r="IVV112" s="7"/>
      <c r="IVW112" s="7"/>
      <c r="IVX112" s="7"/>
      <c r="IVY112" s="7"/>
      <c r="IVZ112" s="7"/>
      <c r="IWA112" s="7"/>
      <c r="IWB112" s="7"/>
      <c r="IWC112" s="7"/>
      <c r="IWD112" s="7"/>
      <c r="IWE112" s="7"/>
      <c r="IWF112" s="7"/>
      <c r="IWG112" s="7"/>
      <c r="IWH112" s="7"/>
      <c r="IWI112" s="7"/>
      <c r="IWJ112" s="7"/>
      <c r="IWK112" s="7"/>
      <c r="IWL112" s="7"/>
      <c r="IWM112" s="7"/>
      <c r="IWN112" s="7"/>
      <c r="IWO112" s="7"/>
      <c r="IWP112" s="7"/>
      <c r="IWQ112" s="7"/>
      <c r="IWR112" s="7"/>
      <c r="IWS112" s="7"/>
      <c r="IWT112" s="7"/>
      <c r="IWU112" s="7"/>
      <c r="IWV112" s="7"/>
      <c r="IWW112" s="7"/>
      <c r="IWX112" s="7"/>
      <c r="IWY112" s="7"/>
      <c r="IWZ112" s="7"/>
      <c r="IXA112" s="7"/>
      <c r="IXB112" s="7"/>
      <c r="IXC112" s="7"/>
      <c r="IXD112" s="7"/>
      <c r="IXE112" s="7"/>
      <c r="IXF112" s="7"/>
      <c r="IXG112" s="7"/>
      <c r="IXH112" s="7"/>
      <c r="IXI112" s="7"/>
      <c r="IXJ112" s="7"/>
      <c r="IXK112" s="7"/>
      <c r="IXL112" s="7"/>
      <c r="IXM112" s="7"/>
      <c r="IXN112" s="7"/>
      <c r="IXO112" s="7"/>
      <c r="IXP112" s="7"/>
      <c r="IXQ112" s="7"/>
      <c r="IXR112" s="7"/>
      <c r="IXS112" s="7"/>
      <c r="IXT112" s="7"/>
      <c r="IXU112" s="7"/>
      <c r="IXV112" s="7"/>
      <c r="IXW112" s="7"/>
      <c r="IXX112" s="7"/>
      <c r="IXY112" s="7"/>
      <c r="IXZ112" s="7"/>
      <c r="IYA112" s="7"/>
      <c r="IYB112" s="7"/>
      <c r="IYC112" s="7"/>
      <c r="IYD112" s="7"/>
      <c r="IYE112" s="7"/>
      <c r="IYF112" s="7"/>
      <c r="IYG112" s="7"/>
      <c r="IYH112" s="7"/>
      <c r="IYI112" s="7"/>
      <c r="IYJ112" s="7"/>
      <c r="IYK112" s="7"/>
      <c r="IYL112" s="7"/>
      <c r="IYM112" s="7"/>
      <c r="IYN112" s="7"/>
      <c r="IYO112" s="7"/>
      <c r="IYP112" s="7"/>
      <c r="IYQ112" s="7"/>
      <c r="IYR112" s="7"/>
      <c r="IYS112" s="7"/>
      <c r="IYT112" s="7"/>
      <c r="IYU112" s="7"/>
      <c r="IYV112" s="7"/>
      <c r="IYW112" s="7"/>
      <c r="IYX112" s="7"/>
      <c r="IYY112" s="7"/>
      <c r="IYZ112" s="7"/>
      <c r="IZA112" s="7"/>
      <c r="IZB112" s="7"/>
      <c r="IZC112" s="7"/>
      <c r="IZD112" s="7"/>
      <c r="IZE112" s="7"/>
      <c r="IZF112" s="7"/>
      <c r="IZG112" s="7"/>
      <c r="IZH112" s="7"/>
      <c r="IZI112" s="7"/>
      <c r="IZJ112" s="7"/>
      <c r="IZK112" s="7"/>
      <c r="IZL112" s="7"/>
      <c r="IZM112" s="7"/>
      <c r="IZN112" s="7"/>
      <c r="IZO112" s="7"/>
      <c r="IZP112" s="7"/>
      <c r="IZQ112" s="7"/>
      <c r="IZR112" s="7"/>
      <c r="IZS112" s="7"/>
      <c r="IZT112" s="7"/>
      <c r="IZU112" s="7"/>
      <c r="IZV112" s="7"/>
      <c r="IZW112" s="7"/>
      <c r="IZX112" s="7"/>
      <c r="IZY112" s="7"/>
      <c r="IZZ112" s="7"/>
      <c r="JAA112" s="7"/>
      <c r="JAB112" s="7"/>
      <c r="JAC112" s="7"/>
      <c r="JAD112" s="7"/>
      <c r="JAE112" s="7"/>
      <c r="JAF112" s="7"/>
      <c r="JAG112" s="7"/>
      <c r="JAH112" s="7"/>
      <c r="JAI112" s="7"/>
      <c r="JAJ112" s="7"/>
      <c r="JAK112" s="7"/>
      <c r="JAL112" s="7"/>
      <c r="JAM112" s="7"/>
      <c r="JAN112" s="7"/>
      <c r="JAO112" s="7"/>
      <c r="JAP112" s="7"/>
      <c r="JAQ112" s="7"/>
      <c r="JAR112" s="7"/>
      <c r="JAS112" s="7"/>
      <c r="JAT112" s="7"/>
      <c r="JAU112" s="7"/>
      <c r="JAV112" s="7"/>
      <c r="JAW112" s="7"/>
      <c r="JAX112" s="7"/>
      <c r="JAY112" s="7"/>
      <c r="JAZ112" s="7"/>
      <c r="JBA112" s="7"/>
      <c r="JBB112" s="7"/>
      <c r="JBC112" s="7"/>
      <c r="JBD112" s="7"/>
      <c r="JBE112" s="7"/>
      <c r="JBF112" s="7"/>
      <c r="JBG112" s="7"/>
      <c r="JBH112" s="7"/>
      <c r="JBI112" s="7"/>
      <c r="JBJ112" s="7"/>
      <c r="JBK112" s="7"/>
      <c r="JBL112" s="7"/>
      <c r="JBM112" s="7"/>
      <c r="JBN112" s="7"/>
      <c r="JBO112" s="7"/>
      <c r="JBP112" s="7"/>
      <c r="JBQ112" s="7"/>
      <c r="JBR112" s="7"/>
      <c r="JBS112" s="7"/>
      <c r="JBT112" s="7"/>
      <c r="JBU112" s="7"/>
      <c r="JBV112" s="7"/>
      <c r="JBW112" s="7"/>
      <c r="JBX112" s="7"/>
      <c r="JBY112" s="7"/>
      <c r="JBZ112" s="7"/>
      <c r="JCA112" s="7"/>
      <c r="JCB112" s="7"/>
      <c r="JCC112" s="7"/>
      <c r="JCD112" s="7"/>
      <c r="JCE112" s="7"/>
      <c r="JCF112" s="7"/>
      <c r="JCG112" s="7"/>
      <c r="JCH112" s="7"/>
      <c r="JCI112" s="7"/>
      <c r="JCJ112" s="7"/>
      <c r="JCK112" s="7"/>
      <c r="JCL112" s="7"/>
      <c r="JCM112" s="7"/>
      <c r="JCN112" s="7"/>
      <c r="JCO112" s="7"/>
      <c r="JCP112" s="7"/>
      <c r="JCQ112" s="7"/>
      <c r="JCR112" s="7"/>
      <c r="JCS112" s="7"/>
      <c r="JCT112" s="7"/>
      <c r="JCU112" s="7"/>
      <c r="JCV112" s="7"/>
      <c r="JCW112" s="7"/>
      <c r="JCX112" s="7"/>
      <c r="JCY112" s="7"/>
      <c r="JCZ112" s="7"/>
      <c r="JDA112" s="7"/>
      <c r="JDB112" s="7"/>
      <c r="JDC112" s="7"/>
      <c r="JDD112" s="7"/>
      <c r="JDE112" s="7"/>
      <c r="JDF112" s="7"/>
      <c r="JDG112" s="7"/>
      <c r="JDH112" s="7"/>
      <c r="JDI112" s="7"/>
      <c r="JDJ112" s="7"/>
      <c r="JDK112" s="7"/>
      <c r="JDL112" s="7"/>
      <c r="JDM112" s="7"/>
      <c r="JDN112" s="7"/>
      <c r="JDO112" s="7"/>
      <c r="JDP112" s="7"/>
      <c r="JDQ112" s="7"/>
      <c r="JDR112" s="7"/>
      <c r="JDS112" s="7"/>
      <c r="JDT112" s="7"/>
      <c r="JDU112" s="7"/>
      <c r="JDV112" s="7"/>
      <c r="JDW112" s="7"/>
      <c r="JDX112" s="7"/>
      <c r="JDY112" s="7"/>
      <c r="JDZ112" s="7"/>
      <c r="JEA112" s="7"/>
      <c r="JEB112" s="7"/>
      <c r="JEC112" s="7"/>
      <c r="JED112" s="7"/>
      <c r="JEE112" s="7"/>
      <c r="JEF112" s="7"/>
      <c r="JEG112" s="7"/>
      <c r="JEH112" s="7"/>
      <c r="JEI112" s="7"/>
      <c r="JEJ112" s="7"/>
      <c r="JEK112" s="7"/>
      <c r="JEL112" s="7"/>
      <c r="JEM112" s="7"/>
      <c r="JEN112" s="7"/>
      <c r="JEO112" s="7"/>
      <c r="JEP112" s="7"/>
      <c r="JEQ112" s="7"/>
      <c r="JER112" s="7"/>
      <c r="JES112" s="7"/>
      <c r="JET112" s="7"/>
      <c r="JEU112" s="7"/>
      <c r="JEV112" s="7"/>
      <c r="JEW112" s="7"/>
      <c r="JEX112" s="7"/>
      <c r="JEY112" s="7"/>
      <c r="JEZ112" s="7"/>
      <c r="JFA112" s="7"/>
      <c r="JFB112" s="7"/>
      <c r="JFC112" s="7"/>
      <c r="JFD112" s="7"/>
      <c r="JFE112" s="7"/>
      <c r="JFF112" s="7"/>
      <c r="JFG112" s="7"/>
      <c r="JFH112" s="7"/>
      <c r="JFI112" s="7"/>
      <c r="JFJ112" s="7"/>
      <c r="JFK112" s="7"/>
      <c r="JFL112" s="7"/>
      <c r="JFM112" s="7"/>
      <c r="JFN112" s="7"/>
      <c r="JFO112" s="7"/>
      <c r="JFP112" s="7"/>
      <c r="JFQ112" s="7"/>
      <c r="JFR112" s="7"/>
      <c r="JFS112" s="7"/>
      <c r="JFT112" s="7"/>
      <c r="JFU112" s="7"/>
      <c r="JFV112" s="7"/>
      <c r="JFW112" s="7"/>
      <c r="JFX112" s="7"/>
      <c r="JFY112" s="7"/>
      <c r="JFZ112" s="7"/>
      <c r="JGA112" s="7"/>
      <c r="JGB112" s="7"/>
      <c r="JGC112" s="7"/>
      <c r="JGD112" s="7"/>
      <c r="JGE112" s="7"/>
      <c r="JGF112" s="7"/>
      <c r="JGG112" s="7"/>
      <c r="JGH112" s="7"/>
      <c r="JGI112" s="7"/>
      <c r="JGJ112" s="7"/>
      <c r="JGK112" s="7"/>
      <c r="JGL112" s="7"/>
      <c r="JGM112" s="7"/>
      <c r="JGN112" s="7"/>
      <c r="JGO112" s="7"/>
      <c r="JGP112" s="7"/>
      <c r="JGQ112" s="7"/>
      <c r="JGR112" s="7"/>
      <c r="JGS112" s="7"/>
      <c r="JGT112" s="7"/>
      <c r="JGU112" s="7"/>
      <c r="JGV112" s="7"/>
      <c r="JGW112" s="7"/>
      <c r="JGX112" s="7"/>
      <c r="JGY112" s="7"/>
      <c r="JGZ112" s="7"/>
      <c r="JHA112" s="7"/>
      <c r="JHB112" s="7"/>
      <c r="JHC112" s="7"/>
      <c r="JHD112" s="7"/>
      <c r="JHE112" s="7"/>
      <c r="JHF112" s="7"/>
      <c r="JHG112" s="7"/>
      <c r="JHH112" s="7"/>
      <c r="JHI112" s="7"/>
      <c r="JHJ112" s="7"/>
      <c r="JHK112" s="7"/>
      <c r="JHL112" s="7"/>
      <c r="JHM112" s="7"/>
      <c r="JHN112" s="7"/>
      <c r="JHO112" s="7"/>
      <c r="JHP112" s="7"/>
      <c r="JHQ112" s="7"/>
      <c r="JHR112" s="7"/>
      <c r="JHS112" s="7"/>
      <c r="JHT112" s="7"/>
      <c r="JHU112" s="7"/>
      <c r="JHV112" s="7"/>
      <c r="JHW112" s="7"/>
      <c r="JHX112" s="7"/>
      <c r="JHY112" s="7"/>
      <c r="JHZ112" s="7"/>
      <c r="JIA112" s="7"/>
      <c r="JIB112" s="7"/>
      <c r="JIC112" s="7"/>
      <c r="JID112" s="7"/>
      <c r="JIE112" s="7"/>
      <c r="JIF112" s="7"/>
      <c r="JIG112" s="7"/>
      <c r="JIH112" s="7"/>
      <c r="JII112" s="7"/>
      <c r="JIJ112" s="7"/>
      <c r="JIK112" s="7"/>
      <c r="JIL112" s="7"/>
      <c r="JIM112" s="7"/>
      <c r="JIN112" s="7"/>
      <c r="JIO112" s="7"/>
      <c r="JIP112" s="7"/>
      <c r="JIQ112" s="7"/>
      <c r="JIR112" s="7"/>
      <c r="JIS112" s="7"/>
      <c r="JIT112" s="7"/>
      <c r="JIU112" s="7"/>
      <c r="JIV112" s="7"/>
      <c r="JIW112" s="7"/>
      <c r="JIX112" s="7"/>
      <c r="JIY112" s="7"/>
      <c r="JIZ112" s="7"/>
      <c r="JJA112" s="7"/>
      <c r="JJB112" s="7"/>
      <c r="JJC112" s="7"/>
      <c r="JJD112" s="7"/>
      <c r="JJE112" s="7"/>
      <c r="JJF112" s="7"/>
      <c r="JJG112" s="7"/>
      <c r="JJH112" s="7"/>
      <c r="JJI112" s="7"/>
      <c r="JJJ112" s="7"/>
      <c r="JJK112" s="7"/>
      <c r="JJL112" s="7"/>
      <c r="JJM112" s="7"/>
      <c r="JJN112" s="7"/>
      <c r="JJO112" s="7"/>
      <c r="JJP112" s="7"/>
      <c r="JJQ112" s="7"/>
      <c r="JJR112" s="7"/>
      <c r="JJS112" s="7"/>
      <c r="JJT112" s="7"/>
      <c r="JJU112" s="7"/>
      <c r="JJV112" s="7"/>
      <c r="JJW112" s="7"/>
      <c r="JJX112" s="7"/>
      <c r="JJY112" s="7"/>
      <c r="JJZ112" s="7"/>
      <c r="JKA112" s="7"/>
      <c r="JKB112" s="7"/>
      <c r="JKC112" s="7"/>
      <c r="JKD112" s="7"/>
      <c r="JKE112" s="7"/>
      <c r="JKF112" s="7"/>
      <c r="JKG112" s="7"/>
      <c r="JKH112" s="7"/>
      <c r="JKI112" s="7"/>
      <c r="JKJ112" s="7"/>
      <c r="JKK112" s="7"/>
      <c r="JKL112" s="7"/>
      <c r="JKM112" s="7"/>
      <c r="JKN112" s="7"/>
      <c r="JKO112" s="7"/>
      <c r="JKP112" s="7"/>
      <c r="JKQ112" s="7"/>
      <c r="JKR112" s="7"/>
      <c r="JKS112" s="7"/>
      <c r="JKT112" s="7"/>
      <c r="JKU112" s="7"/>
      <c r="JKV112" s="7"/>
      <c r="JKW112" s="7"/>
      <c r="JKX112" s="7"/>
      <c r="JKY112" s="7"/>
      <c r="JKZ112" s="7"/>
      <c r="JLA112" s="7"/>
      <c r="JLB112" s="7"/>
      <c r="JLC112" s="7"/>
      <c r="JLD112" s="7"/>
      <c r="JLE112" s="7"/>
      <c r="JLF112" s="7"/>
      <c r="JLG112" s="7"/>
      <c r="JLH112" s="7"/>
      <c r="JLI112" s="7"/>
      <c r="JLJ112" s="7"/>
      <c r="JLK112" s="7"/>
      <c r="JLL112" s="7"/>
      <c r="JLM112" s="7"/>
      <c r="JLN112" s="7"/>
      <c r="JLO112" s="7"/>
      <c r="JLP112" s="7"/>
      <c r="JLQ112" s="7"/>
      <c r="JLR112" s="7"/>
      <c r="JLS112" s="7"/>
      <c r="JLT112" s="7"/>
      <c r="JLU112" s="7"/>
      <c r="JLV112" s="7"/>
      <c r="JLW112" s="7"/>
      <c r="JLX112" s="7"/>
      <c r="JLY112" s="7"/>
      <c r="JLZ112" s="7"/>
      <c r="JMA112" s="7"/>
      <c r="JMB112" s="7"/>
      <c r="JMC112" s="7"/>
      <c r="JMD112" s="7"/>
      <c r="JME112" s="7"/>
      <c r="JMF112" s="7"/>
      <c r="JMG112" s="7"/>
      <c r="JMH112" s="7"/>
      <c r="JMI112" s="7"/>
      <c r="JMJ112" s="7"/>
      <c r="JMK112" s="7"/>
      <c r="JML112" s="7"/>
      <c r="JMM112" s="7"/>
      <c r="JMN112" s="7"/>
      <c r="JMO112" s="7"/>
      <c r="JMP112" s="7"/>
      <c r="JMQ112" s="7"/>
      <c r="JMR112" s="7"/>
      <c r="JMS112" s="7"/>
      <c r="JMT112" s="7"/>
      <c r="JMU112" s="7"/>
      <c r="JMV112" s="7"/>
      <c r="JMW112" s="7"/>
      <c r="JMX112" s="7"/>
      <c r="JMY112" s="7"/>
      <c r="JMZ112" s="7"/>
      <c r="JNA112" s="7"/>
      <c r="JNB112" s="7"/>
      <c r="JNC112" s="7"/>
      <c r="JND112" s="7"/>
      <c r="JNE112" s="7"/>
      <c r="JNF112" s="7"/>
      <c r="JNG112" s="7"/>
      <c r="JNH112" s="7"/>
      <c r="JNI112" s="7"/>
      <c r="JNJ112" s="7"/>
      <c r="JNK112" s="7"/>
      <c r="JNL112" s="7"/>
      <c r="JNM112" s="7"/>
      <c r="JNN112" s="7"/>
      <c r="JNO112" s="7"/>
      <c r="JNP112" s="7"/>
      <c r="JNQ112" s="7"/>
      <c r="JNR112" s="7"/>
      <c r="JNS112" s="7"/>
      <c r="JNT112" s="7"/>
      <c r="JNU112" s="7"/>
      <c r="JNV112" s="7"/>
      <c r="JNW112" s="7"/>
      <c r="JNX112" s="7"/>
      <c r="JNY112" s="7"/>
      <c r="JNZ112" s="7"/>
      <c r="JOA112" s="7"/>
      <c r="JOB112" s="7"/>
      <c r="JOC112" s="7"/>
      <c r="JOD112" s="7"/>
      <c r="JOE112" s="7"/>
      <c r="JOF112" s="7"/>
      <c r="JOG112" s="7"/>
      <c r="JOH112" s="7"/>
      <c r="JOI112" s="7"/>
      <c r="JOJ112" s="7"/>
      <c r="JOK112" s="7"/>
      <c r="JOL112" s="7"/>
      <c r="JOM112" s="7"/>
      <c r="JON112" s="7"/>
      <c r="JOO112" s="7"/>
      <c r="JOP112" s="7"/>
      <c r="JOQ112" s="7"/>
      <c r="JOR112" s="7"/>
      <c r="JOS112" s="7"/>
      <c r="JOT112" s="7"/>
      <c r="JOU112" s="7"/>
      <c r="JOV112" s="7"/>
      <c r="JOW112" s="7"/>
      <c r="JOX112" s="7"/>
      <c r="JOY112" s="7"/>
      <c r="JOZ112" s="7"/>
      <c r="JPA112" s="7"/>
      <c r="JPB112" s="7"/>
      <c r="JPC112" s="7"/>
      <c r="JPD112" s="7"/>
      <c r="JPE112" s="7"/>
      <c r="JPF112" s="7"/>
      <c r="JPG112" s="7"/>
      <c r="JPH112" s="7"/>
      <c r="JPI112" s="7"/>
      <c r="JPJ112" s="7"/>
      <c r="JPK112" s="7"/>
      <c r="JPL112" s="7"/>
      <c r="JPM112" s="7"/>
      <c r="JPN112" s="7"/>
      <c r="JPO112" s="7"/>
      <c r="JPP112" s="7"/>
      <c r="JPQ112" s="7"/>
      <c r="JPR112" s="7"/>
      <c r="JPS112" s="7"/>
      <c r="JPT112" s="7"/>
      <c r="JPU112" s="7"/>
      <c r="JPV112" s="7"/>
      <c r="JPW112" s="7"/>
      <c r="JPX112" s="7"/>
      <c r="JPY112" s="7"/>
      <c r="JPZ112" s="7"/>
      <c r="JQA112" s="7"/>
      <c r="JQB112" s="7"/>
      <c r="JQC112" s="7"/>
      <c r="JQD112" s="7"/>
      <c r="JQE112" s="7"/>
      <c r="JQF112" s="7"/>
      <c r="JQG112" s="7"/>
      <c r="JQH112" s="7"/>
      <c r="JQI112" s="7"/>
      <c r="JQJ112" s="7"/>
      <c r="JQK112" s="7"/>
      <c r="JQL112" s="7"/>
      <c r="JQM112" s="7"/>
      <c r="JQN112" s="7"/>
      <c r="JQO112" s="7"/>
      <c r="JQP112" s="7"/>
      <c r="JQQ112" s="7"/>
      <c r="JQR112" s="7"/>
      <c r="JQS112" s="7"/>
      <c r="JQT112" s="7"/>
      <c r="JQU112" s="7"/>
      <c r="JQV112" s="7"/>
      <c r="JQW112" s="7"/>
      <c r="JQX112" s="7"/>
      <c r="JQY112" s="7"/>
      <c r="JQZ112" s="7"/>
      <c r="JRA112" s="7"/>
      <c r="JRB112" s="7"/>
      <c r="JRC112" s="7"/>
      <c r="JRD112" s="7"/>
      <c r="JRE112" s="7"/>
      <c r="JRF112" s="7"/>
      <c r="JRG112" s="7"/>
      <c r="JRH112" s="7"/>
      <c r="JRI112" s="7"/>
      <c r="JRJ112" s="7"/>
      <c r="JRK112" s="7"/>
      <c r="JRL112" s="7"/>
      <c r="JRM112" s="7"/>
      <c r="JRN112" s="7"/>
      <c r="JRO112" s="7"/>
      <c r="JRP112" s="7"/>
      <c r="JRQ112" s="7"/>
      <c r="JRR112" s="7"/>
      <c r="JRS112" s="7"/>
      <c r="JRT112" s="7"/>
      <c r="JRU112" s="7"/>
      <c r="JRV112" s="7"/>
      <c r="JRW112" s="7"/>
      <c r="JRX112" s="7"/>
      <c r="JRY112" s="7"/>
      <c r="JRZ112" s="7"/>
      <c r="JSA112" s="7"/>
      <c r="JSB112" s="7"/>
      <c r="JSC112" s="7"/>
      <c r="JSD112" s="7"/>
      <c r="JSE112" s="7"/>
      <c r="JSF112" s="7"/>
      <c r="JSG112" s="7"/>
      <c r="JSH112" s="7"/>
      <c r="JSI112" s="7"/>
      <c r="JSJ112" s="7"/>
      <c r="JSK112" s="7"/>
      <c r="JSL112" s="7"/>
      <c r="JSM112" s="7"/>
      <c r="JSN112" s="7"/>
      <c r="JSO112" s="7"/>
      <c r="JSP112" s="7"/>
      <c r="JSQ112" s="7"/>
      <c r="JSR112" s="7"/>
      <c r="JSS112" s="7"/>
      <c r="JST112" s="7"/>
      <c r="JSU112" s="7"/>
      <c r="JSV112" s="7"/>
      <c r="JSW112" s="7"/>
      <c r="JSX112" s="7"/>
      <c r="JSY112" s="7"/>
      <c r="JSZ112" s="7"/>
      <c r="JTA112" s="7"/>
      <c r="JTB112" s="7"/>
      <c r="JTC112" s="7"/>
      <c r="JTD112" s="7"/>
      <c r="JTE112" s="7"/>
      <c r="JTF112" s="7"/>
      <c r="JTG112" s="7"/>
      <c r="JTH112" s="7"/>
      <c r="JTI112" s="7"/>
      <c r="JTJ112" s="7"/>
      <c r="JTK112" s="7"/>
      <c r="JTL112" s="7"/>
      <c r="JTM112" s="7"/>
      <c r="JTN112" s="7"/>
      <c r="JTO112" s="7"/>
      <c r="JTP112" s="7"/>
      <c r="JTQ112" s="7"/>
      <c r="JTR112" s="7"/>
      <c r="JTS112" s="7"/>
      <c r="JTT112" s="7"/>
      <c r="JTU112" s="7"/>
      <c r="JTV112" s="7"/>
      <c r="JTW112" s="7"/>
      <c r="JTX112" s="7"/>
      <c r="JTY112" s="7"/>
      <c r="JTZ112" s="7"/>
      <c r="JUA112" s="7"/>
      <c r="JUB112" s="7"/>
      <c r="JUC112" s="7"/>
      <c r="JUD112" s="7"/>
      <c r="JUE112" s="7"/>
      <c r="JUF112" s="7"/>
      <c r="JUG112" s="7"/>
      <c r="JUH112" s="7"/>
      <c r="JUI112" s="7"/>
      <c r="JUJ112" s="7"/>
      <c r="JUK112" s="7"/>
      <c r="JUL112" s="7"/>
      <c r="JUM112" s="7"/>
      <c r="JUN112" s="7"/>
      <c r="JUO112" s="7"/>
      <c r="JUP112" s="7"/>
      <c r="JUQ112" s="7"/>
      <c r="JUR112" s="7"/>
      <c r="JUS112" s="7"/>
      <c r="JUT112" s="7"/>
      <c r="JUU112" s="7"/>
      <c r="JUV112" s="7"/>
      <c r="JUW112" s="7"/>
      <c r="JUX112" s="7"/>
      <c r="JUY112" s="7"/>
      <c r="JUZ112" s="7"/>
      <c r="JVA112" s="7"/>
      <c r="JVB112" s="7"/>
      <c r="JVC112" s="7"/>
      <c r="JVD112" s="7"/>
      <c r="JVE112" s="7"/>
      <c r="JVF112" s="7"/>
      <c r="JVG112" s="7"/>
      <c r="JVH112" s="7"/>
      <c r="JVI112" s="7"/>
      <c r="JVJ112" s="7"/>
      <c r="JVK112" s="7"/>
      <c r="JVL112" s="7"/>
      <c r="JVM112" s="7"/>
      <c r="JVN112" s="7"/>
      <c r="JVO112" s="7"/>
      <c r="JVP112" s="7"/>
      <c r="JVQ112" s="7"/>
      <c r="JVR112" s="7"/>
      <c r="JVS112" s="7"/>
      <c r="JVT112" s="7"/>
      <c r="JVU112" s="7"/>
      <c r="JVV112" s="7"/>
      <c r="JVW112" s="7"/>
      <c r="JVX112" s="7"/>
      <c r="JVY112" s="7"/>
      <c r="JVZ112" s="7"/>
      <c r="JWA112" s="7"/>
      <c r="JWB112" s="7"/>
      <c r="JWC112" s="7"/>
      <c r="JWD112" s="7"/>
      <c r="JWE112" s="7"/>
      <c r="JWF112" s="7"/>
      <c r="JWG112" s="7"/>
      <c r="JWH112" s="7"/>
      <c r="JWI112" s="7"/>
      <c r="JWJ112" s="7"/>
      <c r="JWK112" s="7"/>
      <c r="JWL112" s="7"/>
      <c r="JWM112" s="7"/>
      <c r="JWN112" s="7"/>
      <c r="JWO112" s="7"/>
      <c r="JWP112" s="7"/>
      <c r="JWQ112" s="7"/>
      <c r="JWR112" s="7"/>
      <c r="JWS112" s="7"/>
      <c r="JWT112" s="7"/>
      <c r="JWU112" s="7"/>
      <c r="JWV112" s="7"/>
      <c r="JWW112" s="7"/>
      <c r="JWX112" s="7"/>
      <c r="JWY112" s="7"/>
      <c r="JWZ112" s="7"/>
      <c r="JXA112" s="7"/>
      <c r="JXB112" s="7"/>
      <c r="JXC112" s="7"/>
      <c r="JXD112" s="7"/>
      <c r="JXE112" s="7"/>
      <c r="JXF112" s="7"/>
      <c r="JXG112" s="7"/>
      <c r="JXH112" s="7"/>
      <c r="JXI112" s="7"/>
      <c r="JXJ112" s="7"/>
      <c r="JXK112" s="7"/>
      <c r="JXL112" s="7"/>
      <c r="JXM112" s="7"/>
      <c r="JXN112" s="7"/>
      <c r="JXO112" s="7"/>
      <c r="JXP112" s="7"/>
      <c r="JXQ112" s="7"/>
      <c r="JXR112" s="7"/>
      <c r="JXS112" s="7"/>
      <c r="JXT112" s="7"/>
      <c r="JXU112" s="7"/>
      <c r="JXV112" s="7"/>
      <c r="JXW112" s="7"/>
      <c r="JXX112" s="7"/>
      <c r="JXY112" s="7"/>
      <c r="JXZ112" s="7"/>
      <c r="JYA112" s="7"/>
      <c r="JYB112" s="7"/>
      <c r="JYC112" s="7"/>
      <c r="JYD112" s="7"/>
      <c r="JYE112" s="7"/>
      <c r="JYF112" s="7"/>
      <c r="JYG112" s="7"/>
      <c r="JYH112" s="7"/>
      <c r="JYI112" s="7"/>
      <c r="JYJ112" s="7"/>
      <c r="JYK112" s="7"/>
      <c r="JYL112" s="7"/>
      <c r="JYM112" s="7"/>
      <c r="JYN112" s="7"/>
      <c r="JYO112" s="7"/>
      <c r="JYP112" s="7"/>
      <c r="JYQ112" s="7"/>
      <c r="JYR112" s="7"/>
      <c r="JYS112" s="7"/>
      <c r="JYT112" s="7"/>
      <c r="JYU112" s="7"/>
      <c r="JYV112" s="7"/>
      <c r="JYW112" s="7"/>
      <c r="JYX112" s="7"/>
      <c r="JYY112" s="7"/>
      <c r="JYZ112" s="7"/>
      <c r="JZA112" s="7"/>
      <c r="JZB112" s="7"/>
      <c r="JZC112" s="7"/>
      <c r="JZD112" s="7"/>
      <c r="JZE112" s="7"/>
      <c r="JZF112" s="7"/>
      <c r="JZG112" s="7"/>
      <c r="JZH112" s="7"/>
      <c r="JZI112" s="7"/>
      <c r="JZJ112" s="7"/>
      <c r="JZK112" s="7"/>
      <c r="JZL112" s="7"/>
      <c r="JZM112" s="7"/>
      <c r="JZN112" s="7"/>
      <c r="JZO112" s="7"/>
      <c r="JZP112" s="7"/>
      <c r="JZQ112" s="7"/>
      <c r="JZR112" s="7"/>
      <c r="JZS112" s="7"/>
      <c r="JZT112" s="7"/>
      <c r="JZU112" s="7"/>
      <c r="JZV112" s="7"/>
      <c r="JZW112" s="7"/>
      <c r="JZX112" s="7"/>
      <c r="JZY112" s="7"/>
      <c r="JZZ112" s="7"/>
      <c r="KAA112" s="7"/>
      <c r="KAB112" s="7"/>
      <c r="KAC112" s="7"/>
      <c r="KAD112" s="7"/>
      <c r="KAE112" s="7"/>
      <c r="KAF112" s="7"/>
      <c r="KAG112" s="7"/>
      <c r="KAH112" s="7"/>
      <c r="KAI112" s="7"/>
      <c r="KAJ112" s="7"/>
      <c r="KAK112" s="7"/>
      <c r="KAL112" s="7"/>
      <c r="KAM112" s="7"/>
      <c r="KAN112" s="7"/>
      <c r="KAO112" s="7"/>
      <c r="KAP112" s="7"/>
      <c r="KAQ112" s="7"/>
      <c r="KAR112" s="7"/>
      <c r="KAS112" s="7"/>
      <c r="KAT112" s="7"/>
      <c r="KAU112" s="7"/>
      <c r="KAV112" s="7"/>
      <c r="KAW112" s="7"/>
      <c r="KAX112" s="7"/>
      <c r="KAY112" s="7"/>
      <c r="KAZ112" s="7"/>
      <c r="KBA112" s="7"/>
      <c r="KBB112" s="7"/>
      <c r="KBC112" s="7"/>
      <c r="KBD112" s="7"/>
      <c r="KBE112" s="7"/>
      <c r="KBF112" s="7"/>
      <c r="KBG112" s="7"/>
      <c r="KBH112" s="7"/>
      <c r="KBI112" s="7"/>
      <c r="KBJ112" s="7"/>
      <c r="KBK112" s="7"/>
      <c r="KBL112" s="7"/>
      <c r="KBM112" s="7"/>
      <c r="KBN112" s="7"/>
      <c r="KBO112" s="7"/>
      <c r="KBP112" s="7"/>
      <c r="KBQ112" s="7"/>
      <c r="KBR112" s="7"/>
      <c r="KBS112" s="7"/>
      <c r="KBT112" s="7"/>
      <c r="KBU112" s="7"/>
      <c r="KBV112" s="7"/>
      <c r="KBW112" s="7"/>
      <c r="KBX112" s="7"/>
      <c r="KBY112" s="7"/>
      <c r="KBZ112" s="7"/>
      <c r="KCA112" s="7"/>
      <c r="KCB112" s="7"/>
      <c r="KCC112" s="7"/>
      <c r="KCD112" s="7"/>
      <c r="KCE112" s="7"/>
      <c r="KCF112" s="7"/>
      <c r="KCG112" s="7"/>
      <c r="KCH112" s="7"/>
      <c r="KCI112" s="7"/>
      <c r="KCJ112" s="7"/>
      <c r="KCK112" s="7"/>
      <c r="KCL112" s="7"/>
      <c r="KCM112" s="7"/>
      <c r="KCN112" s="7"/>
      <c r="KCO112" s="7"/>
      <c r="KCP112" s="7"/>
      <c r="KCQ112" s="7"/>
      <c r="KCR112" s="7"/>
      <c r="KCS112" s="7"/>
      <c r="KCT112" s="7"/>
      <c r="KCU112" s="7"/>
      <c r="KCV112" s="7"/>
      <c r="KCW112" s="7"/>
      <c r="KCX112" s="7"/>
      <c r="KCY112" s="7"/>
      <c r="KCZ112" s="7"/>
      <c r="KDA112" s="7"/>
      <c r="KDB112" s="7"/>
      <c r="KDC112" s="7"/>
      <c r="KDD112" s="7"/>
      <c r="KDE112" s="7"/>
      <c r="KDF112" s="7"/>
      <c r="KDG112" s="7"/>
      <c r="KDH112" s="7"/>
      <c r="KDI112" s="7"/>
      <c r="KDJ112" s="7"/>
      <c r="KDK112" s="7"/>
      <c r="KDL112" s="7"/>
      <c r="KDM112" s="7"/>
      <c r="KDN112" s="7"/>
      <c r="KDO112" s="7"/>
      <c r="KDP112" s="7"/>
      <c r="KDQ112" s="7"/>
      <c r="KDR112" s="7"/>
      <c r="KDS112" s="7"/>
      <c r="KDT112" s="7"/>
      <c r="KDU112" s="7"/>
      <c r="KDV112" s="7"/>
      <c r="KDW112" s="7"/>
      <c r="KDX112" s="7"/>
      <c r="KDY112" s="7"/>
      <c r="KDZ112" s="7"/>
      <c r="KEA112" s="7"/>
      <c r="KEB112" s="7"/>
      <c r="KEC112" s="7"/>
      <c r="KED112" s="7"/>
      <c r="KEE112" s="7"/>
      <c r="KEF112" s="7"/>
      <c r="KEG112" s="7"/>
      <c r="KEH112" s="7"/>
      <c r="KEI112" s="7"/>
      <c r="KEJ112" s="7"/>
      <c r="KEK112" s="7"/>
      <c r="KEL112" s="7"/>
      <c r="KEM112" s="7"/>
      <c r="KEN112" s="7"/>
      <c r="KEO112" s="7"/>
      <c r="KEP112" s="7"/>
      <c r="KEQ112" s="7"/>
      <c r="KER112" s="7"/>
      <c r="KES112" s="7"/>
      <c r="KET112" s="7"/>
      <c r="KEU112" s="7"/>
      <c r="KEV112" s="7"/>
      <c r="KEW112" s="7"/>
      <c r="KEX112" s="7"/>
      <c r="KEY112" s="7"/>
      <c r="KEZ112" s="7"/>
      <c r="KFA112" s="7"/>
      <c r="KFB112" s="7"/>
      <c r="KFC112" s="7"/>
      <c r="KFD112" s="7"/>
      <c r="KFE112" s="7"/>
      <c r="KFF112" s="7"/>
      <c r="KFG112" s="7"/>
      <c r="KFH112" s="7"/>
      <c r="KFI112" s="7"/>
      <c r="KFJ112" s="7"/>
      <c r="KFK112" s="7"/>
      <c r="KFL112" s="7"/>
      <c r="KFM112" s="7"/>
      <c r="KFN112" s="7"/>
      <c r="KFO112" s="7"/>
      <c r="KFP112" s="7"/>
      <c r="KFQ112" s="7"/>
      <c r="KFR112" s="7"/>
      <c r="KFS112" s="7"/>
      <c r="KFT112" s="7"/>
      <c r="KFU112" s="7"/>
      <c r="KFV112" s="7"/>
      <c r="KFW112" s="7"/>
      <c r="KFX112" s="7"/>
      <c r="KFY112" s="7"/>
      <c r="KFZ112" s="7"/>
      <c r="KGA112" s="7"/>
      <c r="KGB112" s="7"/>
      <c r="KGC112" s="7"/>
      <c r="KGD112" s="7"/>
      <c r="KGE112" s="7"/>
      <c r="KGF112" s="7"/>
      <c r="KGG112" s="7"/>
      <c r="KGH112" s="7"/>
      <c r="KGI112" s="7"/>
      <c r="KGJ112" s="7"/>
      <c r="KGK112" s="7"/>
      <c r="KGL112" s="7"/>
      <c r="KGM112" s="7"/>
      <c r="KGN112" s="7"/>
      <c r="KGO112" s="7"/>
      <c r="KGP112" s="7"/>
      <c r="KGQ112" s="7"/>
      <c r="KGR112" s="7"/>
      <c r="KGS112" s="7"/>
      <c r="KGT112" s="7"/>
      <c r="KGU112" s="7"/>
      <c r="KGV112" s="7"/>
      <c r="KGW112" s="7"/>
      <c r="KGX112" s="7"/>
      <c r="KGY112" s="7"/>
      <c r="KGZ112" s="7"/>
      <c r="KHA112" s="7"/>
      <c r="KHB112" s="7"/>
      <c r="KHC112" s="7"/>
      <c r="KHD112" s="7"/>
      <c r="KHE112" s="7"/>
      <c r="KHF112" s="7"/>
      <c r="KHG112" s="7"/>
      <c r="KHH112" s="7"/>
      <c r="KHI112" s="7"/>
      <c r="KHJ112" s="7"/>
      <c r="KHK112" s="7"/>
      <c r="KHL112" s="7"/>
      <c r="KHM112" s="7"/>
      <c r="KHN112" s="7"/>
      <c r="KHO112" s="7"/>
      <c r="KHP112" s="7"/>
      <c r="KHQ112" s="7"/>
      <c r="KHR112" s="7"/>
      <c r="KHS112" s="7"/>
      <c r="KHT112" s="7"/>
      <c r="KHU112" s="7"/>
      <c r="KHV112" s="7"/>
      <c r="KHW112" s="7"/>
      <c r="KHX112" s="7"/>
      <c r="KHY112" s="7"/>
      <c r="KHZ112" s="7"/>
      <c r="KIA112" s="7"/>
      <c r="KIB112" s="7"/>
      <c r="KIC112" s="7"/>
      <c r="KID112" s="7"/>
      <c r="KIE112" s="7"/>
      <c r="KIF112" s="7"/>
      <c r="KIG112" s="7"/>
      <c r="KIH112" s="7"/>
      <c r="KII112" s="7"/>
      <c r="KIJ112" s="7"/>
      <c r="KIK112" s="7"/>
      <c r="KIL112" s="7"/>
      <c r="KIM112" s="7"/>
      <c r="KIN112" s="7"/>
      <c r="KIO112" s="7"/>
      <c r="KIP112" s="7"/>
      <c r="KIQ112" s="7"/>
      <c r="KIR112" s="7"/>
      <c r="KIS112" s="7"/>
      <c r="KIT112" s="7"/>
      <c r="KIU112" s="7"/>
      <c r="KIV112" s="7"/>
      <c r="KIW112" s="7"/>
      <c r="KIX112" s="7"/>
      <c r="KIY112" s="7"/>
      <c r="KIZ112" s="7"/>
      <c r="KJA112" s="7"/>
      <c r="KJB112" s="7"/>
      <c r="KJC112" s="7"/>
      <c r="KJD112" s="7"/>
      <c r="KJE112" s="7"/>
      <c r="KJF112" s="7"/>
      <c r="KJG112" s="7"/>
      <c r="KJH112" s="7"/>
      <c r="KJI112" s="7"/>
      <c r="KJJ112" s="7"/>
      <c r="KJK112" s="7"/>
      <c r="KJL112" s="7"/>
      <c r="KJM112" s="7"/>
      <c r="KJN112" s="7"/>
      <c r="KJO112" s="7"/>
      <c r="KJP112" s="7"/>
      <c r="KJQ112" s="7"/>
      <c r="KJR112" s="7"/>
      <c r="KJS112" s="7"/>
      <c r="KJT112" s="7"/>
      <c r="KJU112" s="7"/>
      <c r="KJV112" s="7"/>
      <c r="KJW112" s="7"/>
      <c r="KJX112" s="7"/>
      <c r="KJY112" s="7"/>
      <c r="KJZ112" s="7"/>
      <c r="KKA112" s="7"/>
      <c r="KKB112" s="7"/>
      <c r="KKC112" s="7"/>
      <c r="KKD112" s="7"/>
      <c r="KKE112" s="7"/>
      <c r="KKF112" s="7"/>
      <c r="KKG112" s="7"/>
      <c r="KKH112" s="7"/>
      <c r="KKI112" s="7"/>
      <c r="KKJ112" s="7"/>
      <c r="KKK112" s="7"/>
      <c r="KKL112" s="7"/>
      <c r="KKM112" s="7"/>
      <c r="KKN112" s="7"/>
      <c r="KKO112" s="7"/>
      <c r="KKP112" s="7"/>
      <c r="KKQ112" s="7"/>
      <c r="KKR112" s="7"/>
      <c r="KKS112" s="7"/>
      <c r="KKT112" s="7"/>
      <c r="KKU112" s="7"/>
      <c r="KKV112" s="7"/>
      <c r="KKW112" s="7"/>
      <c r="KKX112" s="7"/>
      <c r="KKY112" s="7"/>
      <c r="KKZ112" s="7"/>
      <c r="KLA112" s="7"/>
      <c r="KLB112" s="7"/>
      <c r="KLC112" s="7"/>
      <c r="KLD112" s="7"/>
      <c r="KLE112" s="7"/>
      <c r="KLF112" s="7"/>
      <c r="KLG112" s="7"/>
      <c r="KLH112" s="7"/>
      <c r="KLI112" s="7"/>
      <c r="KLJ112" s="7"/>
      <c r="KLK112" s="7"/>
      <c r="KLL112" s="7"/>
      <c r="KLM112" s="7"/>
      <c r="KLN112" s="7"/>
      <c r="KLO112" s="7"/>
      <c r="KLP112" s="7"/>
      <c r="KLQ112" s="7"/>
      <c r="KLR112" s="7"/>
      <c r="KLS112" s="7"/>
      <c r="KLT112" s="7"/>
      <c r="KLU112" s="7"/>
      <c r="KLV112" s="7"/>
      <c r="KLW112" s="7"/>
      <c r="KLX112" s="7"/>
      <c r="KLY112" s="7"/>
      <c r="KLZ112" s="7"/>
      <c r="KMA112" s="7"/>
      <c r="KMB112" s="7"/>
      <c r="KMC112" s="7"/>
      <c r="KMD112" s="7"/>
      <c r="KME112" s="7"/>
      <c r="KMF112" s="7"/>
      <c r="KMG112" s="7"/>
      <c r="KMH112" s="7"/>
      <c r="KMI112" s="7"/>
      <c r="KMJ112" s="7"/>
      <c r="KMK112" s="7"/>
      <c r="KML112" s="7"/>
      <c r="KMM112" s="7"/>
      <c r="KMN112" s="7"/>
      <c r="KMO112" s="7"/>
      <c r="KMP112" s="7"/>
      <c r="KMQ112" s="7"/>
      <c r="KMR112" s="7"/>
      <c r="KMS112" s="7"/>
      <c r="KMT112" s="7"/>
      <c r="KMU112" s="7"/>
      <c r="KMV112" s="7"/>
      <c r="KMW112" s="7"/>
      <c r="KMX112" s="7"/>
      <c r="KMY112" s="7"/>
      <c r="KMZ112" s="7"/>
      <c r="KNA112" s="7"/>
      <c r="KNB112" s="7"/>
      <c r="KNC112" s="7"/>
      <c r="KND112" s="7"/>
      <c r="KNE112" s="7"/>
      <c r="KNF112" s="7"/>
      <c r="KNG112" s="7"/>
      <c r="KNH112" s="7"/>
      <c r="KNI112" s="7"/>
      <c r="KNJ112" s="7"/>
      <c r="KNK112" s="7"/>
      <c r="KNL112" s="7"/>
      <c r="KNM112" s="7"/>
      <c r="KNN112" s="7"/>
      <c r="KNO112" s="7"/>
      <c r="KNP112" s="7"/>
      <c r="KNQ112" s="7"/>
      <c r="KNR112" s="7"/>
      <c r="KNS112" s="7"/>
      <c r="KNT112" s="7"/>
      <c r="KNU112" s="7"/>
      <c r="KNV112" s="7"/>
      <c r="KNW112" s="7"/>
      <c r="KNX112" s="7"/>
      <c r="KNY112" s="7"/>
      <c r="KNZ112" s="7"/>
      <c r="KOA112" s="7"/>
      <c r="KOB112" s="7"/>
      <c r="KOC112" s="7"/>
      <c r="KOD112" s="7"/>
      <c r="KOE112" s="7"/>
      <c r="KOF112" s="7"/>
      <c r="KOG112" s="7"/>
      <c r="KOH112" s="7"/>
      <c r="KOI112" s="7"/>
      <c r="KOJ112" s="7"/>
      <c r="KOK112" s="7"/>
      <c r="KOL112" s="7"/>
      <c r="KOM112" s="7"/>
      <c r="KON112" s="7"/>
      <c r="KOO112" s="7"/>
      <c r="KOP112" s="7"/>
      <c r="KOQ112" s="7"/>
      <c r="KOR112" s="7"/>
      <c r="KOS112" s="7"/>
      <c r="KOT112" s="7"/>
      <c r="KOU112" s="7"/>
      <c r="KOV112" s="7"/>
      <c r="KOW112" s="7"/>
      <c r="KOX112" s="7"/>
      <c r="KOY112" s="7"/>
      <c r="KOZ112" s="7"/>
      <c r="KPA112" s="7"/>
      <c r="KPB112" s="7"/>
      <c r="KPC112" s="7"/>
      <c r="KPD112" s="7"/>
      <c r="KPE112" s="7"/>
      <c r="KPF112" s="7"/>
      <c r="KPG112" s="7"/>
      <c r="KPH112" s="7"/>
      <c r="KPI112" s="7"/>
      <c r="KPJ112" s="7"/>
      <c r="KPK112" s="7"/>
      <c r="KPL112" s="7"/>
      <c r="KPM112" s="7"/>
      <c r="KPN112" s="7"/>
      <c r="KPO112" s="7"/>
      <c r="KPP112" s="7"/>
      <c r="KPQ112" s="7"/>
      <c r="KPR112" s="7"/>
      <c r="KPS112" s="7"/>
      <c r="KPT112" s="7"/>
      <c r="KPU112" s="7"/>
      <c r="KPV112" s="7"/>
      <c r="KPW112" s="7"/>
      <c r="KPX112" s="7"/>
      <c r="KPY112" s="7"/>
      <c r="KPZ112" s="7"/>
      <c r="KQA112" s="7"/>
      <c r="KQB112" s="7"/>
      <c r="KQC112" s="7"/>
      <c r="KQD112" s="7"/>
      <c r="KQE112" s="7"/>
      <c r="KQF112" s="7"/>
      <c r="KQG112" s="7"/>
      <c r="KQH112" s="7"/>
      <c r="KQI112" s="7"/>
      <c r="KQJ112" s="7"/>
      <c r="KQK112" s="7"/>
      <c r="KQL112" s="7"/>
      <c r="KQM112" s="7"/>
      <c r="KQN112" s="7"/>
      <c r="KQO112" s="7"/>
      <c r="KQP112" s="7"/>
      <c r="KQQ112" s="7"/>
      <c r="KQR112" s="7"/>
      <c r="KQS112" s="7"/>
      <c r="KQT112" s="7"/>
      <c r="KQU112" s="7"/>
      <c r="KQV112" s="7"/>
      <c r="KQW112" s="7"/>
      <c r="KQX112" s="7"/>
      <c r="KQY112" s="7"/>
      <c r="KQZ112" s="7"/>
      <c r="KRA112" s="7"/>
      <c r="KRB112" s="7"/>
      <c r="KRC112" s="7"/>
      <c r="KRD112" s="7"/>
      <c r="KRE112" s="7"/>
      <c r="KRF112" s="7"/>
      <c r="KRG112" s="7"/>
      <c r="KRH112" s="7"/>
      <c r="KRI112" s="7"/>
      <c r="KRJ112" s="7"/>
      <c r="KRK112" s="7"/>
      <c r="KRL112" s="7"/>
      <c r="KRM112" s="7"/>
      <c r="KRN112" s="7"/>
      <c r="KRO112" s="7"/>
      <c r="KRP112" s="7"/>
      <c r="KRQ112" s="7"/>
      <c r="KRR112" s="7"/>
      <c r="KRS112" s="7"/>
      <c r="KRT112" s="7"/>
      <c r="KRU112" s="7"/>
      <c r="KRV112" s="7"/>
      <c r="KRW112" s="7"/>
      <c r="KRX112" s="7"/>
      <c r="KRY112" s="7"/>
      <c r="KRZ112" s="7"/>
      <c r="KSA112" s="7"/>
      <c r="KSB112" s="7"/>
      <c r="KSC112" s="7"/>
      <c r="KSD112" s="7"/>
      <c r="KSE112" s="7"/>
      <c r="KSF112" s="7"/>
      <c r="KSG112" s="7"/>
      <c r="KSH112" s="7"/>
      <c r="KSI112" s="7"/>
      <c r="KSJ112" s="7"/>
      <c r="KSK112" s="7"/>
      <c r="KSL112" s="7"/>
      <c r="KSM112" s="7"/>
      <c r="KSN112" s="7"/>
      <c r="KSO112" s="7"/>
      <c r="KSP112" s="7"/>
      <c r="KSQ112" s="7"/>
      <c r="KSR112" s="7"/>
      <c r="KSS112" s="7"/>
      <c r="KST112" s="7"/>
      <c r="KSU112" s="7"/>
      <c r="KSV112" s="7"/>
      <c r="KSW112" s="7"/>
      <c r="KSX112" s="7"/>
      <c r="KSY112" s="7"/>
      <c r="KSZ112" s="7"/>
      <c r="KTA112" s="7"/>
      <c r="KTB112" s="7"/>
      <c r="KTC112" s="7"/>
      <c r="KTD112" s="7"/>
      <c r="KTE112" s="7"/>
      <c r="KTF112" s="7"/>
      <c r="KTG112" s="7"/>
      <c r="KTH112" s="7"/>
      <c r="KTI112" s="7"/>
      <c r="KTJ112" s="7"/>
      <c r="KTK112" s="7"/>
      <c r="KTL112" s="7"/>
      <c r="KTM112" s="7"/>
      <c r="KTN112" s="7"/>
      <c r="KTO112" s="7"/>
      <c r="KTP112" s="7"/>
      <c r="KTQ112" s="7"/>
      <c r="KTR112" s="7"/>
      <c r="KTS112" s="7"/>
      <c r="KTT112" s="7"/>
      <c r="KTU112" s="7"/>
      <c r="KTV112" s="7"/>
      <c r="KTW112" s="7"/>
      <c r="KTX112" s="7"/>
      <c r="KTY112" s="7"/>
      <c r="KTZ112" s="7"/>
      <c r="KUA112" s="7"/>
      <c r="KUB112" s="7"/>
      <c r="KUC112" s="7"/>
      <c r="KUD112" s="7"/>
      <c r="KUE112" s="7"/>
      <c r="KUF112" s="7"/>
      <c r="KUG112" s="7"/>
      <c r="KUH112" s="7"/>
      <c r="KUI112" s="7"/>
      <c r="KUJ112" s="7"/>
      <c r="KUK112" s="7"/>
      <c r="KUL112" s="7"/>
      <c r="KUM112" s="7"/>
      <c r="KUN112" s="7"/>
      <c r="KUO112" s="7"/>
      <c r="KUP112" s="7"/>
      <c r="KUQ112" s="7"/>
      <c r="KUR112" s="7"/>
      <c r="KUS112" s="7"/>
      <c r="KUT112" s="7"/>
      <c r="KUU112" s="7"/>
      <c r="KUV112" s="7"/>
      <c r="KUW112" s="7"/>
      <c r="KUX112" s="7"/>
      <c r="KUY112" s="7"/>
      <c r="KUZ112" s="7"/>
      <c r="KVA112" s="7"/>
      <c r="KVB112" s="7"/>
      <c r="KVC112" s="7"/>
      <c r="KVD112" s="7"/>
      <c r="KVE112" s="7"/>
      <c r="KVF112" s="7"/>
      <c r="KVG112" s="7"/>
      <c r="KVH112" s="7"/>
      <c r="KVI112" s="7"/>
      <c r="KVJ112" s="7"/>
      <c r="KVK112" s="7"/>
      <c r="KVL112" s="7"/>
      <c r="KVM112" s="7"/>
      <c r="KVN112" s="7"/>
      <c r="KVO112" s="7"/>
      <c r="KVP112" s="7"/>
      <c r="KVQ112" s="7"/>
      <c r="KVR112" s="7"/>
      <c r="KVS112" s="7"/>
      <c r="KVT112" s="7"/>
      <c r="KVU112" s="7"/>
      <c r="KVV112" s="7"/>
      <c r="KVW112" s="7"/>
      <c r="KVX112" s="7"/>
      <c r="KVY112" s="7"/>
      <c r="KVZ112" s="7"/>
      <c r="KWA112" s="7"/>
      <c r="KWB112" s="7"/>
      <c r="KWC112" s="7"/>
      <c r="KWD112" s="7"/>
      <c r="KWE112" s="7"/>
      <c r="KWF112" s="7"/>
      <c r="KWG112" s="7"/>
      <c r="KWH112" s="7"/>
      <c r="KWI112" s="7"/>
      <c r="KWJ112" s="7"/>
      <c r="KWK112" s="7"/>
      <c r="KWL112" s="7"/>
      <c r="KWM112" s="7"/>
      <c r="KWN112" s="7"/>
      <c r="KWO112" s="7"/>
      <c r="KWP112" s="7"/>
      <c r="KWQ112" s="7"/>
      <c r="KWR112" s="7"/>
      <c r="KWS112" s="7"/>
      <c r="KWT112" s="7"/>
      <c r="KWU112" s="7"/>
      <c r="KWV112" s="7"/>
      <c r="KWW112" s="7"/>
      <c r="KWX112" s="7"/>
      <c r="KWY112" s="7"/>
      <c r="KWZ112" s="7"/>
      <c r="KXA112" s="7"/>
      <c r="KXB112" s="7"/>
      <c r="KXC112" s="7"/>
      <c r="KXD112" s="7"/>
      <c r="KXE112" s="7"/>
      <c r="KXF112" s="7"/>
      <c r="KXG112" s="7"/>
      <c r="KXH112" s="7"/>
      <c r="KXI112" s="7"/>
      <c r="KXJ112" s="7"/>
      <c r="KXK112" s="7"/>
      <c r="KXL112" s="7"/>
      <c r="KXM112" s="7"/>
      <c r="KXN112" s="7"/>
      <c r="KXO112" s="7"/>
      <c r="KXP112" s="7"/>
      <c r="KXQ112" s="7"/>
      <c r="KXR112" s="7"/>
      <c r="KXS112" s="7"/>
      <c r="KXT112" s="7"/>
      <c r="KXU112" s="7"/>
      <c r="KXV112" s="7"/>
      <c r="KXW112" s="7"/>
      <c r="KXX112" s="7"/>
      <c r="KXY112" s="7"/>
      <c r="KXZ112" s="7"/>
      <c r="KYA112" s="7"/>
      <c r="KYB112" s="7"/>
      <c r="KYC112" s="7"/>
      <c r="KYD112" s="7"/>
      <c r="KYE112" s="7"/>
      <c r="KYF112" s="7"/>
      <c r="KYG112" s="7"/>
      <c r="KYH112" s="7"/>
      <c r="KYI112" s="7"/>
      <c r="KYJ112" s="7"/>
      <c r="KYK112" s="7"/>
      <c r="KYL112" s="7"/>
      <c r="KYM112" s="7"/>
      <c r="KYN112" s="7"/>
      <c r="KYO112" s="7"/>
      <c r="KYP112" s="7"/>
      <c r="KYQ112" s="7"/>
      <c r="KYR112" s="7"/>
      <c r="KYS112" s="7"/>
      <c r="KYT112" s="7"/>
      <c r="KYU112" s="7"/>
      <c r="KYV112" s="7"/>
      <c r="KYW112" s="7"/>
      <c r="KYX112" s="7"/>
      <c r="KYY112" s="7"/>
      <c r="KYZ112" s="7"/>
      <c r="KZA112" s="7"/>
      <c r="KZB112" s="7"/>
      <c r="KZC112" s="7"/>
      <c r="KZD112" s="7"/>
      <c r="KZE112" s="7"/>
      <c r="KZF112" s="7"/>
      <c r="KZG112" s="7"/>
      <c r="KZH112" s="7"/>
      <c r="KZI112" s="7"/>
      <c r="KZJ112" s="7"/>
      <c r="KZK112" s="7"/>
      <c r="KZL112" s="7"/>
      <c r="KZM112" s="7"/>
      <c r="KZN112" s="7"/>
      <c r="KZO112" s="7"/>
      <c r="KZP112" s="7"/>
      <c r="KZQ112" s="7"/>
      <c r="KZR112" s="7"/>
      <c r="KZS112" s="7"/>
      <c r="KZT112" s="7"/>
      <c r="KZU112" s="7"/>
      <c r="KZV112" s="7"/>
      <c r="KZW112" s="7"/>
      <c r="KZX112" s="7"/>
      <c r="KZY112" s="7"/>
      <c r="KZZ112" s="7"/>
      <c r="LAA112" s="7"/>
      <c r="LAB112" s="7"/>
      <c r="LAC112" s="7"/>
      <c r="LAD112" s="7"/>
      <c r="LAE112" s="7"/>
      <c r="LAF112" s="7"/>
      <c r="LAG112" s="7"/>
      <c r="LAH112" s="7"/>
      <c r="LAI112" s="7"/>
      <c r="LAJ112" s="7"/>
      <c r="LAK112" s="7"/>
      <c r="LAL112" s="7"/>
      <c r="LAM112" s="7"/>
      <c r="LAN112" s="7"/>
      <c r="LAO112" s="7"/>
      <c r="LAP112" s="7"/>
      <c r="LAQ112" s="7"/>
      <c r="LAR112" s="7"/>
      <c r="LAS112" s="7"/>
      <c r="LAT112" s="7"/>
      <c r="LAU112" s="7"/>
      <c r="LAV112" s="7"/>
      <c r="LAW112" s="7"/>
      <c r="LAX112" s="7"/>
      <c r="LAY112" s="7"/>
      <c r="LAZ112" s="7"/>
      <c r="LBA112" s="7"/>
      <c r="LBB112" s="7"/>
      <c r="LBC112" s="7"/>
      <c r="LBD112" s="7"/>
      <c r="LBE112" s="7"/>
      <c r="LBF112" s="7"/>
      <c r="LBG112" s="7"/>
      <c r="LBH112" s="7"/>
      <c r="LBI112" s="7"/>
      <c r="LBJ112" s="7"/>
      <c r="LBK112" s="7"/>
      <c r="LBL112" s="7"/>
      <c r="LBM112" s="7"/>
      <c r="LBN112" s="7"/>
      <c r="LBO112" s="7"/>
      <c r="LBP112" s="7"/>
      <c r="LBQ112" s="7"/>
      <c r="LBR112" s="7"/>
      <c r="LBS112" s="7"/>
      <c r="LBT112" s="7"/>
      <c r="LBU112" s="7"/>
      <c r="LBV112" s="7"/>
      <c r="LBW112" s="7"/>
      <c r="LBX112" s="7"/>
      <c r="LBY112" s="7"/>
      <c r="LBZ112" s="7"/>
      <c r="LCA112" s="7"/>
      <c r="LCB112" s="7"/>
      <c r="LCC112" s="7"/>
      <c r="LCD112" s="7"/>
      <c r="LCE112" s="7"/>
      <c r="LCF112" s="7"/>
      <c r="LCG112" s="7"/>
      <c r="LCH112" s="7"/>
      <c r="LCI112" s="7"/>
      <c r="LCJ112" s="7"/>
      <c r="LCK112" s="7"/>
      <c r="LCL112" s="7"/>
      <c r="LCM112" s="7"/>
      <c r="LCN112" s="7"/>
      <c r="LCO112" s="7"/>
      <c r="LCP112" s="7"/>
      <c r="LCQ112" s="7"/>
      <c r="LCR112" s="7"/>
      <c r="LCS112" s="7"/>
      <c r="LCT112" s="7"/>
      <c r="LCU112" s="7"/>
      <c r="LCV112" s="7"/>
      <c r="LCW112" s="7"/>
      <c r="LCX112" s="7"/>
      <c r="LCY112" s="7"/>
      <c r="LCZ112" s="7"/>
      <c r="LDA112" s="7"/>
      <c r="LDB112" s="7"/>
      <c r="LDC112" s="7"/>
      <c r="LDD112" s="7"/>
      <c r="LDE112" s="7"/>
      <c r="LDF112" s="7"/>
      <c r="LDG112" s="7"/>
      <c r="LDH112" s="7"/>
      <c r="LDI112" s="7"/>
      <c r="LDJ112" s="7"/>
      <c r="LDK112" s="7"/>
      <c r="LDL112" s="7"/>
      <c r="LDM112" s="7"/>
      <c r="LDN112" s="7"/>
      <c r="LDO112" s="7"/>
      <c r="LDP112" s="7"/>
      <c r="LDQ112" s="7"/>
      <c r="LDR112" s="7"/>
      <c r="LDS112" s="7"/>
      <c r="LDT112" s="7"/>
      <c r="LDU112" s="7"/>
      <c r="LDV112" s="7"/>
      <c r="LDW112" s="7"/>
      <c r="LDX112" s="7"/>
      <c r="LDY112" s="7"/>
      <c r="LDZ112" s="7"/>
      <c r="LEA112" s="7"/>
      <c r="LEB112" s="7"/>
      <c r="LEC112" s="7"/>
      <c r="LED112" s="7"/>
      <c r="LEE112" s="7"/>
      <c r="LEF112" s="7"/>
      <c r="LEG112" s="7"/>
      <c r="LEH112" s="7"/>
      <c r="LEI112" s="7"/>
      <c r="LEJ112" s="7"/>
      <c r="LEK112" s="7"/>
      <c r="LEL112" s="7"/>
      <c r="LEM112" s="7"/>
      <c r="LEN112" s="7"/>
      <c r="LEO112" s="7"/>
      <c r="LEP112" s="7"/>
      <c r="LEQ112" s="7"/>
      <c r="LER112" s="7"/>
      <c r="LES112" s="7"/>
      <c r="LET112" s="7"/>
      <c r="LEU112" s="7"/>
      <c r="LEV112" s="7"/>
      <c r="LEW112" s="7"/>
      <c r="LEX112" s="7"/>
      <c r="LEY112" s="7"/>
      <c r="LEZ112" s="7"/>
      <c r="LFA112" s="7"/>
      <c r="LFB112" s="7"/>
      <c r="LFC112" s="7"/>
      <c r="LFD112" s="7"/>
      <c r="LFE112" s="7"/>
      <c r="LFF112" s="7"/>
      <c r="LFG112" s="7"/>
      <c r="LFH112" s="7"/>
      <c r="LFI112" s="7"/>
      <c r="LFJ112" s="7"/>
      <c r="LFK112" s="7"/>
      <c r="LFL112" s="7"/>
      <c r="LFM112" s="7"/>
      <c r="LFN112" s="7"/>
      <c r="LFO112" s="7"/>
      <c r="LFP112" s="7"/>
      <c r="LFQ112" s="7"/>
      <c r="LFR112" s="7"/>
      <c r="LFS112" s="7"/>
      <c r="LFT112" s="7"/>
      <c r="LFU112" s="7"/>
      <c r="LFV112" s="7"/>
      <c r="LFW112" s="7"/>
      <c r="LFX112" s="7"/>
      <c r="LFY112" s="7"/>
      <c r="LFZ112" s="7"/>
      <c r="LGA112" s="7"/>
      <c r="LGB112" s="7"/>
      <c r="LGC112" s="7"/>
      <c r="LGD112" s="7"/>
      <c r="LGE112" s="7"/>
      <c r="LGF112" s="7"/>
      <c r="LGG112" s="7"/>
      <c r="LGH112" s="7"/>
      <c r="LGI112" s="7"/>
      <c r="LGJ112" s="7"/>
      <c r="LGK112" s="7"/>
      <c r="LGL112" s="7"/>
      <c r="LGM112" s="7"/>
      <c r="LGN112" s="7"/>
      <c r="LGO112" s="7"/>
      <c r="LGP112" s="7"/>
      <c r="LGQ112" s="7"/>
      <c r="LGR112" s="7"/>
      <c r="LGS112" s="7"/>
      <c r="LGT112" s="7"/>
      <c r="LGU112" s="7"/>
      <c r="LGV112" s="7"/>
      <c r="LGW112" s="7"/>
      <c r="LGX112" s="7"/>
      <c r="LGY112" s="7"/>
      <c r="LGZ112" s="7"/>
      <c r="LHA112" s="7"/>
      <c r="LHB112" s="7"/>
      <c r="LHC112" s="7"/>
      <c r="LHD112" s="7"/>
      <c r="LHE112" s="7"/>
      <c r="LHF112" s="7"/>
      <c r="LHG112" s="7"/>
      <c r="LHH112" s="7"/>
      <c r="LHI112" s="7"/>
      <c r="LHJ112" s="7"/>
      <c r="LHK112" s="7"/>
      <c r="LHL112" s="7"/>
      <c r="LHM112" s="7"/>
      <c r="LHN112" s="7"/>
      <c r="LHO112" s="7"/>
      <c r="LHP112" s="7"/>
      <c r="LHQ112" s="7"/>
      <c r="LHR112" s="7"/>
      <c r="LHS112" s="7"/>
      <c r="LHT112" s="7"/>
      <c r="LHU112" s="7"/>
      <c r="LHV112" s="7"/>
      <c r="LHW112" s="7"/>
      <c r="LHX112" s="7"/>
      <c r="LHY112" s="7"/>
      <c r="LHZ112" s="7"/>
      <c r="LIA112" s="7"/>
      <c r="LIB112" s="7"/>
      <c r="LIC112" s="7"/>
      <c r="LID112" s="7"/>
      <c r="LIE112" s="7"/>
      <c r="LIF112" s="7"/>
      <c r="LIG112" s="7"/>
      <c r="LIH112" s="7"/>
      <c r="LII112" s="7"/>
      <c r="LIJ112" s="7"/>
      <c r="LIK112" s="7"/>
      <c r="LIL112" s="7"/>
      <c r="LIM112" s="7"/>
      <c r="LIN112" s="7"/>
      <c r="LIO112" s="7"/>
      <c r="LIP112" s="7"/>
      <c r="LIQ112" s="7"/>
      <c r="LIR112" s="7"/>
      <c r="LIS112" s="7"/>
      <c r="LIT112" s="7"/>
      <c r="LIU112" s="7"/>
      <c r="LIV112" s="7"/>
      <c r="LIW112" s="7"/>
      <c r="LIX112" s="7"/>
      <c r="LIY112" s="7"/>
      <c r="LIZ112" s="7"/>
      <c r="LJA112" s="7"/>
      <c r="LJB112" s="7"/>
      <c r="LJC112" s="7"/>
      <c r="LJD112" s="7"/>
      <c r="LJE112" s="7"/>
      <c r="LJF112" s="7"/>
      <c r="LJG112" s="7"/>
      <c r="LJH112" s="7"/>
      <c r="LJI112" s="7"/>
      <c r="LJJ112" s="7"/>
      <c r="LJK112" s="7"/>
      <c r="LJL112" s="7"/>
      <c r="LJM112" s="7"/>
      <c r="LJN112" s="7"/>
      <c r="LJO112" s="7"/>
      <c r="LJP112" s="7"/>
      <c r="LJQ112" s="7"/>
      <c r="LJR112" s="7"/>
      <c r="LJS112" s="7"/>
      <c r="LJT112" s="7"/>
      <c r="LJU112" s="7"/>
      <c r="LJV112" s="7"/>
      <c r="LJW112" s="7"/>
      <c r="LJX112" s="7"/>
      <c r="LJY112" s="7"/>
      <c r="LJZ112" s="7"/>
      <c r="LKA112" s="7"/>
      <c r="LKB112" s="7"/>
      <c r="LKC112" s="7"/>
      <c r="LKD112" s="7"/>
      <c r="LKE112" s="7"/>
      <c r="LKF112" s="7"/>
      <c r="LKG112" s="7"/>
      <c r="LKH112" s="7"/>
      <c r="LKI112" s="7"/>
      <c r="LKJ112" s="7"/>
      <c r="LKK112" s="7"/>
      <c r="LKL112" s="7"/>
      <c r="LKM112" s="7"/>
      <c r="LKN112" s="7"/>
      <c r="LKO112" s="7"/>
      <c r="LKP112" s="7"/>
      <c r="LKQ112" s="7"/>
      <c r="LKR112" s="7"/>
      <c r="LKS112" s="7"/>
      <c r="LKT112" s="7"/>
      <c r="LKU112" s="7"/>
      <c r="LKV112" s="7"/>
      <c r="LKW112" s="7"/>
      <c r="LKX112" s="7"/>
      <c r="LKY112" s="7"/>
      <c r="LKZ112" s="7"/>
      <c r="LLA112" s="7"/>
      <c r="LLB112" s="7"/>
      <c r="LLC112" s="7"/>
      <c r="LLD112" s="7"/>
      <c r="LLE112" s="7"/>
      <c r="LLF112" s="7"/>
      <c r="LLG112" s="7"/>
      <c r="LLH112" s="7"/>
      <c r="LLI112" s="7"/>
      <c r="LLJ112" s="7"/>
      <c r="LLK112" s="7"/>
      <c r="LLL112" s="7"/>
      <c r="LLM112" s="7"/>
      <c r="LLN112" s="7"/>
      <c r="LLO112" s="7"/>
      <c r="LLP112" s="7"/>
      <c r="LLQ112" s="7"/>
      <c r="LLR112" s="7"/>
      <c r="LLS112" s="7"/>
      <c r="LLT112" s="7"/>
      <c r="LLU112" s="7"/>
      <c r="LLV112" s="7"/>
      <c r="LLW112" s="7"/>
      <c r="LLX112" s="7"/>
      <c r="LLY112" s="7"/>
      <c r="LLZ112" s="7"/>
      <c r="LMA112" s="7"/>
      <c r="LMB112" s="7"/>
      <c r="LMC112" s="7"/>
      <c r="LMD112" s="7"/>
      <c r="LME112" s="7"/>
      <c r="LMF112" s="7"/>
      <c r="LMG112" s="7"/>
      <c r="LMH112" s="7"/>
      <c r="LMI112" s="7"/>
      <c r="LMJ112" s="7"/>
      <c r="LMK112" s="7"/>
      <c r="LML112" s="7"/>
      <c r="LMM112" s="7"/>
      <c r="LMN112" s="7"/>
      <c r="LMO112" s="7"/>
      <c r="LMP112" s="7"/>
      <c r="LMQ112" s="7"/>
      <c r="LMR112" s="7"/>
      <c r="LMS112" s="7"/>
      <c r="LMT112" s="7"/>
      <c r="LMU112" s="7"/>
      <c r="LMV112" s="7"/>
      <c r="LMW112" s="7"/>
      <c r="LMX112" s="7"/>
      <c r="LMY112" s="7"/>
      <c r="LMZ112" s="7"/>
      <c r="LNA112" s="7"/>
      <c r="LNB112" s="7"/>
      <c r="LNC112" s="7"/>
      <c r="LND112" s="7"/>
      <c r="LNE112" s="7"/>
      <c r="LNF112" s="7"/>
      <c r="LNG112" s="7"/>
      <c r="LNH112" s="7"/>
      <c r="LNI112" s="7"/>
      <c r="LNJ112" s="7"/>
      <c r="LNK112" s="7"/>
      <c r="LNL112" s="7"/>
      <c r="LNM112" s="7"/>
      <c r="LNN112" s="7"/>
      <c r="LNO112" s="7"/>
      <c r="LNP112" s="7"/>
      <c r="LNQ112" s="7"/>
      <c r="LNR112" s="7"/>
      <c r="LNS112" s="7"/>
      <c r="LNT112" s="7"/>
      <c r="LNU112" s="7"/>
      <c r="LNV112" s="7"/>
      <c r="LNW112" s="7"/>
      <c r="LNX112" s="7"/>
      <c r="LNY112" s="7"/>
      <c r="LNZ112" s="7"/>
      <c r="LOA112" s="7"/>
      <c r="LOB112" s="7"/>
      <c r="LOC112" s="7"/>
      <c r="LOD112" s="7"/>
      <c r="LOE112" s="7"/>
      <c r="LOF112" s="7"/>
      <c r="LOG112" s="7"/>
      <c r="LOH112" s="7"/>
      <c r="LOI112" s="7"/>
      <c r="LOJ112" s="7"/>
      <c r="LOK112" s="7"/>
      <c r="LOL112" s="7"/>
      <c r="LOM112" s="7"/>
      <c r="LON112" s="7"/>
      <c r="LOO112" s="7"/>
      <c r="LOP112" s="7"/>
      <c r="LOQ112" s="7"/>
      <c r="LOR112" s="7"/>
      <c r="LOS112" s="7"/>
      <c r="LOT112" s="7"/>
      <c r="LOU112" s="7"/>
      <c r="LOV112" s="7"/>
      <c r="LOW112" s="7"/>
      <c r="LOX112" s="7"/>
      <c r="LOY112" s="7"/>
      <c r="LOZ112" s="7"/>
      <c r="LPA112" s="7"/>
      <c r="LPB112" s="7"/>
      <c r="LPC112" s="7"/>
      <c r="LPD112" s="7"/>
      <c r="LPE112" s="7"/>
      <c r="LPF112" s="7"/>
      <c r="LPG112" s="7"/>
      <c r="LPH112" s="7"/>
      <c r="LPI112" s="7"/>
      <c r="LPJ112" s="7"/>
      <c r="LPK112" s="7"/>
      <c r="LPL112" s="7"/>
      <c r="LPM112" s="7"/>
      <c r="LPN112" s="7"/>
      <c r="LPO112" s="7"/>
      <c r="LPP112" s="7"/>
      <c r="LPQ112" s="7"/>
      <c r="LPR112" s="7"/>
      <c r="LPS112" s="7"/>
      <c r="LPT112" s="7"/>
      <c r="LPU112" s="7"/>
      <c r="LPV112" s="7"/>
      <c r="LPW112" s="7"/>
      <c r="LPX112" s="7"/>
      <c r="LPY112" s="7"/>
      <c r="LPZ112" s="7"/>
      <c r="LQA112" s="7"/>
      <c r="LQB112" s="7"/>
      <c r="LQC112" s="7"/>
      <c r="LQD112" s="7"/>
      <c r="LQE112" s="7"/>
      <c r="LQF112" s="7"/>
      <c r="LQG112" s="7"/>
      <c r="LQH112" s="7"/>
      <c r="LQI112" s="7"/>
      <c r="LQJ112" s="7"/>
      <c r="LQK112" s="7"/>
      <c r="LQL112" s="7"/>
      <c r="LQM112" s="7"/>
      <c r="LQN112" s="7"/>
      <c r="LQO112" s="7"/>
      <c r="LQP112" s="7"/>
      <c r="LQQ112" s="7"/>
      <c r="LQR112" s="7"/>
      <c r="LQS112" s="7"/>
      <c r="LQT112" s="7"/>
      <c r="LQU112" s="7"/>
      <c r="LQV112" s="7"/>
      <c r="LQW112" s="7"/>
      <c r="LQX112" s="7"/>
      <c r="LQY112" s="7"/>
      <c r="LQZ112" s="7"/>
      <c r="LRA112" s="7"/>
      <c r="LRB112" s="7"/>
      <c r="LRC112" s="7"/>
      <c r="LRD112" s="7"/>
      <c r="LRE112" s="7"/>
      <c r="LRF112" s="7"/>
      <c r="LRG112" s="7"/>
      <c r="LRH112" s="7"/>
      <c r="LRI112" s="7"/>
      <c r="LRJ112" s="7"/>
      <c r="LRK112" s="7"/>
      <c r="LRL112" s="7"/>
      <c r="LRM112" s="7"/>
      <c r="LRN112" s="7"/>
      <c r="LRO112" s="7"/>
      <c r="LRP112" s="7"/>
      <c r="LRQ112" s="7"/>
      <c r="LRR112" s="7"/>
      <c r="LRS112" s="7"/>
      <c r="LRT112" s="7"/>
      <c r="LRU112" s="7"/>
      <c r="LRV112" s="7"/>
      <c r="LRW112" s="7"/>
      <c r="LRX112" s="7"/>
      <c r="LRY112" s="7"/>
      <c r="LRZ112" s="7"/>
      <c r="LSA112" s="7"/>
      <c r="LSB112" s="7"/>
      <c r="LSC112" s="7"/>
      <c r="LSD112" s="7"/>
      <c r="LSE112" s="7"/>
      <c r="LSF112" s="7"/>
      <c r="LSG112" s="7"/>
      <c r="LSH112" s="7"/>
      <c r="LSI112" s="7"/>
      <c r="LSJ112" s="7"/>
      <c r="LSK112" s="7"/>
      <c r="LSL112" s="7"/>
      <c r="LSM112" s="7"/>
      <c r="LSN112" s="7"/>
      <c r="LSO112" s="7"/>
      <c r="LSP112" s="7"/>
      <c r="LSQ112" s="7"/>
      <c r="LSR112" s="7"/>
      <c r="LSS112" s="7"/>
      <c r="LST112" s="7"/>
      <c r="LSU112" s="7"/>
      <c r="LSV112" s="7"/>
      <c r="LSW112" s="7"/>
      <c r="LSX112" s="7"/>
      <c r="LSY112" s="7"/>
      <c r="LSZ112" s="7"/>
      <c r="LTA112" s="7"/>
      <c r="LTB112" s="7"/>
      <c r="LTC112" s="7"/>
      <c r="LTD112" s="7"/>
      <c r="LTE112" s="7"/>
      <c r="LTF112" s="7"/>
      <c r="LTG112" s="7"/>
      <c r="LTH112" s="7"/>
      <c r="LTI112" s="7"/>
      <c r="LTJ112" s="7"/>
      <c r="LTK112" s="7"/>
      <c r="LTL112" s="7"/>
      <c r="LTM112" s="7"/>
      <c r="LTN112" s="7"/>
      <c r="LTO112" s="7"/>
      <c r="LTP112" s="7"/>
      <c r="LTQ112" s="7"/>
      <c r="LTR112" s="7"/>
      <c r="LTS112" s="7"/>
      <c r="LTT112" s="7"/>
      <c r="LTU112" s="7"/>
      <c r="LTV112" s="7"/>
      <c r="LTW112" s="7"/>
      <c r="LTX112" s="7"/>
      <c r="LTY112" s="7"/>
      <c r="LTZ112" s="7"/>
      <c r="LUA112" s="7"/>
      <c r="LUB112" s="7"/>
      <c r="LUC112" s="7"/>
      <c r="LUD112" s="7"/>
      <c r="LUE112" s="7"/>
      <c r="LUF112" s="7"/>
      <c r="LUG112" s="7"/>
      <c r="LUH112" s="7"/>
      <c r="LUI112" s="7"/>
      <c r="LUJ112" s="7"/>
      <c r="LUK112" s="7"/>
      <c r="LUL112" s="7"/>
      <c r="LUM112" s="7"/>
      <c r="LUN112" s="7"/>
      <c r="LUO112" s="7"/>
      <c r="LUP112" s="7"/>
      <c r="LUQ112" s="7"/>
      <c r="LUR112" s="7"/>
      <c r="LUS112" s="7"/>
      <c r="LUT112" s="7"/>
      <c r="LUU112" s="7"/>
      <c r="LUV112" s="7"/>
      <c r="LUW112" s="7"/>
      <c r="LUX112" s="7"/>
      <c r="LUY112" s="7"/>
      <c r="LUZ112" s="7"/>
      <c r="LVA112" s="7"/>
      <c r="LVB112" s="7"/>
      <c r="LVC112" s="7"/>
      <c r="LVD112" s="7"/>
      <c r="LVE112" s="7"/>
      <c r="LVF112" s="7"/>
      <c r="LVG112" s="7"/>
      <c r="LVH112" s="7"/>
      <c r="LVI112" s="7"/>
      <c r="LVJ112" s="7"/>
      <c r="LVK112" s="7"/>
      <c r="LVL112" s="7"/>
      <c r="LVM112" s="7"/>
      <c r="LVN112" s="7"/>
      <c r="LVO112" s="7"/>
      <c r="LVP112" s="7"/>
      <c r="LVQ112" s="7"/>
      <c r="LVR112" s="7"/>
      <c r="LVS112" s="7"/>
      <c r="LVT112" s="7"/>
      <c r="LVU112" s="7"/>
      <c r="LVV112" s="7"/>
      <c r="LVW112" s="7"/>
      <c r="LVX112" s="7"/>
      <c r="LVY112" s="7"/>
      <c r="LVZ112" s="7"/>
      <c r="LWA112" s="7"/>
      <c r="LWB112" s="7"/>
      <c r="LWC112" s="7"/>
      <c r="LWD112" s="7"/>
      <c r="LWE112" s="7"/>
      <c r="LWF112" s="7"/>
      <c r="LWG112" s="7"/>
      <c r="LWH112" s="7"/>
      <c r="LWI112" s="7"/>
      <c r="LWJ112" s="7"/>
      <c r="LWK112" s="7"/>
      <c r="LWL112" s="7"/>
      <c r="LWM112" s="7"/>
      <c r="LWN112" s="7"/>
      <c r="LWO112" s="7"/>
      <c r="LWP112" s="7"/>
      <c r="LWQ112" s="7"/>
      <c r="LWR112" s="7"/>
      <c r="LWS112" s="7"/>
      <c r="LWT112" s="7"/>
      <c r="LWU112" s="7"/>
      <c r="LWV112" s="7"/>
      <c r="LWW112" s="7"/>
      <c r="LWX112" s="7"/>
      <c r="LWY112" s="7"/>
      <c r="LWZ112" s="7"/>
      <c r="LXA112" s="7"/>
      <c r="LXB112" s="7"/>
      <c r="LXC112" s="7"/>
      <c r="LXD112" s="7"/>
      <c r="LXE112" s="7"/>
      <c r="LXF112" s="7"/>
      <c r="LXG112" s="7"/>
      <c r="LXH112" s="7"/>
      <c r="LXI112" s="7"/>
      <c r="LXJ112" s="7"/>
      <c r="LXK112" s="7"/>
      <c r="LXL112" s="7"/>
      <c r="LXM112" s="7"/>
      <c r="LXN112" s="7"/>
      <c r="LXO112" s="7"/>
      <c r="LXP112" s="7"/>
      <c r="LXQ112" s="7"/>
      <c r="LXR112" s="7"/>
      <c r="LXS112" s="7"/>
      <c r="LXT112" s="7"/>
      <c r="LXU112" s="7"/>
      <c r="LXV112" s="7"/>
      <c r="LXW112" s="7"/>
      <c r="LXX112" s="7"/>
      <c r="LXY112" s="7"/>
      <c r="LXZ112" s="7"/>
      <c r="LYA112" s="7"/>
      <c r="LYB112" s="7"/>
      <c r="LYC112" s="7"/>
      <c r="LYD112" s="7"/>
      <c r="LYE112" s="7"/>
      <c r="LYF112" s="7"/>
      <c r="LYG112" s="7"/>
      <c r="LYH112" s="7"/>
      <c r="LYI112" s="7"/>
      <c r="LYJ112" s="7"/>
      <c r="LYK112" s="7"/>
      <c r="LYL112" s="7"/>
      <c r="LYM112" s="7"/>
      <c r="LYN112" s="7"/>
      <c r="LYO112" s="7"/>
      <c r="LYP112" s="7"/>
      <c r="LYQ112" s="7"/>
      <c r="LYR112" s="7"/>
      <c r="LYS112" s="7"/>
      <c r="LYT112" s="7"/>
      <c r="LYU112" s="7"/>
      <c r="LYV112" s="7"/>
      <c r="LYW112" s="7"/>
      <c r="LYX112" s="7"/>
      <c r="LYY112" s="7"/>
      <c r="LYZ112" s="7"/>
      <c r="LZA112" s="7"/>
      <c r="LZB112" s="7"/>
      <c r="LZC112" s="7"/>
      <c r="LZD112" s="7"/>
      <c r="LZE112" s="7"/>
      <c r="LZF112" s="7"/>
      <c r="LZG112" s="7"/>
      <c r="LZH112" s="7"/>
      <c r="LZI112" s="7"/>
      <c r="LZJ112" s="7"/>
      <c r="LZK112" s="7"/>
      <c r="LZL112" s="7"/>
      <c r="LZM112" s="7"/>
      <c r="LZN112" s="7"/>
      <c r="LZO112" s="7"/>
      <c r="LZP112" s="7"/>
      <c r="LZQ112" s="7"/>
      <c r="LZR112" s="7"/>
      <c r="LZS112" s="7"/>
      <c r="LZT112" s="7"/>
      <c r="LZU112" s="7"/>
      <c r="LZV112" s="7"/>
      <c r="LZW112" s="7"/>
      <c r="LZX112" s="7"/>
      <c r="LZY112" s="7"/>
      <c r="LZZ112" s="7"/>
      <c r="MAA112" s="7"/>
      <c r="MAB112" s="7"/>
      <c r="MAC112" s="7"/>
      <c r="MAD112" s="7"/>
      <c r="MAE112" s="7"/>
      <c r="MAF112" s="7"/>
      <c r="MAG112" s="7"/>
      <c r="MAH112" s="7"/>
      <c r="MAI112" s="7"/>
      <c r="MAJ112" s="7"/>
      <c r="MAK112" s="7"/>
      <c r="MAL112" s="7"/>
      <c r="MAM112" s="7"/>
      <c r="MAN112" s="7"/>
      <c r="MAO112" s="7"/>
      <c r="MAP112" s="7"/>
      <c r="MAQ112" s="7"/>
      <c r="MAR112" s="7"/>
      <c r="MAS112" s="7"/>
      <c r="MAT112" s="7"/>
      <c r="MAU112" s="7"/>
      <c r="MAV112" s="7"/>
      <c r="MAW112" s="7"/>
      <c r="MAX112" s="7"/>
      <c r="MAY112" s="7"/>
      <c r="MAZ112" s="7"/>
      <c r="MBA112" s="7"/>
      <c r="MBB112" s="7"/>
      <c r="MBC112" s="7"/>
      <c r="MBD112" s="7"/>
      <c r="MBE112" s="7"/>
      <c r="MBF112" s="7"/>
      <c r="MBG112" s="7"/>
      <c r="MBH112" s="7"/>
      <c r="MBI112" s="7"/>
      <c r="MBJ112" s="7"/>
      <c r="MBK112" s="7"/>
      <c r="MBL112" s="7"/>
      <c r="MBM112" s="7"/>
      <c r="MBN112" s="7"/>
      <c r="MBO112" s="7"/>
      <c r="MBP112" s="7"/>
      <c r="MBQ112" s="7"/>
      <c r="MBR112" s="7"/>
      <c r="MBS112" s="7"/>
      <c r="MBT112" s="7"/>
      <c r="MBU112" s="7"/>
      <c r="MBV112" s="7"/>
      <c r="MBW112" s="7"/>
      <c r="MBX112" s="7"/>
      <c r="MBY112" s="7"/>
      <c r="MBZ112" s="7"/>
      <c r="MCA112" s="7"/>
      <c r="MCB112" s="7"/>
      <c r="MCC112" s="7"/>
      <c r="MCD112" s="7"/>
      <c r="MCE112" s="7"/>
      <c r="MCF112" s="7"/>
      <c r="MCG112" s="7"/>
      <c r="MCH112" s="7"/>
      <c r="MCI112" s="7"/>
      <c r="MCJ112" s="7"/>
      <c r="MCK112" s="7"/>
      <c r="MCL112" s="7"/>
      <c r="MCM112" s="7"/>
      <c r="MCN112" s="7"/>
      <c r="MCO112" s="7"/>
      <c r="MCP112" s="7"/>
      <c r="MCQ112" s="7"/>
      <c r="MCR112" s="7"/>
      <c r="MCS112" s="7"/>
      <c r="MCT112" s="7"/>
      <c r="MCU112" s="7"/>
      <c r="MCV112" s="7"/>
      <c r="MCW112" s="7"/>
      <c r="MCX112" s="7"/>
      <c r="MCY112" s="7"/>
      <c r="MCZ112" s="7"/>
      <c r="MDA112" s="7"/>
      <c r="MDB112" s="7"/>
      <c r="MDC112" s="7"/>
      <c r="MDD112" s="7"/>
      <c r="MDE112" s="7"/>
      <c r="MDF112" s="7"/>
      <c r="MDG112" s="7"/>
      <c r="MDH112" s="7"/>
      <c r="MDI112" s="7"/>
      <c r="MDJ112" s="7"/>
      <c r="MDK112" s="7"/>
      <c r="MDL112" s="7"/>
      <c r="MDM112" s="7"/>
      <c r="MDN112" s="7"/>
      <c r="MDO112" s="7"/>
      <c r="MDP112" s="7"/>
      <c r="MDQ112" s="7"/>
      <c r="MDR112" s="7"/>
      <c r="MDS112" s="7"/>
      <c r="MDT112" s="7"/>
      <c r="MDU112" s="7"/>
      <c r="MDV112" s="7"/>
      <c r="MDW112" s="7"/>
      <c r="MDX112" s="7"/>
      <c r="MDY112" s="7"/>
      <c r="MDZ112" s="7"/>
      <c r="MEA112" s="7"/>
      <c r="MEB112" s="7"/>
      <c r="MEC112" s="7"/>
      <c r="MED112" s="7"/>
      <c r="MEE112" s="7"/>
      <c r="MEF112" s="7"/>
      <c r="MEG112" s="7"/>
      <c r="MEH112" s="7"/>
      <c r="MEI112" s="7"/>
      <c r="MEJ112" s="7"/>
      <c r="MEK112" s="7"/>
      <c r="MEL112" s="7"/>
      <c r="MEM112" s="7"/>
      <c r="MEN112" s="7"/>
      <c r="MEO112" s="7"/>
      <c r="MEP112" s="7"/>
      <c r="MEQ112" s="7"/>
      <c r="MER112" s="7"/>
      <c r="MES112" s="7"/>
      <c r="MET112" s="7"/>
      <c r="MEU112" s="7"/>
      <c r="MEV112" s="7"/>
      <c r="MEW112" s="7"/>
      <c r="MEX112" s="7"/>
      <c r="MEY112" s="7"/>
      <c r="MEZ112" s="7"/>
      <c r="MFA112" s="7"/>
      <c r="MFB112" s="7"/>
      <c r="MFC112" s="7"/>
      <c r="MFD112" s="7"/>
      <c r="MFE112" s="7"/>
      <c r="MFF112" s="7"/>
      <c r="MFG112" s="7"/>
      <c r="MFH112" s="7"/>
      <c r="MFI112" s="7"/>
      <c r="MFJ112" s="7"/>
      <c r="MFK112" s="7"/>
      <c r="MFL112" s="7"/>
      <c r="MFM112" s="7"/>
      <c r="MFN112" s="7"/>
      <c r="MFO112" s="7"/>
      <c r="MFP112" s="7"/>
      <c r="MFQ112" s="7"/>
      <c r="MFR112" s="7"/>
      <c r="MFS112" s="7"/>
      <c r="MFT112" s="7"/>
      <c r="MFU112" s="7"/>
      <c r="MFV112" s="7"/>
      <c r="MFW112" s="7"/>
      <c r="MFX112" s="7"/>
      <c r="MFY112" s="7"/>
      <c r="MFZ112" s="7"/>
      <c r="MGA112" s="7"/>
      <c r="MGB112" s="7"/>
      <c r="MGC112" s="7"/>
      <c r="MGD112" s="7"/>
      <c r="MGE112" s="7"/>
      <c r="MGF112" s="7"/>
      <c r="MGG112" s="7"/>
      <c r="MGH112" s="7"/>
      <c r="MGI112" s="7"/>
      <c r="MGJ112" s="7"/>
      <c r="MGK112" s="7"/>
      <c r="MGL112" s="7"/>
      <c r="MGM112" s="7"/>
      <c r="MGN112" s="7"/>
      <c r="MGO112" s="7"/>
      <c r="MGP112" s="7"/>
      <c r="MGQ112" s="7"/>
      <c r="MGR112" s="7"/>
      <c r="MGS112" s="7"/>
      <c r="MGT112" s="7"/>
      <c r="MGU112" s="7"/>
      <c r="MGV112" s="7"/>
      <c r="MGW112" s="7"/>
      <c r="MGX112" s="7"/>
      <c r="MGY112" s="7"/>
      <c r="MGZ112" s="7"/>
      <c r="MHA112" s="7"/>
      <c r="MHB112" s="7"/>
      <c r="MHC112" s="7"/>
      <c r="MHD112" s="7"/>
      <c r="MHE112" s="7"/>
      <c r="MHF112" s="7"/>
      <c r="MHG112" s="7"/>
      <c r="MHH112" s="7"/>
      <c r="MHI112" s="7"/>
      <c r="MHJ112" s="7"/>
      <c r="MHK112" s="7"/>
      <c r="MHL112" s="7"/>
      <c r="MHM112" s="7"/>
      <c r="MHN112" s="7"/>
      <c r="MHO112" s="7"/>
      <c r="MHP112" s="7"/>
      <c r="MHQ112" s="7"/>
      <c r="MHR112" s="7"/>
      <c r="MHS112" s="7"/>
      <c r="MHT112" s="7"/>
      <c r="MHU112" s="7"/>
      <c r="MHV112" s="7"/>
      <c r="MHW112" s="7"/>
      <c r="MHX112" s="7"/>
      <c r="MHY112" s="7"/>
      <c r="MHZ112" s="7"/>
      <c r="MIA112" s="7"/>
      <c r="MIB112" s="7"/>
      <c r="MIC112" s="7"/>
      <c r="MID112" s="7"/>
      <c r="MIE112" s="7"/>
      <c r="MIF112" s="7"/>
      <c r="MIG112" s="7"/>
      <c r="MIH112" s="7"/>
      <c r="MII112" s="7"/>
      <c r="MIJ112" s="7"/>
      <c r="MIK112" s="7"/>
      <c r="MIL112" s="7"/>
      <c r="MIM112" s="7"/>
      <c r="MIN112" s="7"/>
      <c r="MIO112" s="7"/>
      <c r="MIP112" s="7"/>
      <c r="MIQ112" s="7"/>
      <c r="MIR112" s="7"/>
      <c r="MIS112" s="7"/>
      <c r="MIT112" s="7"/>
      <c r="MIU112" s="7"/>
      <c r="MIV112" s="7"/>
      <c r="MIW112" s="7"/>
      <c r="MIX112" s="7"/>
      <c r="MIY112" s="7"/>
      <c r="MIZ112" s="7"/>
      <c r="MJA112" s="7"/>
      <c r="MJB112" s="7"/>
      <c r="MJC112" s="7"/>
      <c r="MJD112" s="7"/>
      <c r="MJE112" s="7"/>
      <c r="MJF112" s="7"/>
      <c r="MJG112" s="7"/>
      <c r="MJH112" s="7"/>
      <c r="MJI112" s="7"/>
      <c r="MJJ112" s="7"/>
      <c r="MJK112" s="7"/>
      <c r="MJL112" s="7"/>
      <c r="MJM112" s="7"/>
      <c r="MJN112" s="7"/>
      <c r="MJO112" s="7"/>
      <c r="MJP112" s="7"/>
      <c r="MJQ112" s="7"/>
      <c r="MJR112" s="7"/>
      <c r="MJS112" s="7"/>
      <c r="MJT112" s="7"/>
      <c r="MJU112" s="7"/>
      <c r="MJV112" s="7"/>
      <c r="MJW112" s="7"/>
      <c r="MJX112" s="7"/>
      <c r="MJY112" s="7"/>
      <c r="MJZ112" s="7"/>
      <c r="MKA112" s="7"/>
      <c r="MKB112" s="7"/>
      <c r="MKC112" s="7"/>
      <c r="MKD112" s="7"/>
      <c r="MKE112" s="7"/>
      <c r="MKF112" s="7"/>
      <c r="MKG112" s="7"/>
      <c r="MKH112" s="7"/>
      <c r="MKI112" s="7"/>
      <c r="MKJ112" s="7"/>
      <c r="MKK112" s="7"/>
      <c r="MKL112" s="7"/>
      <c r="MKM112" s="7"/>
      <c r="MKN112" s="7"/>
      <c r="MKO112" s="7"/>
      <c r="MKP112" s="7"/>
      <c r="MKQ112" s="7"/>
      <c r="MKR112" s="7"/>
      <c r="MKS112" s="7"/>
      <c r="MKT112" s="7"/>
      <c r="MKU112" s="7"/>
      <c r="MKV112" s="7"/>
      <c r="MKW112" s="7"/>
      <c r="MKX112" s="7"/>
      <c r="MKY112" s="7"/>
      <c r="MKZ112" s="7"/>
      <c r="MLA112" s="7"/>
      <c r="MLB112" s="7"/>
      <c r="MLC112" s="7"/>
      <c r="MLD112" s="7"/>
      <c r="MLE112" s="7"/>
      <c r="MLF112" s="7"/>
      <c r="MLG112" s="7"/>
      <c r="MLH112" s="7"/>
      <c r="MLI112" s="7"/>
      <c r="MLJ112" s="7"/>
      <c r="MLK112" s="7"/>
      <c r="MLL112" s="7"/>
      <c r="MLM112" s="7"/>
      <c r="MLN112" s="7"/>
      <c r="MLO112" s="7"/>
      <c r="MLP112" s="7"/>
      <c r="MLQ112" s="7"/>
      <c r="MLR112" s="7"/>
      <c r="MLS112" s="7"/>
      <c r="MLT112" s="7"/>
      <c r="MLU112" s="7"/>
      <c r="MLV112" s="7"/>
      <c r="MLW112" s="7"/>
      <c r="MLX112" s="7"/>
      <c r="MLY112" s="7"/>
      <c r="MLZ112" s="7"/>
      <c r="MMA112" s="7"/>
      <c r="MMB112" s="7"/>
      <c r="MMC112" s="7"/>
      <c r="MMD112" s="7"/>
      <c r="MME112" s="7"/>
      <c r="MMF112" s="7"/>
      <c r="MMG112" s="7"/>
      <c r="MMH112" s="7"/>
      <c r="MMI112" s="7"/>
      <c r="MMJ112" s="7"/>
      <c r="MMK112" s="7"/>
      <c r="MML112" s="7"/>
      <c r="MMM112" s="7"/>
      <c r="MMN112" s="7"/>
      <c r="MMO112" s="7"/>
      <c r="MMP112" s="7"/>
      <c r="MMQ112" s="7"/>
      <c r="MMR112" s="7"/>
      <c r="MMS112" s="7"/>
      <c r="MMT112" s="7"/>
      <c r="MMU112" s="7"/>
      <c r="MMV112" s="7"/>
      <c r="MMW112" s="7"/>
      <c r="MMX112" s="7"/>
      <c r="MMY112" s="7"/>
      <c r="MMZ112" s="7"/>
      <c r="MNA112" s="7"/>
      <c r="MNB112" s="7"/>
      <c r="MNC112" s="7"/>
      <c r="MND112" s="7"/>
      <c r="MNE112" s="7"/>
      <c r="MNF112" s="7"/>
      <c r="MNG112" s="7"/>
      <c r="MNH112" s="7"/>
      <c r="MNI112" s="7"/>
      <c r="MNJ112" s="7"/>
      <c r="MNK112" s="7"/>
      <c r="MNL112" s="7"/>
      <c r="MNM112" s="7"/>
      <c r="MNN112" s="7"/>
      <c r="MNO112" s="7"/>
      <c r="MNP112" s="7"/>
      <c r="MNQ112" s="7"/>
      <c r="MNR112" s="7"/>
      <c r="MNS112" s="7"/>
      <c r="MNT112" s="7"/>
      <c r="MNU112" s="7"/>
      <c r="MNV112" s="7"/>
      <c r="MNW112" s="7"/>
      <c r="MNX112" s="7"/>
      <c r="MNY112" s="7"/>
      <c r="MNZ112" s="7"/>
      <c r="MOA112" s="7"/>
      <c r="MOB112" s="7"/>
      <c r="MOC112" s="7"/>
      <c r="MOD112" s="7"/>
      <c r="MOE112" s="7"/>
      <c r="MOF112" s="7"/>
      <c r="MOG112" s="7"/>
      <c r="MOH112" s="7"/>
      <c r="MOI112" s="7"/>
      <c r="MOJ112" s="7"/>
      <c r="MOK112" s="7"/>
      <c r="MOL112" s="7"/>
      <c r="MOM112" s="7"/>
      <c r="MON112" s="7"/>
      <c r="MOO112" s="7"/>
      <c r="MOP112" s="7"/>
      <c r="MOQ112" s="7"/>
      <c r="MOR112" s="7"/>
      <c r="MOS112" s="7"/>
      <c r="MOT112" s="7"/>
      <c r="MOU112" s="7"/>
      <c r="MOV112" s="7"/>
      <c r="MOW112" s="7"/>
      <c r="MOX112" s="7"/>
      <c r="MOY112" s="7"/>
      <c r="MOZ112" s="7"/>
      <c r="MPA112" s="7"/>
      <c r="MPB112" s="7"/>
      <c r="MPC112" s="7"/>
      <c r="MPD112" s="7"/>
      <c r="MPE112" s="7"/>
      <c r="MPF112" s="7"/>
      <c r="MPG112" s="7"/>
      <c r="MPH112" s="7"/>
      <c r="MPI112" s="7"/>
      <c r="MPJ112" s="7"/>
      <c r="MPK112" s="7"/>
      <c r="MPL112" s="7"/>
      <c r="MPM112" s="7"/>
      <c r="MPN112" s="7"/>
      <c r="MPO112" s="7"/>
      <c r="MPP112" s="7"/>
      <c r="MPQ112" s="7"/>
      <c r="MPR112" s="7"/>
      <c r="MPS112" s="7"/>
      <c r="MPT112" s="7"/>
      <c r="MPU112" s="7"/>
      <c r="MPV112" s="7"/>
      <c r="MPW112" s="7"/>
      <c r="MPX112" s="7"/>
      <c r="MPY112" s="7"/>
      <c r="MPZ112" s="7"/>
      <c r="MQA112" s="7"/>
      <c r="MQB112" s="7"/>
      <c r="MQC112" s="7"/>
      <c r="MQD112" s="7"/>
      <c r="MQE112" s="7"/>
      <c r="MQF112" s="7"/>
      <c r="MQG112" s="7"/>
      <c r="MQH112" s="7"/>
      <c r="MQI112" s="7"/>
      <c r="MQJ112" s="7"/>
      <c r="MQK112" s="7"/>
      <c r="MQL112" s="7"/>
      <c r="MQM112" s="7"/>
      <c r="MQN112" s="7"/>
      <c r="MQO112" s="7"/>
      <c r="MQP112" s="7"/>
      <c r="MQQ112" s="7"/>
      <c r="MQR112" s="7"/>
      <c r="MQS112" s="7"/>
      <c r="MQT112" s="7"/>
      <c r="MQU112" s="7"/>
      <c r="MQV112" s="7"/>
      <c r="MQW112" s="7"/>
      <c r="MQX112" s="7"/>
      <c r="MQY112" s="7"/>
      <c r="MQZ112" s="7"/>
      <c r="MRA112" s="7"/>
      <c r="MRB112" s="7"/>
      <c r="MRC112" s="7"/>
      <c r="MRD112" s="7"/>
      <c r="MRE112" s="7"/>
      <c r="MRF112" s="7"/>
      <c r="MRG112" s="7"/>
      <c r="MRH112" s="7"/>
      <c r="MRI112" s="7"/>
      <c r="MRJ112" s="7"/>
      <c r="MRK112" s="7"/>
      <c r="MRL112" s="7"/>
      <c r="MRM112" s="7"/>
      <c r="MRN112" s="7"/>
      <c r="MRO112" s="7"/>
      <c r="MRP112" s="7"/>
      <c r="MRQ112" s="7"/>
      <c r="MRR112" s="7"/>
      <c r="MRS112" s="7"/>
      <c r="MRT112" s="7"/>
      <c r="MRU112" s="7"/>
      <c r="MRV112" s="7"/>
      <c r="MRW112" s="7"/>
      <c r="MRX112" s="7"/>
      <c r="MRY112" s="7"/>
      <c r="MRZ112" s="7"/>
      <c r="MSA112" s="7"/>
      <c r="MSB112" s="7"/>
      <c r="MSC112" s="7"/>
      <c r="MSD112" s="7"/>
      <c r="MSE112" s="7"/>
      <c r="MSF112" s="7"/>
      <c r="MSG112" s="7"/>
      <c r="MSH112" s="7"/>
      <c r="MSI112" s="7"/>
      <c r="MSJ112" s="7"/>
      <c r="MSK112" s="7"/>
      <c r="MSL112" s="7"/>
      <c r="MSM112" s="7"/>
      <c r="MSN112" s="7"/>
      <c r="MSO112" s="7"/>
      <c r="MSP112" s="7"/>
      <c r="MSQ112" s="7"/>
      <c r="MSR112" s="7"/>
      <c r="MSS112" s="7"/>
      <c r="MST112" s="7"/>
      <c r="MSU112" s="7"/>
      <c r="MSV112" s="7"/>
      <c r="MSW112" s="7"/>
      <c r="MSX112" s="7"/>
      <c r="MSY112" s="7"/>
      <c r="MSZ112" s="7"/>
      <c r="MTA112" s="7"/>
      <c r="MTB112" s="7"/>
      <c r="MTC112" s="7"/>
      <c r="MTD112" s="7"/>
      <c r="MTE112" s="7"/>
      <c r="MTF112" s="7"/>
      <c r="MTG112" s="7"/>
      <c r="MTH112" s="7"/>
      <c r="MTI112" s="7"/>
      <c r="MTJ112" s="7"/>
      <c r="MTK112" s="7"/>
      <c r="MTL112" s="7"/>
      <c r="MTM112" s="7"/>
      <c r="MTN112" s="7"/>
      <c r="MTO112" s="7"/>
      <c r="MTP112" s="7"/>
      <c r="MTQ112" s="7"/>
      <c r="MTR112" s="7"/>
      <c r="MTS112" s="7"/>
      <c r="MTT112" s="7"/>
      <c r="MTU112" s="7"/>
      <c r="MTV112" s="7"/>
      <c r="MTW112" s="7"/>
      <c r="MTX112" s="7"/>
      <c r="MTY112" s="7"/>
      <c r="MTZ112" s="7"/>
      <c r="MUA112" s="7"/>
      <c r="MUB112" s="7"/>
      <c r="MUC112" s="7"/>
      <c r="MUD112" s="7"/>
      <c r="MUE112" s="7"/>
      <c r="MUF112" s="7"/>
      <c r="MUG112" s="7"/>
      <c r="MUH112" s="7"/>
      <c r="MUI112" s="7"/>
      <c r="MUJ112" s="7"/>
      <c r="MUK112" s="7"/>
      <c r="MUL112" s="7"/>
      <c r="MUM112" s="7"/>
      <c r="MUN112" s="7"/>
      <c r="MUO112" s="7"/>
      <c r="MUP112" s="7"/>
      <c r="MUQ112" s="7"/>
      <c r="MUR112" s="7"/>
      <c r="MUS112" s="7"/>
      <c r="MUT112" s="7"/>
      <c r="MUU112" s="7"/>
      <c r="MUV112" s="7"/>
      <c r="MUW112" s="7"/>
      <c r="MUX112" s="7"/>
      <c r="MUY112" s="7"/>
      <c r="MUZ112" s="7"/>
      <c r="MVA112" s="7"/>
      <c r="MVB112" s="7"/>
      <c r="MVC112" s="7"/>
      <c r="MVD112" s="7"/>
      <c r="MVE112" s="7"/>
      <c r="MVF112" s="7"/>
      <c r="MVG112" s="7"/>
      <c r="MVH112" s="7"/>
      <c r="MVI112" s="7"/>
      <c r="MVJ112" s="7"/>
      <c r="MVK112" s="7"/>
      <c r="MVL112" s="7"/>
      <c r="MVM112" s="7"/>
      <c r="MVN112" s="7"/>
      <c r="MVO112" s="7"/>
      <c r="MVP112" s="7"/>
      <c r="MVQ112" s="7"/>
      <c r="MVR112" s="7"/>
      <c r="MVS112" s="7"/>
      <c r="MVT112" s="7"/>
      <c r="MVU112" s="7"/>
      <c r="MVV112" s="7"/>
      <c r="MVW112" s="7"/>
      <c r="MVX112" s="7"/>
      <c r="MVY112" s="7"/>
      <c r="MVZ112" s="7"/>
      <c r="MWA112" s="7"/>
      <c r="MWB112" s="7"/>
      <c r="MWC112" s="7"/>
      <c r="MWD112" s="7"/>
      <c r="MWE112" s="7"/>
      <c r="MWF112" s="7"/>
      <c r="MWG112" s="7"/>
      <c r="MWH112" s="7"/>
      <c r="MWI112" s="7"/>
      <c r="MWJ112" s="7"/>
      <c r="MWK112" s="7"/>
      <c r="MWL112" s="7"/>
      <c r="MWM112" s="7"/>
      <c r="MWN112" s="7"/>
      <c r="MWO112" s="7"/>
      <c r="MWP112" s="7"/>
      <c r="MWQ112" s="7"/>
      <c r="MWR112" s="7"/>
      <c r="MWS112" s="7"/>
      <c r="MWT112" s="7"/>
      <c r="MWU112" s="7"/>
      <c r="MWV112" s="7"/>
      <c r="MWW112" s="7"/>
      <c r="MWX112" s="7"/>
      <c r="MWY112" s="7"/>
      <c r="MWZ112" s="7"/>
      <c r="MXA112" s="7"/>
      <c r="MXB112" s="7"/>
      <c r="MXC112" s="7"/>
      <c r="MXD112" s="7"/>
      <c r="MXE112" s="7"/>
      <c r="MXF112" s="7"/>
      <c r="MXG112" s="7"/>
      <c r="MXH112" s="7"/>
      <c r="MXI112" s="7"/>
      <c r="MXJ112" s="7"/>
      <c r="MXK112" s="7"/>
      <c r="MXL112" s="7"/>
      <c r="MXM112" s="7"/>
      <c r="MXN112" s="7"/>
      <c r="MXO112" s="7"/>
      <c r="MXP112" s="7"/>
      <c r="MXQ112" s="7"/>
      <c r="MXR112" s="7"/>
      <c r="MXS112" s="7"/>
      <c r="MXT112" s="7"/>
      <c r="MXU112" s="7"/>
      <c r="MXV112" s="7"/>
      <c r="MXW112" s="7"/>
      <c r="MXX112" s="7"/>
      <c r="MXY112" s="7"/>
      <c r="MXZ112" s="7"/>
      <c r="MYA112" s="7"/>
      <c r="MYB112" s="7"/>
      <c r="MYC112" s="7"/>
      <c r="MYD112" s="7"/>
      <c r="MYE112" s="7"/>
      <c r="MYF112" s="7"/>
      <c r="MYG112" s="7"/>
      <c r="MYH112" s="7"/>
      <c r="MYI112" s="7"/>
      <c r="MYJ112" s="7"/>
      <c r="MYK112" s="7"/>
      <c r="MYL112" s="7"/>
      <c r="MYM112" s="7"/>
      <c r="MYN112" s="7"/>
      <c r="MYO112" s="7"/>
      <c r="MYP112" s="7"/>
      <c r="MYQ112" s="7"/>
      <c r="MYR112" s="7"/>
      <c r="MYS112" s="7"/>
      <c r="MYT112" s="7"/>
      <c r="MYU112" s="7"/>
      <c r="MYV112" s="7"/>
      <c r="MYW112" s="7"/>
      <c r="MYX112" s="7"/>
      <c r="MYY112" s="7"/>
      <c r="MYZ112" s="7"/>
      <c r="MZA112" s="7"/>
      <c r="MZB112" s="7"/>
      <c r="MZC112" s="7"/>
      <c r="MZD112" s="7"/>
      <c r="MZE112" s="7"/>
      <c r="MZF112" s="7"/>
      <c r="MZG112" s="7"/>
      <c r="MZH112" s="7"/>
      <c r="MZI112" s="7"/>
      <c r="MZJ112" s="7"/>
      <c r="MZK112" s="7"/>
      <c r="MZL112" s="7"/>
      <c r="MZM112" s="7"/>
      <c r="MZN112" s="7"/>
      <c r="MZO112" s="7"/>
      <c r="MZP112" s="7"/>
      <c r="MZQ112" s="7"/>
      <c r="MZR112" s="7"/>
      <c r="MZS112" s="7"/>
      <c r="MZT112" s="7"/>
      <c r="MZU112" s="7"/>
      <c r="MZV112" s="7"/>
      <c r="MZW112" s="7"/>
      <c r="MZX112" s="7"/>
      <c r="MZY112" s="7"/>
      <c r="MZZ112" s="7"/>
      <c r="NAA112" s="7"/>
      <c r="NAB112" s="7"/>
      <c r="NAC112" s="7"/>
      <c r="NAD112" s="7"/>
      <c r="NAE112" s="7"/>
      <c r="NAF112" s="7"/>
      <c r="NAG112" s="7"/>
      <c r="NAH112" s="7"/>
      <c r="NAI112" s="7"/>
      <c r="NAJ112" s="7"/>
      <c r="NAK112" s="7"/>
      <c r="NAL112" s="7"/>
      <c r="NAM112" s="7"/>
      <c r="NAN112" s="7"/>
      <c r="NAO112" s="7"/>
      <c r="NAP112" s="7"/>
      <c r="NAQ112" s="7"/>
      <c r="NAR112" s="7"/>
      <c r="NAS112" s="7"/>
      <c r="NAT112" s="7"/>
      <c r="NAU112" s="7"/>
      <c r="NAV112" s="7"/>
      <c r="NAW112" s="7"/>
      <c r="NAX112" s="7"/>
      <c r="NAY112" s="7"/>
      <c r="NAZ112" s="7"/>
      <c r="NBA112" s="7"/>
      <c r="NBB112" s="7"/>
      <c r="NBC112" s="7"/>
      <c r="NBD112" s="7"/>
      <c r="NBE112" s="7"/>
      <c r="NBF112" s="7"/>
      <c r="NBG112" s="7"/>
      <c r="NBH112" s="7"/>
      <c r="NBI112" s="7"/>
      <c r="NBJ112" s="7"/>
      <c r="NBK112" s="7"/>
      <c r="NBL112" s="7"/>
      <c r="NBM112" s="7"/>
      <c r="NBN112" s="7"/>
      <c r="NBO112" s="7"/>
      <c r="NBP112" s="7"/>
      <c r="NBQ112" s="7"/>
      <c r="NBR112" s="7"/>
      <c r="NBS112" s="7"/>
      <c r="NBT112" s="7"/>
      <c r="NBU112" s="7"/>
      <c r="NBV112" s="7"/>
      <c r="NBW112" s="7"/>
      <c r="NBX112" s="7"/>
      <c r="NBY112" s="7"/>
      <c r="NBZ112" s="7"/>
      <c r="NCA112" s="7"/>
      <c r="NCB112" s="7"/>
      <c r="NCC112" s="7"/>
      <c r="NCD112" s="7"/>
      <c r="NCE112" s="7"/>
      <c r="NCF112" s="7"/>
      <c r="NCG112" s="7"/>
      <c r="NCH112" s="7"/>
      <c r="NCI112" s="7"/>
      <c r="NCJ112" s="7"/>
      <c r="NCK112" s="7"/>
      <c r="NCL112" s="7"/>
      <c r="NCM112" s="7"/>
      <c r="NCN112" s="7"/>
      <c r="NCO112" s="7"/>
      <c r="NCP112" s="7"/>
      <c r="NCQ112" s="7"/>
      <c r="NCR112" s="7"/>
      <c r="NCS112" s="7"/>
      <c r="NCT112" s="7"/>
      <c r="NCU112" s="7"/>
      <c r="NCV112" s="7"/>
      <c r="NCW112" s="7"/>
      <c r="NCX112" s="7"/>
      <c r="NCY112" s="7"/>
      <c r="NCZ112" s="7"/>
      <c r="NDA112" s="7"/>
      <c r="NDB112" s="7"/>
      <c r="NDC112" s="7"/>
      <c r="NDD112" s="7"/>
      <c r="NDE112" s="7"/>
      <c r="NDF112" s="7"/>
      <c r="NDG112" s="7"/>
      <c r="NDH112" s="7"/>
      <c r="NDI112" s="7"/>
      <c r="NDJ112" s="7"/>
      <c r="NDK112" s="7"/>
      <c r="NDL112" s="7"/>
      <c r="NDM112" s="7"/>
      <c r="NDN112" s="7"/>
      <c r="NDO112" s="7"/>
      <c r="NDP112" s="7"/>
      <c r="NDQ112" s="7"/>
      <c r="NDR112" s="7"/>
      <c r="NDS112" s="7"/>
      <c r="NDT112" s="7"/>
      <c r="NDU112" s="7"/>
      <c r="NDV112" s="7"/>
      <c r="NDW112" s="7"/>
      <c r="NDX112" s="7"/>
      <c r="NDY112" s="7"/>
      <c r="NDZ112" s="7"/>
      <c r="NEA112" s="7"/>
      <c r="NEB112" s="7"/>
      <c r="NEC112" s="7"/>
      <c r="NED112" s="7"/>
      <c r="NEE112" s="7"/>
      <c r="NEF112" s="7"/>
      <c r="NEG112" s="7"/>
      <c r="NEH112" s="7"/>
      <c r="NEI112" s="7"/>
      <c r="NEJ112" s="7"/>
      <c r="NEK112" s="7"/>
      <c r="NEL112" s="7"/>
      <c r="NEM112" s="7"/>
      <c r="NEN112" s="7"/>
      <c r="NEO112" s="7"/>
      <c r="NEP112" s="7"/>
      <c r="NEQ112" s="7"/>
      <c r="NER112" s="7"/>
      <c r="NES112" s="7"/>
      <c r="NET112" s="7"/>
      <c r="NEU112" s="7"/>
      <c r="NEV112" s="7"/>
      <c r="NEW112" s="7"/>
      <c r="NEX112" s="7"/>
      <c r="NEY112" s="7"/>
      <c r="NEZ112" s="7"/>
      <c r="NFA112" s="7"/>
      <c r="NFB112" s="7"/>
      <c r="NFC112" s="7"/>
      <c r="NFD112" s="7"/>
      <c r="NFE112" s="7"/>
      <c r="NFF112" s="7"/>
      <c r="NFG112" s="7"/>
      <c r="NFH112" s="7"/>
      <c r="NFI112" s="7"/>
      <c r="NFJ112" s="7"/>
      <c r="NFK112" s="7"/>
      <c r="NFL112" s="7"/>
      <c r="NFM112" s="7"/>
      <c r="NFN112" s="7"/>
      <c r="NFO112" s="7"/>
      <c r="NFP112" s="7"/>
      <c r="NFQ112" s="7"/>
      <c r="NFR112" s="7"/>
      <c r="NFS112" s="7"/>
      <c r="NFT112" s="7"/>
      <c r="NFU112" s="7"/>
      <c r="NFV112" s="7"/>
      <c r="NFW112" s="7"/>
      <c r="NFX112" s="7"/>
      <c r="NFY112" s="7"/>
      <c r="NFZ112" s="7"/>
      <c r="NGA112" s="7"/>
      <c r="NGB112" s="7"/>
      <c r="NGC112" s="7"/>
      <c r="NGD112" s="7"/>
      <c r="NGE112" s="7"/>
      <c r="NGF112" s="7"/>
      <c r="NGG112" s="7"/>
      <c r="NGH112" s="7"/>
      <c r="NGI112" s="7"/>
      <c r="NGJ112" s="7"/>
      <c r="NGK112" s="7"/>
      <c r="NGL112" s="7"/>
      <c r="NGM112" s="7"/>
      <c r="NGN112" s="7"/>
      <c r="NGO112" s="7"/>
      <c r="NGP112" s="7"/>
      <c r="NGQ112" s="7"/>
      <c r="NGR112" s="7"/>
      <c r="NGS112" s="7"/>
      <c r="NGT112" s="7"/>
      <c r="NGU112" s="7"/>
      <c r="NGV112" s="7"/>
      <c r="NGW112" s="7"/>
      <c r="NGX112" s="7"/>
      <c r="NGY112" s="7"/>
      <c r="NGZ112" s="7"/>
      <c r="NHA112" s="7"/>
      <c r="NHB112" s="7"/>
      <c r="NHC112" s="7"/>
      <c r="NHD112" s="7"/>
      <c r="NHE112" s="7"/>
      <c r="NHF112" s="7"/>
      <c r="NHG112" s="7"/>
      <c r="NHH112" s="7"/>
      <c r="NHI112" s="7"/>
      <c r="NHJ112" s="7"/>
      <c r="NHK112" s="7"/>
      <c r="NHL112" s="7"/>
      <c r="NHM112" s="7"/>
      <c r="NHN112" s="7"/>
      <c r="NHO112" s="7"/>
      <c r="NHP112" s="7"/>
      <c r="NHQ112" s="7"/>
      <c r="NHR112" s="7"/>
      <c r="NHS112" s="7"/>
      <c r="NHT112" s="7"/>
      <c r="NHU112" s="7"/>
      <c r="NHV112" s="7"/>
      <c r="NHW112" s="7"/>
      <c r="NHX112" s="7"/>
      <c r="NHY112" s="7"/>
      <c r="NHZ112" s="7"/>
      <c r="NIA112" s="7"/>
      <c r="NIB112" s="7"/>
      <c r="NIC112" s="7"/>
      <c r="NID112" s="7"/>
      <c r="NIE112" s="7"/>
      <c r="NIF112" s="7"/>
      <c r="NIG112" s="7"/>
      <c r="NIH112" s="7"/>
      <c r="NII112" s="7"/>
      <c r="NIJ112" s="7"/>
      <c r="NIK112" s="7"/>
      <c r="NIL112" s="7"/>
      <c r="NIM112" s="7"/>
      <c r="NIN112" s="7"/>
      <c r="NIO112" s="7"/>
      <c r="NIP112" s="7"/>
      <c r="NIQ112" s="7"/>
      <c r="NIR112" s="7"/>
      <c r="NIS112" s="7"/>
      <c r="NIT112" s="7"/>
      <c r="NIU112" s="7"/>
      <c r="NIV112" s="7"/>
      <c r="NIW112" s="7"/>
      <c r="NIX112" s="7"/>
      <c r="NIY112" s="7"/>
      <c r="NIZ112" s="7"/>
      <c r="NJA112" s="7"/>
      <c r="NJB112" s="7"/>
      <c r="NJC112" s="7"/>
      <c r="NJD112" s="7"/>
      <c r="NJE112" s="7"/>
      <c r="NJF112" s="7"/>
      <c r="NJG112" s="7"/>
      <c r="NJH112" s="7"/>
      <c r="NJI112" s="7"/>
      <c r="NJJ112" s="7"/>
      <c r="NJK112" s="7"/>
      <c r="NJL112" s="7"/>
      <c r="NJM112" s="7"/>
      <c r="NJN112" s="7"/>
      <c r="NJO112" s="7"/>
      <c r="NJP112" s="7"/>
      <c r="NJQ112" s="7"/>
      <c r="NJR112" s="7"/>
      <c r="NJS112" s="7"/>
      <c r="NJT112" s="7"/>
      <c r="NJU112" s="7"/>
      <c r="NJV112" s="7"/>
      <c r="NJW112" s="7"/>
      <c r="NJX112" s="7"/>
      <c r="NJY112" s="7"/>
      <c r="NJZ112" s="7"/>
      <c r="NKA112" s="7"/>
      <c r="NKB112" s="7"/>
      <c r="NKC112" s="7"/>
      <c r="NKD112" s="7"/>
      <c r="NKE112" s="7"/>
      <c r="NKF112" s="7"/>
      <c r="NKG112" s="7"/>
      <c r="NKH112" s="7"/>
      <c r="NKI112" s="7"/>
      <c r="NKJ112" s="7"/>
      <c r="NKK112" s="7"/>
      <c r="NKL112" s="7"/>
      <c r="NKM112" s="7"/>
      <c r="NKN112" s="7"/>
      <c r="NKO112" s="7"/>
      <c r="NKP112" s="7"/>
      <c r="NKQ112" s="7"/>
      <c r="NKR112" s="7"/>
      <c r="NKS112" s="7"/>
      <c r="NKT112" s="7"/>
      <c r="NKU112" s="7"/>
      <c r="NKV112" s="7"/>
      <c r="NKW112" s="7"/>
      <c r="NKX112" s="7"/>
      <c r="NKY112" s="7"/>
      <c r="NKZ112" s="7"/>
      <c r="NLA112" s="7"/>
      <c r="NLB112" s="7"/>
      <c r="NLC112" s="7"/>
      <c r="NLD112" s="7"/>
      <c r="NLE112" s="7"/>
      <c r="NLF112" s="7"/>
      <c r="NLG112" s="7"/>
      <c r="NLH112" s="7"/>
      <c r="NLI112" s="7"/>
      <c r="NLJ112" s="7"/>
      <c r="NLK112" s="7"/>
      <c r="NLL112" s="7"/>
      <c r="NLM112" s="7"/>
      <c r="NLN112" s="7"/>
      <c r="NLO112" s="7"/>
      <c r="NLP112" s="7"/>
      <c r="NLQ112" s="7"/>
      <c r="NLR112" s="7"/>
      <c r="NLS112" s="7"/>
      <c r="NLT112" s="7"/>
      <c r="NLU112" s="7"/>
      <c r="NLV112" s="7"/>
      <c r="NLW112" s="7"/>
      <c r="NLX112" s="7"/>
      <c r="NLY112" s="7"/>
      <c r="NLZ112" s="7"/>
      <c r="NMA112" s="7"/>
      <c r="NMB112" s="7"/>
      <c r="NMC112" s="7"/>
      <c r="NMD112" s="7"/>
      <c r="NME112" s="7"/>
      <c r="NMF112" s="7"/>
      <c r="NMG112" s="7"/>
      <c r="NMH112" s="7"/>
      <c r="NMI112" s="7"/>
      <c r="NMJ112" s="7"/>
      <c r="NMK112" s="7"/>
      <c r="NML112" s="7"/>
      <c r="NMM112" s="7"/>
      <c r="NMN112" s="7"/>
      <c r="NMO112" s="7"/>
      <c r="NMP112" s="7"/>
      <c r="NMQ112" s="7"/>
      <c r="NMR112" s="7"/>
      <c r="NMS112" s="7"/>
      <c r="NMT112" s="7"/>
      <c r="NMU112" s="7"/>
      <c r="NMV112" s="7"/>
      <c r="NMW112" s="7"/>
      <c r="NMX112" s="7"/>
      <c r="NMY112" s="7"/>
      <c r="NMZ112" s="7"/>
      <c r="NNA112" s="7"/>
      <c r="NNB112" s="7"/>
      <c r="NNC112" s="7"/>
      <c r="NND112" s="7"/>
      <c r="NNE112" s="7"/>
      <c r="NNF112" s="7"/>
      <c r="NNG112" s="7"/>
      <c r="NNH112" s="7"/>
      <c r="NNI112" s="7"/>
      <c r="NNJ112" s="7"/>
      <c r="NNK112" s="7"/>
      <c r="NNL112" s="7"/>
      <c r="NNM112" s="7"/>
      <c r="NNN112" s="7"/>
      <c r="NNO112" s="7"/>
      <c r="NNP112" s="7"/>
      <c r="NNQ112" s="7"/>
      <c r="NNR112" s="7"/>
      <c r="NNS112" s="7"/>
      <c r="NNT112" s="7"/>
      <c r="NNU112" s="7"/>
      <c r="NNV112" s="7"/>
      <c r="NNW112" s="7"/>
      <c r="NNX112" s="7"/>
      <c r="NNY112" s="7"/>
      <c r="NNZ112" s="7"/>
      <c r="NOA112" s="7"/>
      <c r="NOB112" s="7"/>
      <c r="NOC112" s="7"/>
      <c r="NOD112" s="7"/>
      <c r="NOE112" s="7"/>
      <c r="NOF112" s="7"/>
      <c r="NOG112" s="7"/>
      <c r="NOH112" s="7"/>
      <c r="NOI112" s="7"/>
      <c r="NOJ112" s="7"/>
      <c r="NOK112" s="7"/>
      <c r="NOL112" s="7"/>
      <c r="NOM112" s="7"/>
      <c r="NON112" s="7"/>
      <c r="NOO112" s="7"/>
      <c r="NOP112" s="7"/>
      <c r="NOQ112" s="7"/>
      <c r="NOR112" s="7"/>
      <c r="NOS112" s="7"/>
      <c r="NOT112" s="7"/>
      <c r="NOU112" s="7"/>
      <c r="NOV112" s="7"/>
      <c r="NOW112" s="7"/>
      <c r="NOX112" s="7"/>
      <c r="NOY112" s="7"/>
      <c r="NOZ112" s="7"/>
      <c r="NPA112" s="7"/>
      <c r="NPB112" s="7"/>
      <c r="NPC112" s="7"/>
      <c r="NPD112" s="7"/>
      <c r="NPE112" s="7"/>
      <c r="NPF112" s="7"/>
      <c r="NPG112" s="7"/>
      <c r="NPH112" s="7"/>
      <c r="NPI112" s="7"/>
      <c r="NPJ112" s="7"/>
      <c r="NPK112" s="7"/>
      <c r="NPL112" s="7"/>
      <c r="NPM112" s="7"/>
      <c r="NPN112" s="7"/>
      <c r="NPO112" s="7"/>
      <c r="NPP112" s="7"/>
      <c r="NPQ112" s="7"/>
      <c r="NPR112" s="7"/>
      <c r="NPS112" s="7"/>
      <c r="NPT112" s="7"/>
      <c r="NPU112" s="7"/>
      <c r="NPV112" s="7"/>
      <c r="NPW112" s="7"/>
      <c r="NPX112" s="7"/>
      <c r="NPY112" s="7"/>
      <c r="NPZ112" s="7"/>
      <c r="NQA112" s="7"/>
      <c r="NQB112" s="7"/>
      <c r="NQC112" s="7"/>
      <c r="NQD112" s="7"/>
      <c r="NQE112" s="7"/>
      <c r="NQF112" s="7"/>
      <c r="NQG112" s="7"/>
      <c r="NQH112" s="7"/>
      <c r="NQI112" s="7"/>
      <c r="NQJ112" s="7"/>
      <c r="NQK112" s="7"/>
      <c r="NQL112" s="7"/>
      <c r="NQM112" s="7"/>
      <c r="NQN112" s="7"/>
      <c r="NQO112" s="7"/>
      <c r="NQP112" s="7"/>
      <c r="NQQ112" s="7"/>
      <c r="NQR112" s="7"/>
      <c r="NQS112" s="7"/>
      <c r="NQT112" s="7"/>
      <c r="NQU112" s="7"/>
      <c r="NQV112" s="7"/>
      <c r="NQW112" s="7"/>
      <c r="NQX112" s="7"/>
      <c r="NQY112" s="7"/>
      <c r="NQZ112" s="7"/>
      <c r="NRA112" s="7"/>
      <c r="NRB112" s="7"/>
      <c r="NRC112" s="7"/>
      <c r="NRD112" s="7"/>
      <c r="NRE112" s="7"/>
      <c r="NRF112" s="7"/>
      <c r="NRG112" s="7"/>
      <c r="NRH112" s="7"/>
      <c r="NRI112" s="7"/>
      <c r="NRJ112" s="7"/>
      <c r="NRK112" s="7"/>
      <c r="NRL112" s="7"/>
      <c r="NRM112" s="7"/>
      <c r="NRN112" s="7"/>
      <c r="NRO112" s="7"/>
      <c r="NRP112" s="7"/>
      <c r="NRQ112" s="7"/>
      <c r="NRR112" s="7"/>
      <c r="NRS112" s="7"/>
      <c r="NRT112" s="7"/>
      <c r="NRU112" s="7"/>
      <c r="NRV112" s="7"/>
      <c r="NRW112" s="7"/>
      <c r="NRX112" s="7"/>
      <c r="NRY112" s="7"/>
      <c r="NRZ112" s="7"/>
      <c r="NSA112" s="7"/>
      <c r="NSB112" s="7"/>
      <c r="NSC112" s="7"/>
      <c r="NSD112" s="7"/>
      <c r="NSE112" s="7"/>
      <c r="NSF112" s="7"/>
      <c r="NSG112" s="7"/>
      <c r="NSH112" s="7"/>
      <c r="NSI112" s="7"/>
      <c r="NSJ112" s="7"/>
      <c r="NSK112" s="7"/>
      <c r="NSL112" s="7"/>
      <c r="NSM112" s="7"/>
      <c r="NSN112" s="7"/>
      <c r="NSO112" s="7"/>
      <c r="NSP112" s="7"/>
      <c r="NSQ112" s="7"/>
      <c r="NSR112" s="7"/>
      <c r="NSS112" s="7"/>
      <c r="NST112" s="7"/>
      <c r="NSU112" s="7"/>
      <c r="NSV112" s="7"/>
      <c r="NSW112" s="7"/>
      <c r="NSX112" s="7"/>
      <c r="NSY112" s="7"/>
      <c r="NSZ112" s="7"/>
      <c r="NTA112" s="7"/>
      <c r="NTB112" s="7"/>
      <c r="NTC112" s="7"/>
      <c r="NTD112" s="7"/>
      <c r="NTE112" s="7"/>
      <c r="NTF112" s="7"/>
      <c r="NTG112" s="7"/>
      <c r="NTH112" s="7"/>
      <c r="NTI112" s="7"/>
      <c r="NTJ112" s="7"/>
      <c r="NTK112" s="7"/>
      <c r="NTL112" s="7"/>
      <c r="NTM112" s="7"/>
      <c r="NTN112" s="7"/>
      <c r="NTO112" s="7"/>
      <c r="NTP112" s="7"/>
      <c r="NTQ112" s="7"/>
      <c r="NTR112" s="7"/>
      <c r="NTS112" s="7"/>
      <c r="NTT112" s="7"/>
      <c r="NTU112" s="7"/>
      <c r="NTV112" s="7"/>
      <c r="NTW112" s="7"/>
      <c r="NTX112" s="7"/>
      <c r="NTY112" s="7"/>
      <c r="NTZ112" s="7"/>
      <c r="NUA112" s="7"/>
      <c r="NUB112" s="7"/>
      <c r="NUC112" s="7"/>
      <c r="NUD112" s="7"/>
      <c r="NUE112" s="7"/>
      <c r="NUF112" s="7"/>
      <c r="NUG112" s="7"/>
      <c r="NUH112" s="7"/>
      <c r="NUI112" s="7"/>
      <c r="NUJ112" s="7"/>
      <c r="NUK112" s="7"/>
      <c r="NUL112" s="7"/>
      <c r="NUM112" s="7"/>
      <c r="NUN112" s="7"/>
      <c r="NUO112" s="7"/>
      <c r="NUP112" s="7"/>
      <c r="NUQ112" s="7"/>
      <c r="NUR112" s="7"/>
      <c r="NUS112" s="7"/>
      <c r="NUT112" s="7"/>
      <c r="NUU112" s="7"/>
      <c r="NUV112" s="7"/>
      <c r="NUW112" s="7"/>
      <c r="NUX112" s="7"/>
      <c r="NUY112" s="7"/>
      <c r="NUZ112" s="7"/>
      <c r="NVA112" s="7"/>
      <c r="NVB112" s="7"/>
      <c r="NVC112" s="7"/>
      <c r="NVD112" s="7"/>
      <c r="NVE112" s="7"/>
      <c r="NVF112" s="7"/>
      <c r="NVG112" s="7"/>
      <c r="NVH112" s="7"/>
      <c r="NVI112" s="7"/>
      <c r="NVJ112" s="7"/>
      <c r="NVK112" s="7"/>
      <c r="NVL112" s="7"/>
      <c r="NVM112" s="7"/>
      <c r="NVN112" s="7"/>
      <c r="NVO112" s="7"/>
      <c r="NVP112" s="7"/>
      <c r="NVQ112" s="7"/>
      <c r="NVR112" s="7"/>
      <c r="NVS112" s="7"/>
      <c r="NVT112" s="7"/>
      <c r="NVU112" s="7"/>
      <c r="NVV112" s="7"/>
      <c r="NVW112" s="7"/>
      <c r="NVX112" s="7"/>
      <c r="NVY112" s="7"/>
      <c r="NVZ112" s="7"/>
      <c r="NWA112" s="7"/>
      <c r="NWB112" s="7"/>
      <c r="NWC112" s="7"/>
      <c r="NWD112" s="7"/>
      <c r="NWE112" s="7"/>
      <c r="NWF112" s="7"/>
      <c r="NWG112" s="7"/>
      <c r="NWH112" s="7"/>
      <c r="NWI112" s="7"/>
      <c r="NWJ112" s="7"/>
      <c r="NWK112" s="7"/>
      <c r="NWL112" s="7"/>
      <c r="NWM112" s="7"/>
      <c r="NWN112" s="7"/>
      <c r="NWO112" s="7"/>
      <c r="NWP112" s="7"/>
      <c r="NWQ112" s="7"/>
      <c r="NWR112" s="7"/>
      <c r="NWS112" s="7"/>
      <c r="NWT112" s="7"/>
      <c r="NWU112" s="7"/>
      <c r="NWV112" s="7"/>
      <c r="NWW112" s="7"/>
      <c r="NWX112" s="7"/>
      <c r="NWY112" s="7"/>
      <c r="NWZ112" s="7"/>
      <c r="NXA112" s="7"/>
      <c r="NXB112" s="7"/>
      <c r="NXC112" s="7"/>
      <c r="NXD112" s="7"/>
      <c r="NXE112" s="7"/>
      <c r="NXF112" s="7"/>
      <c r="NXG112" s="7"/>
      <c r="NXH112" s="7"/>
      <c r="NXI112" s="7"/>
      <c r="NXJ112" s="7"/>
      <c r="NXK112" s="7"/>
      <c r="NXL112" s="7"/>
      <c r="NXM112" s="7"/>
      <c r="NXN112" s="7"/>
      <c r="NXO112" s="7"/>
      <c r="NXP112" s="7"/>
      <c r="NXQ112" s="7"/>
      <c r="NXR112" s="7"/>
      <c r="NXS112" s="7"/>
      <c r="NXT112" s="7"/>
      <c r="NXU112" s="7"/>
      <c r="NXV112" s="7"/>
      <c r="NXW112" s="7"/>
      <c r="NXX112" s="7"/>
      <c r="NXY112" s="7"/>
      <c r="NXZ112" s="7"/>
      <c r="NYA112" s="7"/>
      <c r="NYB112" s="7"/>
      <c r="NYC112" s="7"/>
      <c r="NYD112" s="7"/>
      <c r="NYE112" s="7"/>
      <c r="NYF112" s="7"/>
      <c r="NYG112" s="7"/>
      <c r="NYH112" s="7"/>
      <c r="NYI112" s="7"/>
      <c r="NYJ112" s="7"/>
      <c r="NYK112" s="7"/>
      <c r="NYL112" s="7"/>
      <c r="NYM112" s="7"/>
      <c r="NYN112" s="7"/>
      <c r="NYO112" s="7"/>
      <c r="NYP112" s="7"/>
      <c r="NYQ112" s="7"/>
      <c r="NYR112" s="7"/>
      <c r="NYS112" s="7"/>
      <c r="NYT112" s="7"/>
      <c r="NYU112" s="7"/>
      <c r="NYV112" s="7"/>
      <c r="NYW112" s="7"/>
      <c r="NYX112" s="7"/>
      <c r="NYY112" s="7"/>
      <c r="NYZ112" s="7"/>
      <c r="NZA112" s="7"/>
      <c r="NZB112" s="7"/>
      <c r="NZC112" s="7"/>
      <c r="NZD112" s="7"/>
      <c r="NZE112" s="7"/>
      <c r="NZF112" s="7"/>
      <c r="NZG112" s="7"/>
      <c r="NZH112" s="7"/>
      <c r="NZI112" s="7"/>
      <c r="NZJ112" s="7"/>
      <c r="NZK112" s="7"/>
      <c r="NZL112" s="7"/>
      <c r="NZM112" s="7"/>
      <c r="NZN112" s="7"/>
      <c r="NZO112" s="7"/>
      <c r="NZP112" s="7"/>
      <c r="NZQ112" s="7"/>
      <c r="NZR112" s="7"/>
      <c r="NZS112" s="7"/>
      <c r="NZT112" s="7"/>
      <c r="NZU112" s="7"/>
      <c r="NZV112" s="7"/>
      <c r="NZW112" s="7"/>
      <c r="NZX112" s="7"/>
      <c r="NZY112" s="7"/>
      <c r="NZZ112" s="7"/>
      <c r="OAA112" s="7"/>
      <c r="OAB112" s="7"/>
      <c r="OAC112" s="7"/>
      <c r="OAD112" s="7"/>
      <c r="OAE112" s="7"/>
      <c r="OAF112" s="7"/>
      <c r="OAG112" s="7"/>
      <c r="OAH112" s="7"/>
      <c r="OAI112" s="7"/>
      <c r="OAJ112" s="7"/>
      <c r="OAK112" s="7"/>
      <c r="OAL112" s="7"/>
      <c r="OAM112" s="7"/>
      <c r="OAN112" s="7"/>
      <c r="OAO112" s="7"/>
      <c r="OAP112" s="7"/>
      <c r="OAQ112" s="7"/>
      <c r="OAR112" s="7"/>
      <c r="OAS112" s="7"/>
      <c r="OAT112" s="7"/>
      <c r="OAU112" s="7"/>
      <c r="OAV112" s="7"/>
      <c r="OAW112" s="7"/>
      <c r="OAX112" s="7"/>
      <c r="OAY112" s="7"/>
      <c r="OAZ112" s="7"/>
      <c r="OBA112" s="7"/>
      <c r="OBB112" s="7"/>
      <c r="OBC112" s="7"/>
      <c r="OBD112" s="7"/>
      <c r="OBE112" s="7"/>
      <c r="OBF112" s="7"/>
      <c r="OBG112" s="7"/>
      <c r="OBH112" s="7"/>
      <c r="OBI112" s="7"/>
      <c r="OBJ112" s="7"/>
      <c r="OBK112" s="7"/>
      <c r="OBL112" s="7"/>
      <c r="OBM112" s="7"/>
      <c r="OBN112" s="7"/>
      <c r="OBO112" s="7"/>
      <c r="OBP112" s="7"/>
      <c r="OBQ112" s="7"/>
      <c r="OBR112" s="7"/>
      <c r="OBS112" s="7"/>
      <c r="OBT112" s="7"/>
      <c r="OBU112" s="7"/>
      <c r="OBV112" s="7"/>
      <c r="OBW112" s="7"/>
      <c r="OBX112" s="7"/>
      <c r="OBY112" s="7"/>
      <c r="OBZ112" s="7"/>
      <c r="OCA112" s="7"/>
      <c r="OCB112" s="7"/>
      <c r="OCC112" s="7"/>
      <c r="OCD112" s="7"/>
      <c r="OCE112" s="7"/>
      <c r="OCF112" s="7"/>
      <c r="OCG112" s="7"/>
      <c r="OCH112" s="7"/>
      <c r="OCI112" s="7"/>
      <c r="OCJ112" s="7"/>
      <c r="OCK112" s="7"/>
      <c r="OCL112" s="7"/>
      <c r="OCM112" s="7"/>
      <c r="OCN112" s="7"/>
      <c r="OCO112" s="7"/>
      <c r="OCP112" s="7"/>
      <c r="OCQ112" s="7"/>
      <c r="OCR112" s="7"/>
      <c r="OCS112" s="7"/>
      <c r="OCT112" s="7"/>
      <c r="OCU112" s="7"/>
      <c r="OCV112" s="7"/>
      <c r="OCW112" s="7"/>
      <c r="OCX112" s="7"/>
      <c r="OCY112" s="7"/>
      <c r="OCZ112" s="7"/>
      <c r="ODA112" s="7"/>
      <c r="ODB112" s="7"/>
      <c r="ODC112" s="7"/>
      <c r="ODD112" s="7"/>
      <c r="ODE112" s="7"/>
      <c r="ODF112" s="7"/>
      <c r="ODG112" s="7"/>
      <c r="ODH112" s="7"/>
      <c r="ODI112" s="7"/>
      <c r="ODJ112" s="7"/>
      <c r="ODK112" s="7"/>
      <c r="ODL112" s="7"/>
      <c r="ODM112" s="7"/>
      <c r="ODN112" s="7"/>
      <c r="ODO112" s="7"/>
      <c r="ODP112" s="7"/>
      <c r="ODQ112" s="7"/>
      <c r="ODR112" s="7"/>
      <c r="ODS112" s="7"/>
      <c r="ODT112" s="7"/>
      <c r="ODU112" s="7"/>
      <c r="ODV112" s="7"/>
      <c r="ODW112" s="7"/>
      <c r="ODX112" s="7"/>
      <c r="ODY112" s="7"/>
      <c r="ODZ112" s="7"/>
      <c r="OEA112" s="7"/>
      <c r="OEB112" s="7"/>
      <c r="OEC112" s="7"/>
      <c r="OED112" s="7"/>
      <c r="OEE112" s="7"/>
      <c r="OEF112" s="7"/>
      <c r="OEG112" s="7"/>
      <c r="OEH112" s="7"/>
      <c r="OEI112" s="7"/>
      <c r="OEJ112" s="7"/>
      <c r="OEK112" s="7"/>
      <c r="OEL112" s="7"/>
      <c r="OEM112" s="7"/>
      <c r="OEN112" s="7"/>
      <c r="OEO112" s="7"/>
      <c r="OEP112" s="7"/>
      <c r="OEQ112" s="7"/>
      <c r="OER112" s="7"/>
      <c r="OES112" s="7"/>
      <c r="OET112" s="7"/>
      <c r="OEU112" s="7"/>
      <c r="OEV112" s="7"/>
      <c r="OEW112" s="7"/>
      <c r="OEX112" s="7"/>
      <c r="OEY112" s="7"/>
      <c r="OEZ112" s="7"/>
      <c r="OFA112" s="7"/>
      <c r="OFB112" s="7"/>
      <c r="OFC112" s="7"/>
      <c r="OFD112" s="7"/>
      <c r="OFE112" s="7"/>
      <c r="OFF112" s="7"/>
      <c r="OFG112" s="7"/>
      <c r="OFH112" s="7"/>
      <c r="OFI112" s="7"/>
      <c r="OFJ112" s="7"/>
      <c r="OFK112" s="7"/>
      <c r="OFL112" s="7"/>
      <c r="OFM112" s="7"/>
      <c r="OFN112" s="7"/>
      <c r="OFO112" s="7"/>
      <c r="OFP112" s="7"/>
      <c r="OFQ112" s="7"/>
      <c r="OFR112" s="7"/>
      <c r="OFS112" s="7"/>
      <c r="OFT112" s="7"/>
      <c r="OFU112" s="7"/>
      <c r="OFV112" s="7"/>
      <c r="OFW112" s="7"/>
      <c r="OFX112" s="7"/>
      <c r="OFY112" s="7"/>
      <c r="OFZ112" s="7"/>
      <c r="OGA112" s="7"/>
      <c r="OGB112" s="7"/>
      <c r="OGC112" s="7"/>
      <c r="OGD112" s="7"/>
      <c r="OGE112" s="7"/>
      <c r="OGF112" s="7"/>
      <c r="OGG112" s="7"/>
      <c r="OGH112" s="7"/>
      <c r="OGI112" s="7"/>
      <c r="OGJ112" s="7"/>
      <c r="OGK112" s="7"/>
      <c r="OGL112" s="7"/>
      <c r="OGM112" s="7"/>
      <c r="OGN112" s="7"/>
      <c r="OGO112" s="7"/>
      <c r="OGP112" s="7"/>
      <c r="OGQ112" s="7"/>
      <c r="OGR112" s="7"/>
      <c r="OGS112" s="7"/>
      <c r="OGT112" s="7"/>
      <c r="OGU112" s="7"/>
      <c r="OGV112" s="7"/>
      <c r="OGW112" s="7"/>
      <c r="OGX112" s="7"/>
      <c r="OGY112" s="7"/>
      <c r="OGZ112" s="7"/>
      <c r="OHA112" s="7"/>
      <c r="OHB112" s="7"/>
      <c r="OHC112" s="7"/>
      <c r="OHD112" s="7"/>
      <c r="OHE112" s="7"/>
      <c r="OHF112" s="7"/>
      <c r="OHG112" s="7"/>
      <c r="OHH112" s="7"/>
      <c r="OHI112" s="7"/>
      <c r="OHJ112" s="7"/>
      <c r="OHK112" s="7"/>
      <c r="OHL112" s="7"/>
      <c r="OHM112" s="7"/>
      <c r="OHN112" s="7"/>
      <c r="OHO112" s="7"/>
      <c r="OHP112" s="7"/>
      <c r="OHQ112" s="7"/>
      <c r="OHR112" s="7"/>
      <c r="OHS112" s="7"/>
      <c r="OHT112" s="7"/>
      <c r="OHU112" s="7"/>
      <c r="OHV112" s="7"/>
      <c r="OHW112" s="7"/>
      <c r="OHX112" s="7"/>
      <c r="OHY112" s="7"/>
      <c r="OHZ112" s="7"/>
      <c r="OIA112" s="7"/>
      <c r="OIB112" s="7"/>
      <c r="OIC112" s="7"/>
      <c r="OID112" s="7"/>
      <c r="OIE112" s="7"/>
      <c r="OIF112" s="7"/>
      <c r="OIG112" s="7"/>
      <c r="OIH112" s="7"/>
      <c r="OII112" s="7"/>
      <c r="OIJ112" s="7"/>
      <c r="OIK112" s="7"/>
      <c r="OIL112" s="7"/>
      <c r="OIM112" s="7"/>
      <c r="OIN112" s="7"/>
      <c r="OIO112" s="7"/>
      <c r="OIP112" s="7"/>
      <c r="OIQ112" s="7"/>
      <c r="OIR112" s="7"/>
      <c r="OIS112" s="7"/>
      <c r="OIT112" s="7"/>
      <c r="OIU112" s="7"/>
      <c r="OIV112" s="7"/>
      <c r="OIW112" s="7"/>
      <c r="OIX112" s="7"/>
      <c r="OIY112" s="7"/>
      <c r="OIZ112" s="7"/>
      <c r="OJA112" s="7"/>
      <c r="OJB112" s="7"/>
      <c r="OJC112" s="7"/>
      <c r="OJD112" s="7"/>
      <c r="OJE112" s="7"/>
      <c r="OJF112" s="7"/>
      <c r="OJG112" s="7"/>
      <c r="OJH112" s="7"/>
      <c r="OJI112" s="7"/>
      <c r="OJJ112" s="7"/>
      <c r="OJK112" s="7"/>
      <c r="OJL112" s="7"/>
      <c r="OJM112" s="7"/>
      <c r="OJN112" s="7"/>
      <c r="OJO112" s="7"/>
      <c r="OJP112" s="7"/>
      <c r="OJQ112" s="7"/>
      <c r="OJR112" s="7"/>
      <c r="OJS112" s="7"/>
      <c r="OJT112" s="7"/>
      <c r="OJU112" s="7"/>
      <c r="OJV112" s="7"/>
      <c r="OJW112" s="7"/>
      <c r="OJX112" s="7"/>
      <c r="OJY112" s="7"/>
      <c r="OJZ112" s="7"/>
      <c r="OKA112" s="7"/>
      <c r="OKB112" s="7"/>
      <c r="OKC112" s="7"/>
      <c r="OKD112" s="7"/>
      <c r="OKE112" s="7"/>
      <c r="OKF112" s="7"/>
      <c r="OKG112" s="7"/>
      <c r="OKH112" s="7"/>
      <c r="OKI112" s="7"/>
      <c r="OKJ112" s="7"/>
      <c r="OKK112" s="7"/>
      <c r="OKL112" s="7"/>
      <c r="OKM112" s="7"/>
      <c r="OKN112" s="7"/>
      <c r="OKO112" s="7"/>
      <c r="OKP112" s="7"/>
      <c r="OKQ112" s="7"/>
      <c r="OKR112" s="7"/>
      <c r="OKS112" s="7"/>
      <c r="OKT112" s="7"/>
      <c r="OKU112" s="7"/>
      <c r="OKV112" s="7"/>
      <c r="OKW112" s="7"/>
      <c r="OKX112" s="7"/>
      <c r="OKY112" s="7"/>
      <c r="OKZ112" s="7"/>
      <c r="OLA112" s="7"/>
      <c r="OLB112" s="7"/>
      <c r="OLC112" s="7"/>
      <c r="OLD112" s="7"/>
      <c r="OLE112" s="7"/>
      <c r="OLF112" s="7"/>
      <c r="OLG112" s="7"/>
      <c r="OLH112" s="7"/>
      <c r="OLI112" s="7"/>
      <c r="OLJ112" s="7"/>
      <c r="OLK112" s="7"/>
      <c r="OLL112" s="7"/>
      <c r="OLM112" s="7"/>
      <c r="OLN112" s="7"/>
      <c r="OLO112" s="7"/>
      <c r="OLP112" s="7"/>
      <c r="OLQ112" s="7"/>
      <c r="OLR112" s="7"/>
      <c r="OLS112" s="7"/>
      <c r="OLT112" s="7"/>
      <c r="OLU112" s="7"/>
      <c r="OLV112" s="7"/>
      <c r="OLW112" s="7"/>
      <c r="OLX112" s="7"/>
      <c r="OLY112" s="7"/>
      <c r="OLZ112" s="7"/>
      <c r="OMA112" s="7"/>
      <c r="OMB112" s="7"/>
      <c r="OMC112" s="7"/>
      <c r="OMD112" s="7"/>
      <c r="OME112" s="7"/>
      <c r="OMF112" s="7"/>
      <c r="OMG112" s="7"/>
      <c r="OMH112" s="7"/>
      <c r="OMI112" s="7"/>
      <c r="OMJ112" s="7"/>
      <c r="OMK112" s="7"/>
      <c r="OML112" s="7"/>
      <c r="OMM112" s="7"/>
      <c r="OMN112" s="7"/>
      <c r="OMO112" s="7"/>
      <c r="OMP112" s="7"/>
      <c r="OMQ112" s="7"/>
      <c r="OMR112" s="7"/>
      <c r="OMS112" s="7"/>
      <c r="OMT112" s="7"/>
      <c r="OMU112" s="7"/>
      <c r="OMV112" s="7"/>
      <c r="OMW112" s="7"/>
      <c r="OMX112" s="7"/>
      <c r="OMY112" s="7"/>
      <c r="OMZ112" s="7"/>
      <c r="ONA112" s="7"/>
      <c r="ONB112" s="7"/>
      <c r="ONC112" s="7"/>
      <c r="OND112" s="7"/>
      <c r="ONE112" s="7"/>
      <c r="ONF112" s="7"/>
      <c r="ONG112" s="7"/>
      <c r="ONH112" s="7"/>
      <c r="ONI112" s="7"/>
      <c r="ONJ112" s="7"/>
      <c r="ONK112" s="7"/>
      <c r="ONL112" s="7"/>
      <c r="ONM112" s="7"/>
      <c r="ONN112" s="7"/>
      <c r="ONO112" s="7"/>
      <c r="ONP112" s="7"/>
      <c r="ONQ112" s="7"/>
      <c r="ONR112" s="7"/>
      <c r="ONS112" s="7"/>
      <c r="ONT112" s="7"/>
      <c r="ONU112" s="7"/>
      <c r="ONV112" s="7"/>
      <c r="ONW112" s="7"/>
      <c r="ONX112" s="7"/>
      <c r="ONY112" s="7"/>
      <c r="ONZ112" s="7"/>
      <c r="OOA112" s="7"/>
      <c r="OOB112" s="7"/>
      <c r="OOC112" s="7"/>
      <c r="OOD112" s="7"/>
      <c r="OOE112" s="7"/>
      <c r="OOF112" s="7"/>
      <c r="OOG112" s="7"/>
      <c r="OOH112" s="7"/>
      <c r="OOI112" s="7"/>
      <c r="OOJ112" s="7"/>
      <c r="OOK112" s="7"/>
      <c r="OOL112" s="7"/>
      <c r="OOM112" s="7"/>
      <c r="OON112" s="7"/>
      <c r="OOO112" s="7"/>
      <c r="OOP112" s="7"/>
      <c r="OOQ112" s="7"/>
      <c r="OOR112" s="7"/>
      <c r="OOS112" s="7"/>
      <c r="OOT112" s="7"/>
      <c r="OOU112" s="7"/>
      <c r="OOV112" s="7"/>
      <c r="OOW112" s="7"/>
      <c r="OOX112" s="7"/>
      <c r="OOY112" s="7"/>
      <c r="OOZ112" s="7"/>
      <c r="OPA112" s="7"/>
      <c r="OPB112" s="7"/>
      <c r="OPC112" s="7"/>
      <c r="OPD112" s="7"/>
      <c r="OPE112" s="7"/>
      <c r="OPF112" s="7"/>
      <c r="OPG112" s="7"/>
      <c r="OPH112" s="7"/>
      <c r="OPI112" s="7"/>
      <c r="OPJ112" s="7"/>
      <c r="OPK112" s="7"/>
      <c r="OPL112" s="7"/>
      <c r="OPM112" s="7"/>
      <c r="OPN112" s="7"/>
      <c r="OPO112" s="7"/>
      <c r="OPP112" s="7"/>
      <c r="OPQ112" s="7"/>
      <c r="OPR112" s="7"/>
      <c r="OPS112" s="7"/>
      <c r="OPT112" s="7"/>
      <c r="OPU112" s="7"/>
      <c r="OPV112" s="7"/>
      <c r="OPW112" s="7"/>
      <c r="OPX112" s="7"/>
      <c r="OPY112" s="7"/>
      <c r="OPZ112" s="7"/>
      <c r="OQA112" s="7"/>
      <c r="OQB112" s="7"/>
      <c r="OQC112" s="7"/>
      <c r="OQD112" s="7"/>
      <c r="OQE112" s="7"/>
      <c r="OQF112" s="7"/>
      <c r="OQG112" s="7"/>
      <c r="OQH112" s="7"/>
      <c r="OQI112" s="7"/>
      <c r="OQJ112" s="7"/>
      <c r="OQK112" s="7"/>
      <c r="OQL112" s="7"/>
      <c r="OQM112" s="7"/>
      <c r="OQN112" s="7"/>
      <c r="OQO112" s="7"/>
      <c r="OQP112" s="7"/>
      <c r="OQQ112" s="7"/>
      <c r="OQR112" s="7"/>
      <c r="OQS112" s="7"/>
      <c r="OQT112" s="7"/>
      <c r="OQU112" s="7"/>
      <c r="OQV112" s="7"/>
      <c r="OQW112" s="7"/>
      <c r="OQX112" s="7"/>
      <c r="OQY112" s="7"/>
      <c r="OQZ112" s="7"/>
      <c r="ORA112" s="7"/>
      <c r="ORB112" s="7"/>
      <c r="ORC112" s="7"/>
      <c r="ORD112" s="7"/>
      <c r="ORE112" s="7"/>
      <c r="ORF112" s="7"/>
      <c r="ORG112" s="7"/>
      <c r="ORH112" s="7"/>
      <c r="ORI112" s="7"/>
      <c r="ORJ112" s="7"/>
      <c r="ORK112" s="7"/>
      <c r="ORL112" s="7"/>
      <c r="ORM112" s="7"/>
      <c r="ORN112" s="7"/>
      <c r="ORO112" s="7"/>
      <c r="ORP112" s="7"/>
      <c r="ORQ112" s="7"/>
      <c r="ORR112" s="7"/>
      <c r="ORS112" s="7"/>
      <c r="ORT112" s="7"/>
      <c r="ORU112" s="7"/>
      <c r="ORV112" s="7"/>
      <c r="ORW112" s="7"/>
      <c r="ORX112" s="7"/>
      <c r="ORY112" s="7"/>
      <c r="ORZ112" s="7"/>
      <c r="OSA112" s="7"/>
      <c r="OSB112" s="7"/>
      <c r="OSC112" s="7"/>
      <c r="OSD112" s="7"/>
      <c r="OSE112" s="7"/>
      <c r="OSF112" s="7"/>
      <c r="OSG112" s="7"/>
      <c r="OSH112" s="7"/>
      <c r="OSI112" s="7"/>
      <c r="OSJ112" s="7"/>
      <c r="OSK112" s="7"/>
      <c r="OSL112" s="7"/>
      <c r="OSM112" s="7"/>
      <c r="OSN112" s="7"/>
      <c r="OSO112" s="7"/>
      <c r="OSP112" s="7"/>
      <c r="OSQ112" s="7"/>
      <c r="OSR112" s="7"/>
      <c r="OSS112" s="7"/>
      <c r="OST112" s="7"/>
      <c r="OSU112" s="7"/>
      <c r="OSV112" s="7"/>
      <c r="OSW112" s="7"/>
      <c r="OSX112" s="7"/>
      <c r="OSY112" s="7"/>
      <c r="OSZ112" s="7"/>
      <c r="OTA112" s="7"/>
      <c r="OTB112" s="7"/>
      <c r="OTC112" s="7"/>
      <c r="OTD112" s="7"/>
      <c r="OTE112" s="7"/>
      <c r="OTF112" s="7"/>
      <c r="OTG112" s="7"/>
      <c r="OTH112" s="7"/>
      <c r="OTI112" s="7"/>
      <c r="OTJ112" s="7"/>
      <c r="OTK112" s="7"/>
      <c r="OTL112" s="7"/>
      <c r="OTM112" s="7"/>
      <c r="OTN112" s="7"/>
      <c r="OTO112" s="7"/>
      <c r="OTP112" s="7"/>
      <c r="OTQ112" s="7"/>
      <c r="OTR112" s="7"/>
      <c r="OTS112" s="7"/>
      <c r="OTT112" s="7"/>
      <c r="OTU112" s="7"/>
      <c r="OTV112" s="7"/>
      <c r="OTW112" s="7"/>
      <c r="OTX112" s="7"/>
      <c r="OTY112" s="7"/>
      <c r="OTZ112" s="7"/>
      <c r="OUA112" s="7"/>
      <c r="OUB112" s="7"/>
      <c r="OUC112" s="7"/>
      <c r="OUD112" s="7"/>
      <c r="OUE112" s="7"/>
      <c r="OUF112" s="7"/>
      <c r="OUG112" s="7"/>
      <c r="OUH112" s="7"/>
      <c r="OUI112" s="7"/>
      <c r="OUJ112" s="7"/>
      <c r="OUK112" s="7"/>
      <c r="OUL112" s="7"/>
      <c r="OUM112" s="7"/>
      <c r="OUN112" s="7"/>
      <c r="OUO112" s="7"/>
      <c r="OUP112" s="7"/>
      <c r="OUQ112" s="7"/>
      <c r="OUR112" s="7"/>
      <c r="OUS112" s="7"/>
      <c r="OUT112" s="7"/>
      <c r="OUU112" s="7"/>
      <c r="OUV112" s="7"/>
      <c r="OUW112" s="7"/>
      <c r="OUX112" s="7"/>
      <c r="OUY112" s="7"/>
      <c r="OUZ112" s="7"/>
      <c r="OVA112" s="7"/>
      <c r="OVB112" s="7"/>
      <c r="OVC112" s="7"/>
      <c r="OVD112" s="7"/>
      <c r="OVE112" s="7"/>
      <c r="OVF112" s="7"/>
      <c r="OVG112" s="7"/>
      <c r="OVH112" s="7"/>
      <c r="OVI112" s="7"/>
      <c r="OVJ112" s="7"/>
      <c r="OVK112" s="7"/>
      <c r="OVL112" s="7"/>
      <c r="OVM112" s="7"/>
      <c r="OVN112" s="7"/>
      <c r="OVO112" s="7"/>
      <c r="OVP112" s="7"/>
      <c r="OVQ112" s="7"/>
      <c r="OVR112" s="7"/>
      <c r="OVS112" s="7"/>
      <c r="OVT112" s="7"/>
      <c r="OVU112" s="7"/>
      <c r="OVV112" s="7"/>
      <c r="OVW112" s="7"/>
      <c r="OVX112" s="7"/>
      <c r="OVY112" s="7"/>
      <c r="OVZ112" s="7"/>
      <c r="OWA112" s="7"/>
      <c r="OWB112" s="7"/>
      <c r="OWC112" s="7"/>
      <c r="OWD112" s="7"/>
      <c r="OWE112" s="7"/>
      <c r="OWF112" s="7"/>
      <c r="OWG112" s="7"/>
      <c r="OWH112" s="7"/>
      <c r="OWI112" s="7"/>
      <c r="OWJ112" s="7"/>
      <c r="OWK112" s="7"/>
      <c r="OWL112" s="7"/>
      <c r="OWM112" s="7"/>
      <c r="OWN112" s="7"/>
      <c r="OWO112" s="7"/>
      <c r="OWP112" s="7"/>
      <c r="OWQ112" s="7"/>
      <c r="OWR112" s="7"/>
      <c r="OWS112" s="7"/>
      <c r="OWT112" s="7"/>
      <c r="OWU112" s="7"/>
      <c r="OWV112" s="7"/>
      <c r="OWW112" s="7"/>
      <c r="OWX112" s="7"/>
      <c r="OWY112" s="7"/>
      <c r="OWZ112" s="7"/>
      <c r="OXA112" s="7"/>
      <c r="OXB112" s="7"/>
      <c r="OXC112" s="7"/>
      <c r="OXD112" s="7"/>
      <c r="OXE112" s="7"/>
      <c r="OXF112" s="7"/>
      <c r="OXG112" s="7"/>
      <c r="OXH112" s="7"/>
      <c r="OXI112" s="7"/>
      <c r="OXJ112" s="7"/>
      <c r="OXK112" s="7"/>
      <c r="OXL112" s="7"/>
      <c r="OXM112" s="7"/>
      <c r="OXN112" s="7"/>
      <c r="OXO112" s="7"/>
      <c r="OXP112" s="7"/>
      <c r="OXQ112" s="7"/>
      <c r="OXR112" s="7"/>
      <c r="OXS112" s="7"/>
      <c r="OXT112" s="7"/>
      <c r="OXU112" s="7"/>
      <c r="OXV112" s="7"/>
      <c r="OXW112" s="7"/>
      <c r="OXX112" s="7"/>
      <c r="OXY112" s="7"/>
      <c r="OXZ112" s="7"/>
      <c r="OYA112" s="7"/>
      <c r="OYB112" s="7"/>
      <c r="OYC112" s="7"/>
      <c r="OYD112" s="7"/>
      <c r="OYE112" s="7"/>
      <c r="OYF112" s="7"/>
      <c r="OYG112" s="7"/>
      <c r="OYH112" s="7"/>
      <c r="OYI112" s="7"/>
      <c r="OYJ112" s="7"/>
      <c r="OYK112" s="7"/>
      <c r="OYL112" s="7"/>
      <c r="OYM112" s="7"/>
      <c r="OYN112" s="7"/>
      <c r="OYO112" s="7"/>
      <c r="OYP112" s="7"/>
      <c r="OYQ112" s="7"/>
      <c r="OYR112" s="7"/>
      <c r="OYS112" s="7"/>
      <c r="OYT112" s="7"/>
      <c r="OYU112" s="7"/>
      <c r="OYV112" s="7"/>
      <c r="OYW112" s="7"/>
      <c r="OYX112" s="7"/>
      <c r="OYY112" s="7"/>
      <c r="OYZ112" s="7"/>
      <c r="OZA112" s="7"/>
      <c r="OZB112" s="7"/>
      <c r="OZC112" s="7"/>
      <c r="OZD112" s="7"/>
      <c r="OZE112" s="7"/>
      <c r="OZF112" s="7"/>
      <c r="OZG112" s="7"/>
      <c r="OZH112" s="7"/>
      <c r="OZI112" s="7"/>
      <c r="OZJ112" s="7"/>
      <c r="OZK112" s="7"/>
      <c r="OZL112" s="7"/>
      <c r="OZM112" s="7"/>
      <c r="OZN112" s="7"/>
      <c r="OZO112" s="7"/>
      <c r="OZP112" s="7"/>
      <c r="OZQ112" s="7"/>
      <c r="OZR112" s="7"/>
      <c r="OZS112" s="7"/>
      <c r="OZT112" s="7"/>
      <c r="OZU112" s="7"/>
      <c r="OZV112" s="7"/>
      <c r="OZW112" s="7"/>
      <c r="OZX112" s="7"/>
      <c r="OZY112" s="7"/>
      <c r="OZZ112" s="7"/>
      <c r="PAA112" s="7"/>
      <c r="PAB112" s="7"/>
      <c r="PAC112" s="7"/>
      <c r="PAD112" s="7"/>
      <c r="PAE112" s="7"/>
      <c r="PAF112" s="7"/>
      <c r="PAG112" s="7"/>
      <c r="PAH112" s="7"/>
      <c r="PAI112" s="7"/>
      <c r="PAJ112" s="7"/>
      <c r="PAK112" s="7"/>
      <c r="PAL112" s="7"/>
      <c r="PAM112" s="7"/>
      <c r="PAN112" s="7"/>
      <c r="PAO112" s="7"/>
      <c r="PAP112" s="7"/>
      <c r="PAQ112" s="7"/>
      <c r="PAR112" s="7"/>
      <c r="PAS112" s="7"/>
      <c r="PAT112" s="7"/>
      <c r="PAU112" s="7"/>
      <c r="PAV112" s="7"/>
      <c r="PAW112" s="7"/>
      <c r="PAX112" s="7"/>
      <c r="PAY112" s="7"/>
      <c r="PAZ112" s="7"/>
      <c r="PBA112" s="7"/>
      <c r="PBB112" s="7"/>
      <c r="PBC112" s="7"/>
      <c r="PBD112" s="7"/>
      <c r="PBE112" s="7"/>
      <c r="PBF112" s="7"/>
      <c r="PBG112" s="7"/>
      <c r="PBH112" s="7"/>
      <c r="PBI112" s="7"/>
      <c r="PBJ112" s="7"/>
      <c r="PBK112" s="7"/>
      <c r="PBL112" s="7"/>
      <c r="PBM112" s="7"/>
      <c r="PBN112" s="7"/>
      <c r="PBO112" s="7"/>
      <c r="PBP112" s="7"/>
      <c r="PBQ112" s="7"/>
      <c r="PBR112" s="7"/>
      <c r="PBS112" s="7"/>
      <c r="PBT112" s="7"/>
      <c r="PBU112" s="7"/>
      <c r="PBV112" s="7"/>
      <c r="PBW112" s="7"/>
      <c r="PBX112" s="7"/>
      <c r="PBY112" s="7"/>
      <c r="PBZ112" s="7"/>
      <c r="PCA112" s="7"/>
      <c r="PCB112" s="7"/>
      <c r="PCC112" s="7"/>
      <c r="PCD112" s="7"/>
      <c r="PCE112" s="7"/>
      <c r="PCF112" s="7"/>
      <c r="PCG112" s="7"/>
      <c r="PCH112" s="7"/>
      <c r="PCI112" s="7"/>
      <c r="PCJ112" s="7"/>
      <c r="PCK112" s="7"/>
      <c r="PCL112" s="7"/>
      <c r="PCM112" s="7"/>
      <c r="PCN112" s="7"/>
      <c r="PCO112" s="7"/>
      <c r="PCP112" s="7"/>
      <c r="PCQ112" s="7"/>
      <c r="PCR112" s="7"/>
      <c r="PCS112" s="7"/>
      <c r="PCT112" s="7"/>
      <c r="PCU112" s="7"/>
      <c r="PCV112" s="7"/>
      <c r="PCW112" s="7"/>
      <c r="PCX112" s="7"/>
      <c r="PCY112" s="7"/>
      <c r="PCZ112" s="7"/>
      <c r="PDA112" s="7"/>
      <c r="PDB112" s="7"/>
      <c r="PDC112" s="7"/>
      <c r="PDD112" s="7"/>
      <c r="PDE112" s="7"/>
      <c r="PDF112" s="7"/>
      <c r="PDG112" s="7"/>
      <c r="PDH112" s="7"/>
      <c r="PDI112" s="7"/>
      <c r="PDJ112" s="7"/>
      <c r="PDK112" s="7"/>
      <c r="PDL112" s="7"/>
      <c r="PDM112" s="7"/>
      <c r="PDN112" s="7"/>
      <c r="PDO112" s="7"/>
      <c r="PDP112" s="7"/>
      <c r="PDQ112" s="7"/>
      <c r="PDR112" s="7"/>
      <c r="PDS112" s="7"/>
      <c r="PDT112" s="7"/>
      <c r="PDU112" s="7"/>
      <c r="PDV112" s="7"/>
      <c r="PDW112" s="7"/>
      <c r="PDX112" s="7"/>
      <c r="PDY112" s="7"/>
      <c r="PDZ112" s="7"/>
      <c r="PEA112" s="7"/>
      <c r="PEB112" s="7"/>
      <c r="PEC112" s="7"/>
      <c r="PED112" s="7"/>
      <c r="PEE112" s="7"/>
      <c r="PEF112" s="7"/>
      <c r="PEG112" s="7"/>
      <c r="PEH112" s="7"/>
      <c r="PEI112" s="7"/>
      <c r="PEJ112" s="7"/>
      <c r="PEK112" s="7"/>
      <c r="PEL112" s="7"/>
      <c r="PEM112" s="7"/>
      <c r="PEN112" s="7"/>
      <c r="PEO112" s="7"/>
      <c r="PEP112" s="7"/>
      <c r="PEQ112" s="7"/>
      <c r="PER112" s="7"/>
      <c r="PES112" s="7"/>
      <c r="PET112" s="7"/>
      <c r="PEU112" s="7"/>
      <c r="PEV112" s="7"/>
      <c r="PEW112" s="7"/>
      <c r="PEX112" s="7"/>
      <c r="PEY112" s="7"/>
      <c r="PEZ112" s="7"/>
      <c r="PFA112" s="7"/>
      <c r="PFB112" s="7"/>
      <c r="PFC112" s="7"/>
      <c r="PFD112" s="7"/>
      <c r="PFE112" s="7"/>
      <c r="PFF112" s="7"/>
      <c r="PFG112" s="7"/>
      <c r="PFH112" s="7"/>
      <c r="PFI112" s="7"/>
      <c r="PFJ112" s="7"/>
      <c r="PFK112" s="7"/>
      <c r="PFL112" s="7"/>
      <c r="PFM112" s="7"/>
      <c r="PFN112" s="7"/>
      <c r="PFO112" s="7"/>
      <c r="PFP112" s="7"/>
      <c r="PFQ112" s="7"/>
      <c r="PFR112" s="7"/>
      <c r="PFS112" s="7"/>
      <c r="PFT112" s="7"/>
      <c r="PFU112" s="7"/>
      <c r="PFV112" s="7"/>
      <c r="PFW112" s="7"/>
      <c r="PFX112" s="7"/>
      <c r="PFY112" s="7"/>
      <c r="PFZ112" s="7"/>
      <c r="PGA112" s="7"/>
      <c r="PGB112" s="7"/>
      <c r="PGC112" s="7"/>
      <c r="PGD112" s="7"/>
      <c r="PGE112" s="7"/>
      <c r="PGF112" s="7"/>
      <c r="PGG112" s="7"/>
      <c r="PGH112" s="7"/>
      <c r="PGI112" s="7"/>
      <c r="PGJ112" s="7"/>
      <c r="PGK112" s="7"/>
      <c r="PGL112" s="7"/>
      <c r="PGM112" s="7"/>
      <c r="PGN112" s="7"/>
      <c r="PGO112" s="7"/>
      <c r="PGP112" s="7"/>
      <c r="PGQ112" s="7"/>
      <c r="PGR112" s="7"/>
      <c r="PGS112" s="7"/>
      <c r="PGT112" s="7"/>
      <c r="PGU112" s="7"/>
      <c r="PGV112" s="7"/>
      <c r="PGW112" s="7"/>
      <c r="PGX112" s="7"/>
      <c r="PGY112" s="7"/>
      <c r="PGZ112" s="7"/>
      <c r="PHA112" s="7"/>
      <c r="PHB112" s="7"/>
      <c r="PHC112" s="7"/>
      <c r="PHD112" s="7"/>
      <c r="PHE112" s="7"/>
      <c r="PHF112" s="7"/>
      <c r="PHG112" s="7"/>
      <c r="PHH112" s="7"/>
      <c r="PHI112" s="7"/>
      <c r="PHJ112" s="7"/>
      <c r="PHK112" s="7"/>
      <c r="PHL112" s="7"/>
      <c r="PHM112" s="7"/>
      <c r="PHN112" s="7"/>
      <c r="PHO112" s="7"/>
      <c r="PHP112" s="7"/>
      <c r="PHQ112" s="7"/>
      <c r="PHR112" s="7"/>
      <c r="PHS112" s="7"/>
      <c r="PHT112" s="7"/>
      <c r="PHU112" s="7"/>
      <c r="PHV112" s="7"/>
      <c r="PHW112" s="7"/>
      <c r="PHX112" s="7"/>
      <c r="PHY112" s="7"/>
      <c r="PHZ112" s="7"/>
      <c r="PIA112" s="7"/>
      <c r="PIB112" s="7"/>
      <c r="PIC112" s="7"/>
      <c r="PID112" s="7"/>
      <c r="PIE112" s="7"/>
      <c r="PIF112" s="7"/>
      <c r="PIG112" s="7"/>
      <c r="PIH112" s="7"/>
      <c r="PII112" s="7"/>
      <c r="PIJ112" s="7"/>
      <c r="PIK112" s="7"/>
      <c r="PIL112" s="7"/>
      <c r="PIM112" s="7"/>
      <c r="PIN112" s="7"/>
      <c r="PIO112" s="7"/>
      <c r="PIP112" s="7"/>
      <c r="PIQ112" s="7"/>
      <c r="PIR112" s="7"/>
      <c r="PIS112" s="7"/>
      <c r="PIT112" s="7"/>
      <c r="PIU112" s="7"/>
      <c r="PIV112" s="7"/>
      <c r="PIW112" s="7"/>
      <c r="PIX112" s="7"/>
      <c r="PIY112" s="7"/>
      <c r="PIZ112" s="7"/>
      <c r="PJA112" s="7"/>
      <c r="PJB112" s="7"/>
      <c r="PJC112" s="7"/>
      <c r="PJD112" s="7"/>
      <c r="PJE112" s="7"/>
      <c r="PJF112" s="7"/>
      <c r="PJG112" s="7"/>
      <c r="PJH112" s="7"/>
      <c r="PJI112" s="7"/>
      <c r="PJJ112" s="7"/>
      <c r="PJK112" s="7"/>
      <c r="PJL112" s="7"/>
      <c r="PJM112" s="7"/>
      <c r="PJN112" s="7"/>
      <c r="PJO112" s="7"/>
      <c r="PJP112" s="7"/>
      <c r="PJQ112" s="7"/>
      <c r="PJR112" s="7"/>
      <c r="PJS112" s="7"/>
      <c r="PJT112" s="7"/>
      <c r="PJU112" s="7"/>
      <c r="PJV112" s="7"/>
      <c r="PJW112" s="7"/>
      <c r="PJX112" s="7"/>
      <c r="PJY112" s="7"/>
      <c r="PJZ112" s="7"/>
      <c r="PKA112" s="7"/>
      <c r="PKB112" s="7"/>
      <c r="PKC112" s="7"/>
      <c r="PKD112" s="7"/>
      <c r="PKE112" s="7"/>
      <c r="PKF112" s="7"/>
      <c r="PKG112" s="7"/>
      <c r="PKH112" s="7"/>
      <c r="PKI112" s="7"/>
      <c r="PKJ112" s="7"/>
      <c r="PKK112" s="7"/>
      <c r="PKL112" s="7"/>
      <c r="PKM112" s="7"/>
      <c r="PKN112" s="7"/>
      <c r="PKO112" s="7"/>
      <c r="PKP112" s="7"/>
      <c r="PKQ112" s="7"/>
      <c r="PKR112" s="7"/>
      <c r="PKS112" s="7"/>
      <c r="PKT112" s="7"/>
      <c r="PKU112" s="7"/>
      <c r="PKV112" s="7"/>
      <c r="PKW112" s="7"/>
      <c r="PKX112" s="7"/>
      <c r="PKY112" s="7"/>
      <c r="PKZ112" s="7"/>
      <c r="PLA112" s="7"/>
      <c r="PLB112" s="7"/>
      <c r="PLC112" s="7"/>
      <c r="PLD112" s="7"/>
      <c r="PLE112" s="7"/>
      <c r="PLF112" s="7"/>
      <c r="PLG112" s="7"/>
      <c r="PLH112" s="7"/>
      <c r="PLI112" s="7"/>
      <c r="PLJ112" s="7"/>
      <c r="PLK112" s="7"/>
      <c r="PLL112" s="7"/>
      <c r="PLM112" s="7"/>
      <c r="PLN112" s="7"/>
      <c r="PLO112" s="7"/>
      <c r="PLP112" s="7"/>
      <c r="PLQ112" s="7"/>
      <c r="PLR112" s="7"/>
      <c r="PLS112" s="7"/>
      <c r="PLT112" s="7"/>
      <c r="PLU112" s="7"/>
      <c r="PLV112" s="7"/>
      <c r="PLW112" s="7"/>
      <c r="PLX112" s="7"/>
      <c r="PLY112" s="7"/>
      <c r="PLZ112" s="7"/>
      <c r="PMA112" s="7"/>
      <c r="PMB112" s="7"/>
      <c r="PMC112" s="7"/>
      <c r="PMD112" s="7"/>
      <c r="PME112" s="7"/>
      <c r="PMF112" s="7"/>
      <c r="PMG112" s="7"/>
      <c r="PMH112" s="7"/>
      <c r="PMI112" s="7"/>
      <c r="PMJ112" s="7"/>
      <c r="PMK112" s="7"/>
      <c r="PML112" s="7"/>
      <c r="PMM112" s="7"/>
      <c r="PMN112" s="7"/>
      <c r="PMO112" s="7"/>
      <c r="PMP112" s="7"/>
      <c r="PMQ112" s="7"/>
      <c r="PMR112" s="7"/>
      <c r="PMS112" s="7"/>
      <c r="PMT112" s="7"/>
      <c r="PMU112" s="7"/>
      <c r="PMV112" s="7"/>
      <c r="PMW112" s="7"/>
      <c r="PMX112" s="7"/>
      <c r="PMY112" s="7"/>
      <c r="PMZ112" s="7"/>
      <c r="PNA112" s="7"/>
      <c r="PNB112" s="7"/>
      <c r="PNC112" s="7"/>
      <c r="PND112" s="7"/>
      <c r="PNE112" s="7"/>
      <c r="PNF112" s="7"/>
      <c r="PNG112" s="7"/>
      <c r="PNH112" s="7"/>
      <c r="PNI112" s="7"/>
      <c r="PNJ112" s="7"/>
      <c r="PNK112" s="7"/>
      <c r="PNL112" s="7"/>
      <c r="PNM112" s="7"/>
      <c r="PNN112" s="7"/>
      <c r="PNO112" s="7"/>
      <c r="PNP112" s="7"/>
      <c r="PNQ112" s="7"/>
      <c r="PNR112" s="7"/>
      <c r="PNS112" s="7"/>
      <c r="PNT112" s="7"/>
      <c r="PNU112" s="7"/>
      <c r="PNV112" s="7"/>
      <c r="PNW112" s="7"/>
      <c r="PNX112" s="7"/>
      <c r="PNY112" s="7"/>
      <c r="PNZ112" s="7"/>
      <c r="POA112" s="7"/>
      <c r="POB112" s="7"/>
      <c r="POC112" s="7"/>
      <c r="POD112" s="7"/>
      <c r="POE112" s="7"/>
      <c r="POF112" s="7"/>
      <c r="POG112" s="7"/>
      <c r="POH112" s="7"/>
      <c r="POI112" s="7"/>
      <c r="POJ112" s="7"/>
      <c r="POK112" s="7"/>
      <c r="POL112" s="7"/>
      <c r="POM112" s="7"/>
      <c r="PON112" s="7"/>
      <c r="POO112" s="7"/>
      <c r="POP112" s="7"/>
      <c r="POQ112" s="7"/>
      <c r="POR112" s="7"/>
      <c r="POS112" s="7"/>
      <c r="POT112" s="7"/>
      <c r="POU112" s="7"/>
      <c r="POV112" s="7"/>
      <c r="POW112" s="7"/>
      <c r="POX112" s="7"/>
      <c r="POY112" s="7"/>
      <c r="POZ112" s="7"/>
      <c r="PPA112" s="7"/>
      <c r="PPB112" s="7"/>
      <c r="PPC112" s="7"/>
      <c r="PPD112" s="7"/>
      <c r="PPE112" s="7"/>
      <c r="PPF112" s="7"/>
      <c r="PPG112" s="7"/>
      <c r="PPH112" s="7"/>
      <c r="PPI112" s="7"/>
      <c r="PPJ112" s="7"/>
      <c r="PPK112" s="7"/>
      <c r="PPL112" s="7"/>
      <c r="PPM112" s="7"/>
      <c r="PPN112" s="7"/>
      <c r="PPO112" s="7"/>
      <c r="PPP112" s="7"/>
      <c r="PPQ112" s="7"/>
      <c r="PPR112" s="7"/>
      <c r="PPS112" s="7"/>
      <c r="PPT112" s="7"/>
      <c r="PPU112" s="7"/>
      <c r="PPV112" s="7"/>
      <c r="PPW112" s="7"/>
      <c r="PPX112" s="7"/>
      <c r="PPY112" s="7"/>
      <c r="PPZ112" s="7"/>
      <c r="PQA112" s="7"/>
      <c r="PQB112" s="7"/>
      <c r="PQC112" s="7"/>
      <c r="PQD112" s="7"/>
      <c r="PQE112" s="7"/>
      <c r="PQF112" s="7"/>
      <c r="PQG112" s="7"/>
      <c r="PQH112" s="7"/>
      <c r="PQI112" s="7"/>
      <c r="PQJ112" s="7"/>
      <c r="PQK112" s="7"/>
      <c r="PQL112" s="7"/>
      <c r="PQM112" s="7"/>
      <c r="PQN112" s="7"/>
      <c r="PQO112" s="7"/>
      <c r="PQP112" s="7"/>
      <c r="PQQ112" s="7"/>
      <c r="PQR112" s="7"/>
      <c r="PQS112" s="7"/>
      <c r="PQT112" s="7"/>
      <c r="PQU112" s="7"/>
      <c r="PQV112" s="7"/>
      <c r="PQW112" s="7"/>
      <c r="PQX112" s="7"/>
      <c r="PQY112" s="7"/>
      <c r="PQZ112" s="7"/>
      <c r="PRA112" s="7"/>
      <c r="PRB112" s="7"/>
      <c r="PRC112" s="7"/>
      <c r="PRD112" s="7"/>
      <c r="PRE112" s="7"/>
      <c r="PRF112" s="7"/>
      <c r="PRG112" s="7"/>
      <c r="PRH112" s="7"/>
      <c r="PRI112" s="7"/>
      <c r="PRJ112" s="7"/>
      <c r="PRK112" s="7"/>
      <c r="PRL112" s="7"/>
      <c r="PRM112" s="7"/>
      <c r="PRN112" s="7"/>
      <c r="PRO112" s="7"/>
      <c r="PRP112" s="7"/>
      <c r="PRQ112" s="7"/>
      <c r="PRR112" s="7"/>
      <c r="PRS112" s="7"/>
      <c r="PRT112" s="7"/>
      <c r="PRU112" s="7"/>
      <c r="PRV112" s="7"/>
      <c r="PRW112" s="7"/>
      <c r="PRX112" s="7"/>
      <c r="PRY112" s="7"/>
      <c r="PRZ112" s="7"/>
      <c r="PSA112" s="7"/>
      <c r="PSB112" s="7"/>
      <c r="PSC112" s="7"/>
      <c r="PSD112" s="7"/>
      <c r="PSE112" s="7"/>
      <c r="PSF112" s="7"/>
      <c r="PSG112" s="7"/>
      <c r="PSH112" s="7"/>
      <c r="PSI112" s="7"/>
      <c r="PSJ112" s="7"/>
      <c r="PSK112" s="7"/>
      <c r="PSL112" s="7"/>
      <c r="PSM112" s="7"/>
      <c r="PSN112" s="7"/>
      <c r="PSO112" s="7"/>
      <c r="PSP112" s="7"/>
      <c r="PSQ112" s="7"/>
      <c r="PSR112" s="7"/>
      <c r="PSS112" s="7"/>
      <c r="PST112" s="7"/>
      <c r="PSU112" s="7"/>
      <c r="PSV112" s="7"/>
      <c r="PSW112" s="7"/>
      <c r="PSX112" s="7"/>
      <c r="PSY112" s="7"/>
      <c r="PSZ112" s="7"/>
      <c r="PTA112" s="7"/>
      <c r="PTB112" s="7"/>
      <c r="PTC112" s="7"/>
      <c r="PTD112" s="7"/>
      <c r="PTE112" s="7"/>
      <c r="PTF112" s="7"/>
      <c r="PTG112" s="7"/>
      <c r="PTH112" s="7"/>
      <c r="PTI112" s="7"/>
      <c r="PTJ112" s="7"/>
      <c r="PTK112" s="7"/>
      <c r="PTL112" s="7"/>
      <c r="PTM112" s="7"/>
      <c r="PTN112" s="7"/>
      <c r="PTO112" s="7"/>
      <c r="PTP112" s="7"/>
      <c r="PTQ112" s="7"/>
      <c r="PTR112" s="7"/>
      <c r="PTS112" s="7"/>
      <c r="PTT112" s="7"/>
      <c r="PTU112" s="7"/>
      <c r="PTV112" s="7"/>
      <c r="PTW112" s="7"/>
      <c r="PTX112" s="7"/>
      <c r="PTY112" s="7"/>
      <c r="PTZ112" s="7"/>
      <c r="PUA112" s="7"/>
      <c r="PUB112" s="7"/>
      <c r="PUC112" s="7"/>
      <c r="PUD112" s="7"/>
      <c r="PUE112" s="7"/>
      <c r="PUF112" s="7"/>
      <c r="PUG112" s="7"/>
      <c r="PUH112" s="7"/>
      <c r="PUI112" s="7"/>
      <c r="PUJ112" s="7"/>
      <c r="PUK112" s="7"/>
      <c r="PUL112" s="7"/>
      <c r="PUM112" s="7"/>
      <c r="PUN112" s="7"/>
      <c r="PUO112" s="7"/>
      <c r="PUP112" s="7"/>
      <c r="PUQ112" s="7"/>
      <c r="PUR112" s="7"/>
      <c r="PUS112" s="7"/>
      <c r="PUT112" s="7"/>
      <c r="PUU112" s="7"/>
      <c r="PUV112" s="7"/>
      <c r="PUW112" s="7"/>
      <c r="PUX112" s="7"/>
      <c r="PUY112" s="7"/>
      <c r="PUZ112" s="7"/>
      <c r="PVA112" s="7"/>
      <c r="PVB112" s="7"/>
      <c r="PVC112" s="7"/>
      <c r="PVD112" s="7"/>
      <c r="PVE112" s="7"/>
      <c r="PVF112" s="7"/>
      <c r="PVG112" s="7"/>
      <c r="PVH112" s="7"/>
      <c r="PVI112" s="7"/>
      <c r="PVJ112" s="7"/>
      <c r="PVK112" s="7"/>
      <c r="PVL112" s="7"/>
      <c r="PVM112" s="7"/>
      <c r="PVN112" s="7"/>
      <c r="PVO112" s="7"/>
      <c r="PVP112" s="7"/>
      <c r="PVQ112" s="7"/>
      <c r="PVR112" s="7"/>
      <c r="PVS112" s="7"/>
      <c r="PVT112" s="7"/>
      <c r="PVU112" s="7"/>
      <c r="PVV112" s="7"/>
      <c r="PVW112" s="7"/>
      <c r="PVX112" s="7"/>
      <c r="PVY112" s="7"/>
      <c r="PVZ112" s="7"/>
      <c r="PWA112" s="7"/>
      <c r="PWB112" s="7"/>
      <c r="PWC112" s="7"/>
      <c r="PWD112" s="7"/>
      <c r="PWE112" s="7"/>
      <c r="PWF112" s="7"/>
      <c r="PWG112" s="7"/>
      <c r="PWH112" s="7"/>
      <c r="PWI112" s="7"/>
      <c r="PWJ112" s="7"/>
      <c r="PWK112" s="7"/>
      <c r="PWL112" s="7"/>
      <c r="PWM112" s="7"/>
      <c r="PWN112" s="7"/>
      <c r="PWO112" s="7"/>
      <c r="PWP112" s="7"/>
      <c r="PWQ112" s="7"/>
      <c r="PWR112" s="7"/>
      <c r="PWS112" s="7"/>
      <c r="PWT112" s="7"/>
      <c r="PWU112" s="7"/>
      <c r="PWV112" s="7"/>
      <c r="PWW112" s="7"/>
      <c r="PWX112" s="7"/>
      <c r="PWY112" s="7"/>
      <c r="PWZ112" s="7"/>
      <c r="PXA112" s="7"/>
      <c r="PXB112" s="7"/>
      <c r="PXC112" s="7"/>
      <c r="PXD112" s="7"/>
      <c r="PXE112" s="7"/>
      <c r="PXF112" s="7"/>
      <c r="PXG112" s="7"/>
      <c r="PXH112" s="7"/>
      <c r="PXI112" s="7"/>
      <c r="PXJ112" s="7"/>
      <c r="PXK112" s="7"/>
      <c r="PXL112" s="7"/>
      <c r="PXM112" s="7"/>
      <c r="PXN112" s="7"/>
      <c r="PXO112" s="7"/>
      <c r="PXP112" s="7"/>
      <c r="PXQ112" s="7"/>
      <c r="PXR112" s="7"/>
      <c r="PXS112" s="7"/>
      <c r="PXT112" s="7"/>
      <c r="PXU112" s="7"/>
      <c r="PXV112" s="7"/>
      <c r="PXW112" s="7"/>
      <c r="PXX112" s="7"/>
      <c r="PXY112" s="7"/>
      <c r="PXZ112" s="7"/>
      <c r="PYA112" s="7"/>
      <c r="PYB112" s="7"/>
      <c r="PYC112" s="7"/>
      <c r="PYD112" s="7"/>
      <c r="PYE112" s="7"/>
      <c r="PYF112" s="7"/>
      <c r="PYG112" s="7"/>
      <c r="PYH112" s="7"/>
      <c r="PYI112" s="7"/>
      <c r="PYJ112" s="7"/>
      <c r="PYK112" s="7"/>
      <c r="PYL112" s="7"/>
      <c r="PYM112" s="7"/>
      <c r="PYN112" s="7"/>
      <c r="PYO112" s="7"/>
      <c r="PYP112" s="7"/>
      <c r="PYQ112" s="7"/>
      <c r="PYR112" s="7"/>
      <c r="PYS112" s="7"/>
      <c r="PYT112" s="7"/>
      <c r="PYU112" s="7"/>
      <c r="PYV112" s="7"/>
      <c r="PYW112" s="7"/>
      <c r="PYX112" s="7"/>
      <c r="PYY112" s="7"/>
      <c r="PYZ112" s="7"/>
      <c r="PZA112" s="7"/>
      <c r="PZB112" s="7"/>
      <c r="PZC112" s="7"/>
      <c r="PZD112" s="7"/>
      <c r="PZE112" s="7"/>
      <c r="PZF112" s="7"/>
      <c r="PZG112" s="7"/>
      <c r="PZH112" s="7"/>
      <c r="PZI112" s="7"/>
      <c r="PZJ112" s="7"/>
      <c r="PZK112" s="7"/>
      <c r="PZL112" s="7"/>
      <c r="PZM112" s="7"/>
      <c r="PZN112" s="7"/>
      <c r="PZO112" s="7"/>
      <c r="PZP112" s="7"/>
      <c r="PZQ112" s="7"/>
      <c r="PZR112" s="7"/>
      <c r="PZS112" s="7"/>
      <c r="PZT112" s="7"/>
      <c r="PZU112" s="7"/>
      <c r="PZV112" s="7"/>
      <c r="PZW112" s="7"/>
      <c r="PZX112" s="7"/>
      <c r="PZY112" s="7"/>
      <c r="PZZ112" s="7"/>
      <c r="QAA112" s="7"/>
      <c r="QAB112" s="7"/>
      <c r="QAC112" s="7"/>
      <c r="QAD112" s="7"/>
      <c r="QAE112" s="7"/>
      <c r="QAF112" s="7"/>
      <c r="QAG112" s="7"/>
      <c r="QAH112" s="7"/>
      <c r="QAI112" s="7"/>
      <c r="QAJ112" s="7"/>
      <c r="QAK112" s="7"/>
      <c r="QAL112" s="7"/>
      <c r="QAM112" s="7"/>
      <c r="QAN112" s="7"/>
      <c r="QAO112" s="7"/>
      <c r="QAP112" s="7"/>
      <c r="QAQ112" s="7"/>
      <c r="QAR112" s="7"/>
      <c r="QAS112" s="7"/>
      <c r="QAT112" s="7"/>
      <c r="QAU112" s="7"/>
      <c r="QAV112" s="7"/>
      <c r="QAW112" s="7"/>
      <c r="QAX112" s="7"/>
      <c r="QAY112" s="7"/>
      <c r="QAZ112" s="7"/>
      <c r="QBA112" s="7"/>
      <c r="QBB112" s="7"/>
      <c r="QBC112" s="7"/>
      <c r="QBD112" s="7"/>
      <c r="QBE112" s="7"/>
      <c r="QBF112" s="7"/>
      <c r="QBG112" s="7"/>
      <c r="QBH112" s="7"/>
      <c r="QBI112" s="7"/>
      <c r="QBJ112" s="7"/>
      <c r="QBK112" s="7"/>
      <c r="QBL112" s="7"/>
      <c r="QBM112" s="7"/>
      <c r="QBN112" s="7"/>
      <c r="QBO112" s="7"/>
      <c r="QBP112" s="7"/>
      <c r="QBQ112" s="7"/>
      <c r="QBR112" s="7"/>
      <c r="QBS112" s="7"/>
      <c r="QBT112" s="7"/>
      <c r="QBU112" s="7"/>
      <c r="QBV112" s="7"/>
      <c r="QBW112" s="7"/>
      <c r="QBX112" s="7"/>
      <c r="QBY112" s="7"/>
      <c r="QBZ112" s="7"/>
      <c r="QCA112" s="7"/>
      <c r="QCB112" s="7"/>
      <c r="QCC112" s="7"/>
      <c r="QCD112" s="7"/>
      <c r="QCE112" s="7"/>
      <c r="QCF112" s="7"/>
      <c r="QCG112" s="7"/>
      <c r="QCH112" s="7"/>
      <c r="QCI112" s="7"/>
      <c r="QCJ112" s="7"/>
      <c r="QCK112" s="7"/>
      <c r="QCL112" s="7"/>
      <c r="QCM112" s="7"/>
      <c r="QCN112" s="7"/>
      <c r="QCO112" s="7"/>
      <c r="QCP112" s="7"/>
      <c r="QCQ112" s="7"/>
      <c r="QCR112" s="7"/>
      <c r="QCS112" s="7"/>
      <c r="QCT112" s="7"/>
      <c r="QCU112" s="7"/>
      <c r="QCV112" s="7"/>
      <c r="QCW112" s="7"/>
      <c r="QCX112" s="7"/>
      <c r="QCY112" s="7"/>
      <c r="QCZ112" s="7"/>
      <c r="QDA112" s="7"/>
      <c r="QDB112" s="7"/>
      <c r="QDC112" s="7"/>
      <c r="QDD112" s="7"/>
      <c r="QDE112" s="7"/>
      <c r="QDF112" s="7"/>
      <c r="QDG112" s="7"/>
      <c r="QDH112" s="7"/>
      <c r="QDI112" s="7"/>
      <c r="QDJ112" s="7"/>
      <c r="QDK112" s="7"/>
      <c r="QDL112" s="7"/>
      <c r="QDM112" s="7"/>
      <c r="QDN112" s="7"/>
      <c r="QDO112" s="7"/>
      <c r="QDP112" s="7"/>
      <c r="QDQ112" s="7"/>
      <c r="QDR112" s="7"/>
      <c r="QDS112" s="7"/>
      <c r="QDT112" s="7"/>
      <c r="QDU112" s="7"/>
      <c r="QDV112" s="7"/>
      <c r="QDW112" s="7"/>
      <c r="QDX112" s="7"/>
      <c r="QDY112" s="7"/>
      <c r="QDZ112" s="7"/>
      <c r="QEA112" s="7"/>
      <c r="QEB112" s="7"/>
      <c r="QEC112" s="7"/>
      <c r="QED112" s="7"/>
      <c r="QEE112" s="7"/>
      <c r="QEF112" s="7"/>
      <c r="QEG112" s="7"/>
      <c r="QEH112" s="7"/>
      <c r="QEI112" s="7"/>
      <c r="QEJ112" s="7"/>
      <c r="QEK112" s="7"/>
      <c r="QEL112" s="7"/>
      <c r="QEM112" s="7"/>
      <c r="QEN112" s="7"/>
      <c r="QEO112" s="7"/>
      <c r="QEP112" s="7"/>
      <c r="QEQ112" s="7"/>
      <c r="QER112" s="7"/>
      <c r="QES112" s="7"/>
      <c r="QET112" s="7"/>
      <c r="QEU112" s="7"/>
      <c r="QEV112" s="7"/>
      <c r="QEW112" s="7"/>
      <c r="QEX112" s="7"/>
      <c r="QEY112" s="7"/>
      <c r="QEZ112" s="7"/>
      <c r="QFA112" s="7"/>
      <c r="QFB112" s="7"/>
      <c r="QFC112" s="7"/>
      <c r="QFD112" s="7"/>
      <c r="QFE112" s="7"/>
      <c r="QFF112" s="7"/>
      <c r="QFG112" s="7"/>
      <c r="QFH112" s="7"/>
      <c r="QFI112" s="7"/>
      <c r="QFJ112" s="7"/>
      <c r="QFK112" s="7"/>
      <c r="QFL112" s="7"/>
      <c r="QFM112" s="7"/>
      <c r="QFN112" s="7"/>
      <c r="QFO112" s="7"/>
      <c r="QFP112" s="7"/>
      <c r="QFQ112" s="7"/>
      <c r="QFR112" s="7"/>
      <c r="QFS112" s="7"/>
      <c r="QFT112" s="7"/>
      <c r="QFU112" s="7"/>
      <c r="QFV112" s="7"/>
      <c r="QFW112" s="7"/>
      <c r="QFX112" s="7"/>
      <c r="QFY112" s="7"/>
      <c r="QFZ112" s="7"/>
      <c r="QGA112" s="7"/>
      <c r="QGB112" s="7"/>
      <c r="QGC112" s="7"/>
      <c r="QGD112" s="7"/>
      <c r="QGE112" s="7"/>
      <c r="QGF112" s="7"/>
      <c r="QGG112" s="7"/>
      <c r="QGH112" s="7"/>
      <c r="QGI112" s="7"/>
      <c r="QGJ112" s="7"/>
      <c r="QGK112" s="7"/>
      <c r="QGL112" s="7"/>
      <c r="QGM112" s="7"/>
      <c r="QGN112" s="7"/>
      <c r="QGO112" s="7"/>
      <c r="QGP112" s="7"/>
      <c r="QGQ112" s="7"/>
      <c r="QGR112" s="7"/>
      <c r="QGS112" s="7"/>
      <c r="QGT112" s="7"/>
      <c r="QGU112" s="7"/>
      <c r="QGV112" s="7"/>
      <c r="QGW112" s="7"/>
      <c r="QGX112" s="7"/>
      <c r="QGY112" s="7"/>
      <c r="QGZ112" s="7"/>
      <c r="QHA112" s="7"/>
      <c r="QHB112" s="7"/>
      <c r="QHC112" s="7"/>
      <c r="QHD112" s="7"/>
      <c r="QHE112" s="7"/>
      <c r="QHF112" s="7"/>
      <c r="QHG112" s="7"/>
      <c r="QHH112" s="7"/>
      <c r="QHI112" s="7"/>
      <c r="QHJ112" s="7"/>
      <c r="QHK112" s="7"/>
      <c r="QHL112" s="7"/>
      <c r="QHM112" s="7"/>
      <c r="QHN112" s="7"/>
      <c r="QHO112" s="7"/>
      <c r="QHP112" s="7"/>
      <c r="QHQ112" s="7"/>
      <c r="QHR112" s="7"/>
      <c r="QHS112" s="7"/>
      <c r="QHT112" s="7"/>
      <c r="QHU112" s="7"/>
      <c r="QHV112" s="7"/>
      <c r="QHW112" s="7"/>
      <c r="QHX112" s="7"/>
      <c r="QHY112" s="7"/>
      <c r="QHZ112" s="7"/>
      <c r="QIA112" s="7"/>
      <c r="QIB112" s="7"/>
      <c r="QIC112" s="7"/>
      <c r="QID112" s="7"/>
      <c r="QIE112" s="7"/>
      <c r="QIF112" s="7"/>
      <c r="QIG112" s="7"/>
      <c r="QIH112" s="7"/>
      <c r="QII112" s="7"/>
      <c r="QIJ112" s="7"/>
      <c r="QIK112" s="7"/>
      <c r="QIL112" s="7"/>
      <c r="QIM112" s="7"/>
      <c r="QIN112" s="7"/>
      <c r="QIO112" s="7"/>
      <c r="QIP112" s="7"/>
      <c r="QIQ112" s="7"/>
      <c r="QIR112" s="7"/>
      <c r="QIS112" s="7"/>
      <c r="QIT112" s="7"/>
      <c r="QIU112" s="7"/>
      <c r="QIV112" s="7"/>
      <c r="QIW112" s="7"/>
      <c r="QIX112" s="7"/>
      <c r="QIY112" s="7"/>
      <c r="QIZ112" s="7"/>
      <c r="QJA112" s="7"/>
      <c r="QJB112" s="7"/>
      <c r="QJC112" s="7"/>
      <c r="QJD112" s="7"/>
      <c r="QJE112" s="7"/>
      <c r="QJF112" s="7"/>
      <c r="QJG112" s="7"/>
      <c r="QJH112" s="7"/>
      <c r="QJI112" s="7"/>
      <c r="QJJ112" s="7"/>
      <c r="QJK112" s="7"/>
      <c r="QJL112" s="7"/>
      <c r="QJM112" s="7"/>
      <c r="QJN112" s="7"/>
      <c r="QJO112" s="7"/>
      <c r="QJP112" s="7"/>
      <c r="QJQ112" s="7"/>
      <c r="QJR112" s="7"/>
      <c r="QJS112" s="7"/>
      <c r="QJT112" s="7"/>
      <c r="QJU112" s="7"/>
      <c r="QJV112" s="7"/>
      <c r="QJW112" s="7"/>
      <c r="QJX112" s="7"/>
      <c r="QJY112" s="7"/>
      <c r="QJZ112" s="7"/>
      <c r="QKA112" s="7"/>
      <c r="QKB112" s="7"/>
      <c r="QKC112" s="7"/>
      <c r="QKD112" s="7"/>
      <c r="QKE112" s="7"/>
      <c r="QKF112" s="7"/>
      <c r="QKG112" s="7"/>
      <c r="QKH112" s="7"/>
      <c r="QKI112" s="7"/>
      <c r="QKJ112" s="7"/>
      <c r="QKK112" s="7"/>
      <c r="QKL112" s="7"/>
      <c r="QKM112" s="7"/>
      <c r="QKN112" s="7"/>
      <c r="QKO112" s="7"/>
      <c r="QKP112" s="7"/>
      <c r="QKQ112" s="7"/>
      <c r="QKR112" s="7"/>
      <c r="QKS112" s="7"/>
      <c r="QKT112" s="7"/>
      <c r="QKU112" s="7"/>
      <c r="QKV112" s="7"/>
      <c r="QKW112" s="7"/>
      <c r="QKX112" s="7"/>
      <c r="QKY112" s="7"/>
      <c r="QKZ112" s="7"/>
      <c r="QLA112" s="7"/>
      <c r="QLB112" s="7"/>
      <c r="QLC112" s="7"/>
      <c r="QLD112" s="7"/>
      <c r="QLE112" s="7"/>
      <c r="QLF112" s="7"/>
      <c r="QLG112" s="7"/>
      <c r="QLH112" s="7"/>
      <c r="QLI112" s="7"/>
      <c r="QLJ112" s="7"/>
      <c r="QLK112" s="7"/>
      <c r="QLL112" s="7"/>
      <c r="QLM112" s="7"/>
      <c r="QLN112" s="7"/>
      <c r="QLO112" s="7"/>
      <c r="QLP112" s="7"/>
      <c r="QLQ112" s="7"/>
      <c r="QLR112" s="7"/>
      <c r="QLS112" s="7"/>
      <c r="QLT112" s="7"/>
      <c r="QLU112" s="7"/>
      <c r="QLV112" s="7"/>
      <c r="QLW112" s="7"/>
      <c r="QLX112" s="7"/>
      <c r="QLY112" s="7"/>
      <c r="QLZ112" s="7"/>
      <c r="QMA112" s="7"/>
      <c r="QMB112" s="7"/>
      <c r="QMC112" s="7"/>
      <c r="QMD112" s="7"/>
      <c r="QME112" s="7"/>
      <c r="QMF112" s="7"/>
      <c r="QMG112" s="7"/>
      <c r="QMH112" s="7"/>
      <c r="QMI112" s="7"/>
      <c r="QMJ112" s="7"/>
      <c r="QMK112" s="7"/>
      <c r="QML112" s="7"/>
      <c r="QMM112" s="7"/>
      <c r="QMN112" s="7"/>
      <c r="QMO112" s="7"/>
      <c r="QMP112" s="7"/>
      <c r="QMQ112" s="7"/>
      <c r="QMR112" s="7"/>
      <c r="QMS112" s="7"/>
      <c r="QMT112" s="7"/>
      <c r="QMU112" s="7"/>
      <c r="QMV112" s="7"/>
      <c r="QMW112" s="7"/>
      <c r="QMX112" s="7"/>
      <c r="QMY112" s="7"/>
      <c r="QMZ112" s="7"/>
      <c r="QNA112" s="7"/>
      <c r="QNB112" s="7"/>
      <c r="QNC112" s="7"/>
      <c r="QND112" s="7"/>
      <c r="QNE112" s="7"/>
      <c r="QNF112" s="7"/>
      <c r="QNG112" s="7"/>
      <c r="QNH112" s="7"/>
      <c r="QNI112" s="7"/>
      <c r="QNJ112" s="7"/>
      <c r="QNK112" s="7"/>
      <c r="QNL112" s="7"/>
      <c r="QNM112" s="7"/>
      <c r="QNN112" s="7"/>
      <c r="QNO112" s="7"/>
      <c r="QNP112" s="7"/>
      <c r="QNQ112" s="7"/>
      <c r="QNR112" s="7"/>
      <c r="QNS112" s="7"/>
      <c r="QNT112" s="7"/>
      <c r="QNU112" s="7"/>
      <c r="QNV112" s="7"/>
      <c r="QNW112" s="7"/>
      <c r="QNX112" s="7"/>
      <c r="QNY112" s="7"/>
      <c r="QNZ112" s="7"/>
      <c r="QOA112" s="7"/>
      <c r="QOB112" s="7"/>
      <c r="QOC112" s="7"/>
      <c r="QOD112" s="7"/>
      <c r="QOE112" s="7"/>
      <c r="QOF112" s="7"/>
      <c r="QOG112" s="7"/>
      <c r="QOH112" s="7"/>
      <c r="QOI112" s="7"/>
      <c r="QOJ112" s="7"/>
      <c r="QOK112" s="7"/>
      <c r="QOL112" s="7"/>
      <c r="QOM112" s="7"/>
      <c r="QON112" s="7"/>
      <c r="QOO112" s="7"/>
      <c r="QOP112" s="7"/>
      <c r="QOQ112" s="7"/>
      <c r="QOR112" s="7"/>
      <c r="QOS112" s="7"/>
      <c r="QOT112" s="7"/>
      <c r="QOU112" s="7"/>
      <c r="QOV112" s="7"/>
      <c r="QOW112" s="7"/>
      <c r="QOX112" s="7"/>
      <c r="QOY112" s="7"/>
      <c r="QOZ112" s="7"/>
      <c r="QPA112" s="7"/>
      <c r="QPB112" s="7"/>
      <c r="QPC112" s="7"/>
      <c r="QPD112" s="7"/>
      <c r="QPE112" s="7"/>
      <c r="QPF112" s="7"/>
      <c r="QPG112" s="7"/>
      <c r="QPH112" s="7"/>
      <c r="QPI112" s="7"/>
      <c r="QPJ112" s="7"/>
      <c r="QPK112" s="7"/>
      <c r="QPL112" s="7"/>
      <c r="QPM112" s="7"/>
      <c r="QPN112" s="7"/>
      <c r="QPO112" s="7"/>
      <c r="QPP112" s="7"/>
      <c r="QPQ112" s="7"/>
      <c r="QPR112" s="7"/>
      <c r="QPS112" s="7"/>
      <c r="QPT112" s="7"/>
      <c r="QPU112" s="7"/>
      <c r="QPV112" s="7"/>
      <c r="QPW112" s="7"/>
      <c r="QPX112" s="7"/>
      <c r="QPY112" s="7"/>
      <c r="QPZ112" s="7"/>
      <c r="QQA112" s="7"/>
      <c r="QQB112" s="7"/>
      <c r="QQC112" s="7"/>
      <c r="QQD112" s="7"/>
      <c r="QQE112" s="7"/>
      <c r="QQF112" s="7"/>
      <c r="QQG112" s="7"/>
      <c r="QQH112" s="7"/>
      <c r="QQI112" s="7"/>
      <c r="QQJ112" s="7"/>
      <c r="QQK112" s="7"/>
      <c r="QQL112" s="7"/>
      <c r="QQM112" s="7"/>
      <c r="QQN112" s="7"/>
      <c r="QQO112" s="7"/>
      <c r="QQP112" s="7"/>
      <c r="QQQ112" s="7"/>
      <c r="QQR112" s="7"/>
      <c r="QQS112" s="7"/>
      <c r="QQT112" s="7"/>
      <c r="QQU112" s="7"/>
      <c r="QQV112" s="7"/>
      <c r="QQW112" s="7"/>
      <c r="QQX112" s="7"/>
      <c r="QQY112" s="7"/>
      <c r="QQZ112" s="7"/>
      <c r="QRA112" s="7"/>
      <c r="QRB112" s="7"/>
      <c r="QRC112" s="7"/>
      <c r="QRD112" s="7"/>
      <c r="QRE112" s="7"/>
      <c r="QRF112" s="7"/>
      <c r="QRG112" s="7"/>
      <c r="QRH112" s="7"/>
      <c r="QRI112" s="7"/>
      <c r="QRJ112" s="7"/>
      <c r="QRK112" s="7"/>
      <c r="QRL112" s="7"/>
      <c r="QRM112" s="7"/>
      <c r="QRN112" s="7"/>
      <c r="QRO112" s="7"/>
      <c r="QRP112" s="7"/>
      <c r="QRQ112" s="7"/>
      <c r="QRR112" s="7"/>
      <c r="QRS112" s="7"/>
      <c r="QRT112" s="7"/>
      <c r="QRU112" s="7"/>
      <c r="QRV112" s="7"/>
      <c r="QRW112" s="7"/>
      <c r="QRX112" s="7"/>
      <c r="QRY112" s="7"/>
      <c r="QRZ112" s="7"/>
      <c r="QSA112" s="7"/>
      <c r="QSB112" s="7"/>
      <c r="QSC112" s="7"/>
      <c r="QSD112" s="7"/>
      <c r="QSE112" s="7"/>
      <c r="QSF112" s="7"/>
      <c r="QSG112" s="7"/>
      <c r="QSH112" s="7"/>
      <c r="QSI112" s="7"/>
      <c r="QSJ112" s="7"/>
      <c r="QSK112" s="7"/>
      <c r="QSL112" s="7"/>
      <c r="QSM112" s="7"/>
      <c r="QSN112" s="7"/>
      <c r="QSO112" s="7"/>
      <c r="QSP112" s="7"/>
      <c r="QSQ112" s="7"/>
      <c r="QSR112" s="7"/>
      <c r="QSS112" s="7"/>
      <c r="QST112" s="7"/>
      <c r="QSU112" s="7"/>
      <c r="QSV112" s="7"/>
      <c r="QSW112" s="7"/>
      <c r="QSX112" s="7"/>
      <c r="QSY112" s="7"/>
      <c r="QSZ112" s="7"/>
      <c r="QTA112" s="7"/>
      <c r="QTB112" s="7"/>
      <c r="QTC112" s="7"/>
      <c r="QTD112" s="7"/>
      <c r="QTE112" s="7"/>
      <c r="QTF112" s="7"/>
      <c r="QTG112" s="7"/>
      <c r="QTH112" s="7"/>
      <c r="QTI112" s="7"/>
      <c r="QTJ112" s="7"/>
      <c r="QTK112" s="7"/>
      <c r="QTL112" s="7"/>
      <c r="QTM112" s="7"/>
      <c r="QTN112" s="7"/>
      <c r="QTO112" s="7"/>
      <c r="QTP112" s="7"/>
      <c r="QTQ112" s="7"/>
      <c r="QTR112" s="7"/>
      <c r="QTS112" s="7"/>
      <c r="QTT112" s="7"/>
      <c r="QTU112" s="7"/>
      <c r="QTV112" s="7"/>
      <c r="QTW112" s="7"/>
      <c r="QTX112" s="7"/>
      <c r="QTY112" s="7"/>
      <c r="QTZ112" s="7"/>
      <c r="QUA112" s="7"/>
      <c r="QUB112" s="7"/>
      <c r="QUC112" s="7"/>
      <c r="QUD112" s="7"/>
      <c r="QUE112" s="7"/>
      <c r="QUF112" s="7"/>
      <c r="QUG112" s="7"/>
      <c r="QUH112" s="7"/>
      <c r="QUI112" s="7"/>
      <c r="QUJ112" s="7"/>
      <c r="QUK112" s="7"/>
      <c r="QUL112" s="7"/>
      <c r="QUM112" s="7"/>
      <c r="QUN112" s="7"/>
      <c r="QUO112" s="7"/>
      <c r="QUP112" s="7"/>
      <c r="QUQ112" s="7"/>
      <c r="QUR112" s="7"/>
      <c r="QUS112" s="7"/>
      <c r="QUT112" s="7"/>
      <c r="QUU112" s="7"/>
      <c r="QUV112" s="7"/>
      <c r="QUW112" s="7"/>
      <c r="QUX112" s="7"/>
      <c r="QUY112" s="7"/>
      <c r="QUZ112" s="7"/>
      <c r="QVA112" s="7"/>
      <c r="QVB112" s="7"/>
      <c r="QVC112" s="7"/>
      <c r="QVD112" s="7"/>
      <c r="QVE112" s="7"/>
      <c r="QVF112" s="7"/>
      <c r="QVG112" s="7"/>
      <c r="QVH112" s="7"/>
      <c r="QVI112" s="7"/>
      <c r="QVJ112" s="7"/>
      <c r="QVK112" s="7"/>
      <c r="QVL112" s="7"/>
      <c r="QVM112" s="7"/>
      <c r="QVN112" s="7"/>
      <c r="QVO112" s="7"/>
      <c r="QVP112" s="7"/>
      <c r="QVQ112" s="7"/>
      <c r="QVR112" s="7"/>
      <c r="QVS112" s="7"/>
      <c r="QVT112" s="7"/>
      <c r="QVU112" s="7"/>
      <c r="QVV112" s="7"/>
      <c r="QVW112" s="7"/>
      <c r="QVX112" s="7"/>
      <c r="QVY112" s="7"/>
      <c r="QVZ112" s="7"/>
      <c r="QWA112" s="7"/>
      <c r="QWB112" s="7"/>
      <c r="QWC112" s="7"/>
      <c r="QWD112" s="7"/>
      <c r="QWE112" s="7"/>
      <c r="QWF112" s="7"/>
      <c r="QWG112" s="7"/>
      <c r="QWH112" s="7"/>
      <c r="QWI112" s="7"/>
      <c r="QWJ112" s="7"/>
      <c r="QWK112" s="7"/>
      <c r="QWL112" s="7"/>
      <c r="QWM112" s="7"/>
      <c r="QWN112" s="7"/>
      <c r="QWO112" s="7"/>
      <c r="QWP112" s="7"/>
      <c r="QWQ112" s="7"/>
      <c r="QWR112" s="7"/>
      <c r="QWS112" s="7"/>
      <c r="QWT112" s="7"/>
      <c r="QWU112" s="7"/>
      <c r="QWV112" s="7"/>
      <c r="QWW112" s="7"/>
      <c r="QWX112" s="7"/>
      <c r="QWY112" s="7"/>
      <c r="QWZ112" s="7"/>
      <c r="QXA112" s="7"/>
      <c r="QXB112" s="7"/>
      <c r="QXC112" s="7"/>
      <c r="QXD112" s="7"/>
      <c r="QXE112" s="7"/>
      <c r="QXF112" s="7"/>
      <c r="QXG112" s="7"/>
      <c r="QXH112" s="7"/>
      <c r="QXI112" s="7"/>
      <c r="QXJ112" s="7"/>
      <c r="QXK112" s="7"/>
      <c r="QXL112" s="7"/>
      <c r="QXM112" s="7"/>
      <c r="QXN112" s="7"/>
      <c r="QXO112" s="7"/>
      <c r="QXP112" s="7"/>
      <c r="QXQ112" s="7"/>
      <c r="QXR112" s="7"/>
      <c r="QXS112" s="7"/>
      <c r="QXT112" s="7"/>
      <c r="QXU112" s="7"/>
      <c r="QXV112" s="7"/>
      <c r="QXW112" s="7"/>
      <c r="QXX112" s="7"/>
      <c r="QXY112" s="7"/>
      <c r="QXZ112" s="7"/>
      <c r="QYA112" s="7"/>
      <c r="QYB112" s="7"/>
      <c r="QYC112" s="7"/>
      <c r="QYD112" s="7"/>
      <c r="QYE112" s="7"/>
      <c r="QYF112" s="7"/>
      <c r="QYG112" s="7"/>
      <c r="QYH112" s="7"/>
      <c r="QYI112" s="7"/>
      <c r="QYJ112" s="7"/>
      <c r="QYK112" s="7"/>
      <c r="QYL112" s="7"/>
      <c r="QYM112" s="7"/>
      <c r="QYN112" s="7"/>
      <c r="QYO112" s="7"/>
      <c r="QYP112" s="7"/>
      <c r="QYQ112" s="7"/>
      <c r="QYR112" s="7"/>
      <c r="QYS112" s="7"/>
      <c r="QYT112" s="7"/>
      <c r="QYU112" s="7"/>
      <c r="QYV112" s="7"/>
      <c r="QYW112" s="7"/>
      <c r="QYX112" s="7"/>
      <c r="QYY112" s="7"/>
      <c r="QYZ112" s="7"/>
      <c r="QZA112" s="7"/>
      <c r="QZB112" s="7"/>
      <c r="QZC112" s="7"/>
      <c r="QZD112" s="7"/>
      <c r="QZE112" s="7"/>
      <c r="QZF112" s="7"/>
      <c r="QZG112" s="7"/>
      <c r="QZH112" s="7"/>
      <c r="QZI112" s="7"/>
      <c r="QZJ112" s="7"/>
      <c r="QZK112" s="7"/>
      <c r="QZL112" s="7"/>
      <c r="QZM112" s="7"/>
      <c r="QZN112" s="7"/>
      <c r="QZO112" s="7"/>
      <c r="QZP112" s="7"/>
      <c r="QZQ112" s="7"/>
      <c r="QZR112" s="7"/>
      <c r="QZS112" s="7"/>
      <c r="QZT112" s="7"/>
      <c r="QZU112" s="7"/>
      <c r="QZV112" s="7"/>
      <c r="QZW112" s="7"/>
      <c r="QZX112" s="7"/>
      <c r="QZY112" s="7"/>
      <c r="QZZ112" s="7"/>
      <c r="RAA112" s="7"/>
      <c r="RAB112" s="7"/>
      <c r="RAC112" s="7"/>
      <c r="RAD112" s="7"/>
      <c r="RAE112" s="7"/>
      <c r="RAF112" s="7"/>
      <c r="RAG112" s="7"/>
      <c r="RAH112" s="7"/>
      <c r="RAI112" s="7"/>
      <c r="RAJ112" s="7"/>
      <c r="RAK112" s="7"/>
      <c r="RAL112" s="7"/>
      <c r="RAM112" s="7"/>
      <c r="RAN112" s="7"/>
      <c r="RAO112" s="7"/>
      <c r="RAP112" s="7"/>
      <c r="RAQ112" s="7"/>
      <c r="RAR112" s="7"/>
      <c r="RAS112" s="7"/>
      <c r="RAT112" s="7"/>
      <c r="RAU112" s="7"/>
      <c r="RAV112" s="7"/>
      <c r="RAW112" s="7"/>
      <c r="RAX112" s="7"/>
      <c r="RAY112" s="7"/>
      <c r="RAZ112" s="7"/>
      <c r="RBA112" s="7"/>
      <c r="RBB112" s="7"/>
      <c r="RBC112" s="7"/>
      <c r="RBD112" s="7"/>
      <c r="RBE112" s="7"/>
      <c r="RBF112" s="7"/>
      <c r="RBG112" s="7"/>
      <c r="RBH112" s="7"/>
      <c r="RBI112" s="7"/>
      <c r="RBJ112" s="7"/>
      <c r="RBK112" s="7"/>
      <c r="RBL112" s="7"/>
      <c r="RBM112" s="7"/>
      <c r="RBN112" s="7"/>
      <c r="RBO112" s="7"/>
      <c r="RBP112" s="7"/>
      <c r="RBQ112" s="7"/>
      <c r="RBR112" s="7"/>
      <c r="RBS112" s="7"/>
      <c r="RBT112" s="7"/>
      <c r="RBU112" s="7"/>
      <c r="RBV112" s="7"/>
      <c r="RBW112" s="7"/>
      <c r="RBX112" s="7"/>
      <c r="RBY112" s="7"/>
      <c r="RBZ112" s="7"/>
      <c r="RCA112" s="7"/>
      <c r="RCB112" s="7"/>
      <c r="RCC112" s="7"/>
      <c r="RCD112" s="7"/>
      <c r="RCE112" s="7"/>
      <c r="RCF112" s="7"/>
      <c r="RCG112" s="7"/>
      <c r="RCH112" s="7"/>
      <c r="RCI112" s="7"/>
      <c r="RCJ112" s="7"/>
      <c r="RCK112" s="7"/>
      <c r="RCL112" s="7"/>
      <c r="RCM112" s="7"/>
      <c r="RCN112" s="7"/>
      <c r="RCO112" s="7"/>
      <c r="RCP112" s="7"/>
      <c r="RCQ112" s="7"/>
      <c r="RCR112" s="7"/>
      <c r="RCS112" s="7"/>
      <c r="RCT112" s="7"/>
      <c r="RCU112" s="7"/>
      <c r="RCV112" s="7"/>
      <c r="RCW112" s="7"/>
      <c r="RCX112" s="7"/>
      <c r="RCY112" s="7"/>
      <c r="RCZ112" s="7"/>
      <c r="RDA112" s="7"/>
      <c r="RDB112" s="7"/>
      <c r="RDC112" s="7"/>
      <c r="RDD112" s="7"/>
      <c r="RDE112" s="7"/>
      <c r="RDF112" s="7"/>
      <c r="RDG112" s="7"/>
      <c r="RDH112" s="7"/>
      <c r="RDI112" s="7"/>
      <c r="RDJ112" s="7"/>
      <c r="RDK112" s="7"/>
      <c r="RDL112" s="7"/>
      <c r="RDM112" s="7"/>
      <c r="RDN112" s="7"/>
      <c r="RDO112" s="7"/>
      <c r="RDP112" s="7"/>
      <c r="RDQ112" s="7"/>
      <c r="RDR112" s="7"/>
      <c r="RDS112" s="7"/>
      <c r="RDT112" s="7"/>
      <c r="RDU112" s="7"/>
      <c r="RDV112" s="7"/>
      <c r="RDW112" s="7"/>
      <c r="RDX112" s="7"/>
      <c r="RDY112" s="7"/>
      <c r="RDZ112" s="7"/>
      <c r="REA112" s="7"/>
      <c r="REB112" s="7"/>
      <c r="REC112" s="7"/>
      <c r="RED112" s="7"/>
      <c r="REE112" s="7"/>
      <c r="REF112" s="7"/>
      <c r="REG112" s="7"/>
      <c r="REH112" s="7"/>
      <c r="REI112" s="7"/>
      <c r="REJ112" s="7"/>
      <c r="REK112" s="7"/>
      <c r="REL112" s="7"/>
      <c r="REM112" s="7"/>
      <c r="REN112" s="7"/>
      <c r="REO112" s="7"/>
      <c r="REP112" s="7"/>
      <c r="REQ112" s="7"/>
      <c r="RER112" s="7"/>
      <c r="RES112" s="7"/>
      <c r="RET112" s="7"/>
      <c r="REU112" s="7"/>
      <c r="REV112" s="7"/>
      <c r="REW112" s="7"/>
      <c r="REX112" s="7"/>
      <c r="REY112" s="7"/>
      <c r="REZ112" s="7"/>
      <c r="RFA112" s="7"/>
      <c r="RFB112" s="7"/>
      <c r="RFC112" s="7"/>
      <c r="RFD112" s="7"/>
      <c r="RFE112" s="7"/>
      <c r="RFF112" s="7"/>
      <c r="RFG112" s="7"/>
      <c r="RFH112" s="7"/>
      <c r="RFI112" s="7"/>
      <c r="RFJ112" s="7"/>
      <c r="RFK112" s="7"/>
      <c r="RFL112" s="7"/>
      <c r="RFM112" s="7"/>
      <c r="RFN112" s="7"/>
      <c r="RFO112" s="7"/>
      <c r="RFP112" s="7"/>
      <c r="RFQ112" s="7"/>
      <c r="RFR112" s="7"/>
      <c r="RFS112" s="7"/>
      <c r="RFT112" s="7"/>
      <c r="RFU112" s="7"/>
      <c r="RFV112" s="7"/>
      <c r="RFW112" s="7"/>
      <c r="RFX112" s="7"/>
      <c r="RFY112" s="7"/>
      <c r="RFZ112" s="7"/>
      <c r="RGA112" s="7"/>
      <c r="RGB112" s="7"/>
      <c r="RGC112" s="7"/>
      <c r="RGD112" s="7"/>
      <c r="RGE112" s="7"/>
      <c r="RGF112" s="7"/>
      <c r="RGG112" s="7"/>
      <c r="RGH112" s="7"/>
      <c r="RGI112" s="7"/>
      <c r="RGJ112" s="7"/>
      <c r="RGK112" s="7"/>
      <c r="RGL112" s="7"/>
      <c r="RGM112" s="7"/>
      <c r="RGN112" s="7"/>
      <c r="RGO112" s="7"/>
      <c r="RGP112" s="7"/>
      <c r="RGQ112" s="7"/>
      <c r="RGR112" s="7"/>
      <c r="RGS112" s="7"/>
      <c r="RGT112" s="7"/>
      <c r="RGU112" s="7"/>
      <c r="RGV112" s="7"/>
      <c r="RGW112" s="7"/>
      <c r="RGX112" s="7"/>
      <c r="RGY112" s="7"/>
      <c r="RGZ112" s="7"/>
      <c r="RHA112" s="7"/>
      <c r="RHB112" s="7"/>
      <c r="RHC112" s="7"/>
      <c r="RHD112" s="7"/>
      <c r="RHE112" s="7"/>
      <c r="RHF112" s="7"/>
      <c r="RHG112" s="7"/>
      <c r="RHH112" s="7"/>
      <c r="RHI112" s="7"/>
      <c r="RHJ112" s="7"/>
      <c r="RHK112" s="7"/>
      <c r="RHL112" s="7"/>
      <c r="RHM112" s="7"/>
      <c r="RHN112" s="7"/>
      <c r="RHO112" s="7"/>
      <c r="RHP112" s="7"/>
      <c r="RHQ112" s="7"/>
      <c r="RHR112" s="7"/>
      <c r="RHS112" s="7"/>
      <c r="RHT112" s="7"/>
      <c r="RHU112" s="7"/>
      <c r="RHV112" s="7"/>
      <c r="RHW112" s="7"/>
      <c r="RHX112" s="7"/>
      <c r="RHY112" s="7"/>
      <c r="RHZ112" s="7"/>
      <c r="RIA112" s="7"/>
      <c r="RIB112" s="7"/>
      <c r="RIC112" s="7"/>
      <c r="RID112" s="7"/>
      <c r="RIE112" s="7"/>
      <c r="RIF112" s="7"/>
      <c r="RIG112" s="7"/>
      <c r="RIH112" s="7"/>
      <c r="RII112" s="7"/>
      <c r="RIJ112" s="7"/>
      <c r="RIK112" s="7"/>
      <c r="RIL112" s="7"/>
      <c r="RIM112" s="7"/>
      <c r="RIN112" s="7"/>
      <c r="RIO112" s="7"/>
      <c r="RIP112" s="7"/>
      <c r="RIQ112" s="7"/>
      <c r="RIR112" s="7"/>
      <c r="RIS112" s="7"/>
      <c r="RIT112" s="7"/>
      <c r="RIU112" s="7"/>
      <c r="RIV112" s="7"/>
      <c r="RIW112" s="7"/>
      <c r="RIX112" s="7"/>
      <c r="RIY112" s="7"/>
      <c r="RIZ112" s="7"/>
      <c r="RJA112" s="7"/>
      <c r="RJB112" s="7"/>
      <c r="RJC112" s="7"/>
      <c r="RJD112" s="7"/>
      <c r="RJE112" s="7"/>
      <c r="RJF112" s="7"/>
      <c r="RJG112" s="7"/>
      <c r="RJH112" s="7"/>
      <c r="RJI112" s="7"/>
      <c r="RJJ112" s="7"/>
      <c r="RJK112" s="7"/>
      <c r="RJL112" s="7"/>
      <c r="RJM112" s="7"/>
      <c r="RJN112" s="7"/>
      <c r="RJO112" s="7"/>
      <c r="RJP112" s="7"/>
      <c r="RJQ112" s="7"/>
      <c r="RJR112" s="7"/>
      <c r="RJS112" s="7"/>
      <c r="RJT112" s="7"/>
      <c r="RJU112" s="7"/>
      <c r="RJV112" s="7"/>
      <c r="RJW112" s="7"/>
      <c r="RJX112" s="7"/>
      <c r="RJY112" s="7"/>
      <c r="RJZ112" s="7"/>
      <c r="RKA112" s="7"/>
      <c r="RKB112" s="7"/>
      <c r="RKC112" s="7"/>
      <c r="RKD112" s="7"/>
      <c r="RKE112" s="7"/>
      <c r="RKF112" s="7"/>
      <c r="RKG112" s="7"/>
      <c r="RKH112" s="7"/>
      <c r="RKI112" s="7"/>
      <c r="RKJ112" s="7"/>
      <c r="RKK112" s="7"/>
      <c r="RKL112" s="7"/>
      <c r="RKM112" s="7"/>
      <c r="RKN112" s="7"/>
      <c r="RKO112" s="7"/>
      <c r="RKP112" s="7"/>
      <c r="RKQ112" s="7"/>
      <c r="RKR112" s="7"/>
      <c r="RKS112" s="7"/>
      <c r="RKT112" s="7"/>
      <c r="RKU112" s="7"/>
      <c r="RKV112" s="7"/>
      <c r="RKW112" s="7"/>
      <c r="RKX112" s="7"/>
      <c r="RKY112" s="7"/>
      <c r="RKZ112" s="7"/>
      <c r="RLA112" s="7"/>
      <c r="RLB112" s="7"/>
      <c r="RLC112" s="7"/>
      <c r="RLD112" s="7"/>
      <c r="RLE112" s="7"/>
      <c r="RLF112" s="7"/>
      <c r="RLG112" s="7"/>
      <c r="RLH112" s="7"/>
      <c r="RLI112" s="7"/>
      <c r="RLJ112" s="7"/>
      <c r="RLK112" s="7"/>
      <c r="RLL112" s="7"/>
      <c r="RLM112" s="7"/>
      <c r="RLN112" s="7"/>
      <c r="RLO112" s="7"/>
      <c r="RLP112" s="7"/>
      <c r="RLQ112" s="7"/>
      <c r="RLR112" s="7"/>
      <c r="RLS112" s="7"/>
      <c r="RLT112" s="7"/>
      <c r="RLU112" s="7"/>
      <c r="RLV112" s="7"/>
      <c r="RLW112" s="7"/>
      <c r="RLX112" s="7"/>
      <c r="RLY112" s="7"/>
      <c r="RLZ112" s="7"/>
      <c r="RMA112" s="7"/>
      <c r="RMB112" s="7"/>
      <c r="RMC112" s="7"/>
      <c r="RMD112" s="7"/>
      <c r="RME112" s="7"/>
      <c r="RMF112" s="7"/>
      <c r="RMG112" s="7"/>
      <c r="RMH112" s="7"/>
      <c r="RMI112" s="7"/>
      <c r="RMJ112" s="7"/>
      <c r="RMK112" s="7"/>
      <c r="RML112" s="7"/>
      <c r="RMM112" s="7"/>
      <c r="RMN112" s="7"/>
      <c r="RMO112" s="7"/>
      <c r="RMP112" s="7"/>
      <c r="RMQ112" s="7"/>
      <c r="RMR112" s="7"/>
      <c r="RMS112" s="7"/>
      <c r="RMT112" s="7"/>
      <c r="RMU112" s="7"/>
      <c r="RMV112" s="7"/>
      <c r="RMW112" s="7"/>
      <c r="RMX112" s="7"/>
      <c r="RMY112" s="7"/>
      <c r="RMZ112" s="7"/>
      <c r="RNA112" s="7"/>
      <c r="RNB112" s="7"/>
      <c r="RNC112" s="7"/>
      <c r="RND112" s="7"/>
      <c r="RNE112" s="7"/>
      <c r="RNF112" s="7"/>
      <c r="RNG112" s="7"/>
      <c r="RNH112" s="7"/>
      <c r="RNI112" s="7"/>
      <c r="RNJ112" s="7"/>
      <c r="RNK112" s="7"/>
      <c r="RNL112" s="7"/>
      <c r="RNM112" s="7"/>
      <c r="RNN112" s="7"/>
      <c r="RNO112" s="7"/>
      <c r="RNP112" s="7"/>
      <c r="RNQ112" s="7"/>
      <c r="RNR112" s="7"/>
      <c r="RNS112" s="7"/>
      <c r="RNT112" s="7"/>
      <c r="RNU112" s="7"/>
      <c r="RNV112" s="7"/>
      <c r="RNW112" s="7"/>
      <c r="RNX112" s="7"/>
      <c r="RNY112" s="7"/>
      <c r="RNZ112" s="7"/>
      <c r="ROA112" s="7"/>
      <c r="ROB112" s="7"/>
      <c r="ROC112" s="7"/>
      <c r="ROD112" s="7"/>
      <c r="ROE112" s="7"/>
      <c r="ROF112" s="7"/>
      <c r="ROG112" s="7"/>
      <c r="ROH112" s="7"/>
      <c r="ROI112" s="7"/>
      <c r="ROJ112" s="7"/>
      <c r="ROK112" s="7"/>
      <c r="ROL112" s="7"/>
      <c r="ROM112" s="7"/>
      <c r="RON112" s="7"/>
      <c r="ROO112" s="7"/>
      <c r="ROP112" s="7"/>
      <c r="ROQ112" s="7"/>
      <c r="ROR112" s="7"/>
      <c r="ROS112" s="7"/>
      <c r="ROT112" s="7"/>
      <c r="ROU112" s="7"/>
      <c r="ROV112" s="7"/>
      <c r="ROW112" s="7"/>
      <c r="ROX112" s="7"/>
      <c r="ROY112" s="7"/>
      <c r="ROZ112" s="7"/>
      <c r="RPA112" s="7"/>
      <c r="RPB112" s="7"/>
      <c r="RPC112" s="7"/>
      <c r="RPD112" s="7"/>
      <c r="RPE112" s="7"/>
      <c r="RPF112" s="7"/>
      <c r="RPG112" s="7"/>
      <c r="RPH112" s="7"/>
      <c r="RPI112" s="7"/>
      <c r="RPJ112" s="7"/>
      <c r="RPK112" s="7"/>
      <c r="RPL112" s="7"/>
      <c r="RPM112" s="7"/>
      <c r="RPN112" s="7"/>
      <c r="RPO112" s="7"/>
      <c r="RPP112" s="7"/>
      <c r="RPQ112" s="7"/>
      <c r="RPR112" s="7"/>
      <c r="RPS112" s="7"/>
      <c r="RPT112" s="7"/>
      <c r="RPU112" s="7"/>
      <c r="RPV112" s="7"/>
      <c r="RPW112" s="7"/>
      <c r="RPX112" s="7"/>
      <c r="RPY112" s="7"/>
      <c r="RPZ112" s="7"/>
      <c r="RQA112" s="7"/>
      <c r="RQB112" s="7"/>
      <c r="RQC112" s="7"/>
      <c r="RQD112" s="7"/>
      <c r="RQE112" s="7"/>
      <c r="RQF112" s="7"/>
      <c r="RQG112" s="7"/>
      <c r="RQH112" s="7"/>
      <c r="RQI112" s="7"/>
      <c r="RQJ112" s="7"/>
      <c r="RQK112" s="7"/>
      <c r="RQL112" s="7"/>
      <c r="RQM112" s="7"/>
      <c r="RQN112" s="7"/>
      <c r="RQO112" s="7"/>
      <c r="RQP112" s="7"/>
      <c r="RQQ112" s="7"/>
      <c r="RQR112" s="7"/>
      <c r="RQS112" s="7"/>
      <c r="RQT112" s="7"/>
      <c r="RQU112" s="7"/>
      <c r="RQV112" s="7"/>
      <c r="RQW112" s="7"/>
      <c r="RQX112" s="7"/>
      <c r="RQY112" s="7"/>
      <c r="RQZ112" s="7"/>
      <c r="RRA112" s="7"/>
      <c r="RRB112" s="7"/>
      <c r="RRC112" s="7"/>
      <c r="RRD112" s="7"/>
      <c r="RRE112" s="7"/>
      <c r="RRF112" s="7"/>
      <c r="RRG112" s="7"/>
      <c r="RRH112" s="7"/>
      <c r="RRI112" s="7"/>
      <c r="RRJ112" s="7"/>
      <c r="RRK112" s="7"/>
      <c r="RRL112" s="7"/>
      <c r="RRM112" s="7"/>
      <c r="RRN112" s="7"/>
      <c r="RRO112" s="7"/>
      <c r="RRP112" s="7"/>
      <c r="RRQ112" s="7"/>
      <c r="RRR112" s="7"/>
      <c r="RRS112" s="7"/>
      <c r="RRT112" s="7"/>
      <c r="RRU112" s="7"/>
      <c r="RRV112" s="7"/>
      <c r="RRW112" s="7"/>
      <c r="RRX112" s="7"/>
      <c r="RRY112" s="7"/>
      <c r="RRZ112" s="7"/>
      <c r="RSA112" s="7"/>
      <c r="RSB112" s="7"/>
      <c r="RSC112" s="7"/>
      <c r="RSD112" s="7"/>
      <c r="RSE112" s="7"/>
      <c r="RSF112" s="7"/>
      <c r="RSG112" s="7"/>
      <c r="RSH112" s="7"/>
      <c r="RSI112" s="7"/>
      <c r="RSJ112" s="7"/>
      <c r="RSK112" s="7"/>
      <c r="RSL112" s="7"/>
      <c r="RSM112" s="7"/>
      <c r="RSN112" s="7"/>
      <c r="RSO112" s="7"/>
      <c r="RSP112" s="7"/>
      <c r="RSQ112" s="7"/>
      <c r="RSR112" s="7"/>
      <c r="RSS112" s="7"/>
      <c r="RST112" s="7"/>
      <c r="RSU112" s="7"/>
      <c r="RSV112" s="7"/>
      <c r="RSW112" s="7"/>
      <c r="RSX112" s="7"/>
      <c r="RSY112" s="7"/>
      <c r="RSZ112" s="7"/>
      <c r="RTA112" s="7"/>
      <c r="RTB112" s="7"/>
      <c r="RTC112" s="7"/>
      <c r="RTD112" s="7"/>
      <c r="RTE112" s="7"/>
      <c r="RTF112" s="7"/>
      <c r="RTG112" s="7"/>
      <c r="RTH112" s="7"/>
      <c r="RTI112" s="7"/>
      <c r="RTJ112" s="7"/>
      <c r="RTK112" s="7"/>
      <c r="RTL112" s="7"/>
      <c r="RTM112" s="7"/>
      <c r="RTN112" s="7"/>
      <c r="RTO112" s="7"/>
      <c r="RTP112" s="7"/>
      <c r="RTQ112" s="7"/>
      <c r="RTR112" s="7"/>
      <c r="RTS112" s="7"/>
      <c r="RTT112" s="7"/>
      <c r="RTU112" s="7"/>
      <c r="RTV112" s="7"/>
      <c r="RTW112" s="7"/>
      <c r="RTX112" s="7"/>
      <c r="RTY112" s="7"/>
      <c r="RTZ112" s="7"/>
      <c r="RUA112" s="7"/>
      <c r="RUB112" s="7"/>
      <c r="RUC112" s="7"/>
      <c r="RUD112" s="7"/>
      <c r="RUE112" s="7"/>
      <c r="RUF112" s="7"/>
      <c r="RUG112" s="7"/>
      <c r="RUH112" s="7"/>
      <c r="RUI112" s="7"/>
      <c r="RUJ112" s="7"/>
      <c r="RUK112" s="7"/>
      <c r="RUL112" s="7"/>
      <c r="RUM112" s="7"/>
      <c r="RUN112" s="7"/>
      <c r="RUO112" s="7"/>
      <c r="RUP112" s="7"/>
      <c r="RUQ112" s="7"/>
      <c r="RUR112" s="7"/>
      <c r="RUS112" s="7"/>
      <c r="RUT112" s="7"/>
      <c r="RUU112" s="7"/>
      <c r="RUV112" s="7"/>
      <c r="RUW112" s="7"/>
      <c r="RUX112" s="7"/>
      <c r="RUY112" s="7"/>
      <c r="RUZ112" s="7"/>
      <c r="RVA112" s="7"/>
      <c r="RVB112" s="7"/>
      <c r="RVC112" s="7"/>
      <c r="RVD112" s="7"/>
      <c r="RVE112" s="7"/>
      <c r="RVF112" s="7"/>
      <c r="RVG112" s="7"/>
      <c r="RVH112" s="7"/>
      <c r="RVI112" s="7"/>
      <c r="RVJ112" s="7"/>
      <c r="RVK112" s="7"/>
      <c r="RVL112" s="7"/>
      <c r="RVM112" s="7"/>
      <c r="RVN112" s="7"/>
      <c r="RVO112" s="7"/>
      <c r="RVP112" s="7"/>
      <c r="RVQ112" s="7"/>
      <c r="RVR112" s="7"/>
      <c r="RVS112" s="7"/>
      <c r="RVT112" s="7"/>
      <c r="RVU112" s="7"/>
      <c r="RVV112" s="7"/>
      <c r="RVW112" s="7"/>
      <c r="RVX112" s="7"/>
      <c r="RVY112" s="7"/>
      <c r="RVZ112" s="7"/>
      <c r="RWA112" s="7"/>
      <c r="RWB112" s="7"/>
      <c r="RWC112" s="7"/>
      <c r="RWD112" s="7"/>
      <c r="RWE112" s="7"/>
      <c r="RWF112" s="7"/>
      <c r="RWG112" s="7"/>
      <c r="RWH112" s="7"/>
      <c r="RWI112" s="7"/>
      <c r="RWJ112" s="7"/>
      <c r="RWK112" s="7"/>
      <c r="RWL112" s="7"/>
      <c r="RWM112" s="7"/>
      <c r="RWN112" s="7"/>
      <c r="RWO112" s="7"/>
      <c r="RWP112" s="7"/>
      <c r="RWQ112" s="7"/>
      <c r="RWR112" s="7"/>
      <c r="RWS112" s="7"/>
      <c r="RWT112" s="7"/>
      <c r="RWU112" s="7"/>
      <c r="RWV112" s="7"/>
      <c r="RWW112" s="7"/>
      <c r="RWX112" s="7"/>
      <c r="RWY112" s="7"/>
      <c r="RWZ112" s="7"/>
      <c r="RXA112" s="7"/>
      <c r="RXB112" s="7"/>
      <c r="RXC112" s="7"/>
      <c r="RXD112" s="7"/>
      <c r="RXE112" s="7"/>
      <c r="RXF112" s="7"/>
      <c r="RXG112" s="7"/>
      <c r="RXH112" s="7"/>
      <c r="RXI112" s="7"/>
      <c r="RXJ112" s="7"/>
      <c r="RXK112" s="7"/>
      <c r="RXL112" s="7"/>
      <c r="RXM112" s="7"/>
      <c r="RXN112" s="7"/>
      <c r="RXO112" s="7"/>
      <c r="RXP112" s="7"/>
      <c r="RXQ112" s="7"/>
      <c r="RXR112" s="7"/>
      <c r="RXS112" s="7"/>
      <c r="RXT112" s="7"/>
      <c r="RXU112" s="7"/>
      <c r="RXV112" s="7"/>
      <c r="RXW112" s="7"/>
      <c r="RXX112" s="7"/>
      <c r="RXY112" s="7"/>
      <c r="RXZ112" s="7"/>
      <c r="RYA112" s="7"/>
      <c r="RYB112" s="7"/>
      <c r="RYC112" s="7"/>
      <c r="RYD112" s="7"/>
      <c r="RYE112" s="7"/>
      <c r="RYF112" s="7"/>
      <c r="RYG112" s="7"/>
      <c r="RYH112" s="7"/>
      <c r="RYI112" s="7"/>
      <c r="RYJ112" s="7"/>
      <c r="RYK112" s="7"/>
      <c r="RYL112" s="7"/>
      <c r="RYM112" s="7"/>
      <c r="RYN112" s="7"/>
      <c r="RYO112" s="7"/>
      <c r="RYP112" s="7"/>
      <c r="RYQ112" s="7"/>
      <c r="RYR112" s="7"/>
      <c r="RYS112" s="7"/>
      <c r="RYT112" s="7"/>
      <c r="RYU112" s="7"/>
      <c r="RYV112" s="7"/>
      <c r="RYW112" s="7"/>
      <c r="RYX112" s="7"/>
      <c r="RYY112" s="7"/>
      <c r="RYZ112" s="7"/>
      <c r="RZA112" s="7"/>
      <c r="RZB112" s="7"/>
      <c r="RZC112" s="7"/>
      <c r="RZD112" s="7"/>
      <c r="RZE112" s="7"/>
      <c r="RZF112" s="7"/>
      <c r="RZG112" s="7"/>
      <c r="RZH112" s="7"/>
      <c r="RZI112" s="7"/>
      <c r="RZJ112" s="7"/>
      <c r="RZK112" s="7"/>
      <c r="RZL112" s="7"/>
      <c r="RZM112" s="7"/>
      <c r="RZN112" s="7"/>
      <c r="RZO112" s="7"/>
      <c r="RZP112" s="7"/>
      <c r="RZQ112" s="7"/>
      <c r="RZR112" s="7"/>
      <c r="RZS112" s="7"/>
      <c r="RZT112" s="7"/>
      <c r="RZU112" s="7"/>
      <c r="RZV112" s="7"/>
      <c r="RZW112" s="7"/>
      <c r="RZX112" s="7"/>
      <c r="RZY112" s="7"/>
      <c r="RZZ112" s="7"/>
      <c r="SAA112" s="7"/>
      <c r="SAB112" s="7"/>
      <c r="SAC112" s="7"/>
      <c r="SAD112" s="7"/>
      <c r="SAE112" s="7"/>
      <c r="SAF112" s="7"/>
      <c r="SAG112" s="7"/>
      <c r="SAH112" s="7"/>
      <c r="SAI112" s="7"/>
      <c r="SAJ112" s="7"/>
      <c r="SAK112" s="7"/>
      <c r="SAL112" s="7"/>
      <c r="SAM112" s="7"/>
      <c r="SAN112" s="7"/>
      <c r="SAO112" s="7"/>
      <c r="SAP112" s="7"/>
      <c r="SAQ112" s="7"/>
      <c r="SAR112" s="7"/>
      <c r="SAS112" s="7"/>
      <c r="SAT112" s="7"/>
      <c r="SAU112" s="7"/>
      <c r="SAV112" s="7"/>
      <c r="SAW112" s="7"/>
      <c r="SAX112" s="7"/>
      <c r="SAY112" s="7"/>
      <c r="SAZ112" s="7"/>
      <c r="SBA112" s="7"/>
      <c r="SBB112" s="7"/>
      <c r="SBC112" s="7"/>
      <c r="SBD112" s="7"/>
      <c r="SBE112" s="7"/>
      <c r="SBF112" s="7"/>
      <c r="SBG112" s="7"/>
      <c r="SBH112" s="7"/>
      <c r="SBI112" s="7"/>
      <c r="SBJ112" s="7"/>
      <c r="SBK112" s="7"/>
      <c r="SBL112" s="7"/>
      <c r="SBM112" s="7"/>
      <c r="SBN112" s="7"/>
      <c r="SBO112" s="7"/>
      <c r="SBP112" s="7"/>
      <c r="SBQ112" s="7"/>
      <c r="SBR112" s="7"/>
      <c r="SBS112" s="7"/>
      <c r="SBT112" s="7"/>
      <c r="SBU112" s="7"/>
      <c r="SBV112" s="7"/>
      <c r="SBW112" s="7"/>
      <c r="SBX112" s="7"/>
      <c r="SBY112" s="7"/>
      <c r="SBZ112" s="7"/>
      <c r="SCA112" s="7"/>
      <c r="SCB112" s="7"/>
      <c r="SCC112" s="7"/>
      <c r="SCD112" s="7"/>
      <c r="SCE112" s="7"/>
      <c r="SCF112" s="7"/>
      <c r="SCG112" s="7"/>
      <c r="SCH112" s="7"/>
      <c r="SCI112" s="7"/>
      <c r="SCJ112" s="7"/>
      <c r="SCK112" s="7"/>
      <c r="SCL112" s="7"/>
      <c r="SCM112" s="7"/>
      <c r="SCN112" s="7"/>
      <c r="SCO112" s="7"/>
      <c r="SCP112" s="7"/>
      <c r="SCQ112" s="7"/>
      <c r="SCR112" s="7"/>
      <c r="SCS112" s="7"/>
      <c r="SCT112" s="7"/>
      <c r="SCU112" s="7"/>
      <c r="SCV112" s="7"/>
      <c r="SCW112" s="7"/>
      <c r="SCX112" s="7"/>
      <c r="SCY112" s="7"/>
      <c r="SCZ112" s="7"/>
      <c r="SDA112" s="7"/>
      <c r="SDB112" s="7"/>
      <c r="SDC112" s="7"/>
      <c r="SDD112" s="7"/>
      <c r="SDE112" s="7"/>
      <c r="SDF112" s="7"/>
      <c r="SDG112" s="7"/>
      <c r="SDH112" s="7"/>
      <c r="SDI112" s="7"/>
      <c r="SDJ112" s="7"/>
      <c r="SDK112" s="7"/>
      <c r="SDL112" s="7"/>
      <c r="SDM112" s="7"/>
      <c r="SDN112" s="7"/>
      <c r="SDO112" s="7"/>
      <c r="SDP112" s="7"/>
      <c r="SDQ112" s="7"/>
      <c r="SDR112" s="7"/>
      <c r="SDS112" s="7"/>
      <c r="SDT112" s="7"/>
      <c r="SDU112" s="7"/>
      <c r="SDV112" s="7"/>
      <c r="SDW112" s="7"/>
      <c r="SDX112" s="7"/>
      <c r="SDY112" s="7"/>
      <c r="SDZ112" s="7"/>
      <c r="SEA112" s="7"/>
      <c r="SEB112" s="7"/>
      <c r="SEC112" s="7"/>
      <c r="SED112" s="7"/>
      <c r="SEE112" s="7"/>
      <c r="SEF112" s="7"/>
      <c r="SEG112" s="7"/>
      <c r="SEH112" s="7"/>
      <c r="SEI112" s="7"/>
      <c r="SEJ112" s="7"/>
      <c r="SEK112" s="7"/>
      <c r="SEL112" s="7"/>
      <c r="SEM112" s="7"/>
      <c r="SEN112" s="7"/>
      <c r="SEO112" s="7"/>
      <c r="SEP112" s="7"/>
      <c r="SEQ112" s="7"/>
      <c r="SER112" s="7"/>
      <c r="SES112" s="7"/>
      <c r="SET112" s="7"/>
      <c r="SEU112" s="7"/>
      <c r="SEV112" s="7"/>
      <c r="SEW112" s="7"/>
      <c r="SEX112" s="7"/>
      <c r="SEY112" s="7"/>
      <c r="SEZ112" s="7"/>
      <c r="SFA112" s="7"/>
      <c r="SFB112" s="7"/>
      <c r="SFC112" s="7"/>
      <c r="SFD112" s="7"/>
      <c r="SFE112" s="7"/>
      <c r="SFF112" s="7"/>
      <c r="SFG112" s="7"/>
      <c r="SFH112" s="7"/>
      <c r="SFI112" s="7"/>
      <c r="SFJ112" s="7"/>
      <c r="SFK112" s="7"/>
      <c r="SFL112" s="7"/>
      <c r="SFM112" s="7"/>
      <c r="SFN112" s="7"/>
      <c r="SFO112" s="7"/>
      <c r="SFP112" s="7"/>
      <c r="SFQ112" s="7"/>
      <c r="SFR112" s="7"/>
      <c r="SFS112" s="7"/>
      <c r="SFT112" s="7"/>
      <c r="SFU112" s="7"/>
      <c r="SFV112" s="7"/>
      <c r="SFW112" s="7"/>
      <c r="SFX112" s="7"/>
      <c r="SFY112" s="7"/>
      <c r="SFZ112" s="7"/>
      <c r="SGA112" s="7"/>
      <c r="SGB112" s="7"/>
      <c r="SGC112" s="7"/>
      <c r="SGD112" s="7"/>
      <c r="SGE112" s="7"/>
      <c r="SGF112" s="7"/>
      <c r="SGG112" s="7"/>
      <c r="SGH112" s="7"/>
      <c r="SGI112" s="7"/>
      <c r="SGJ112" s="7"/>
      <c r="SGK112" s="7"/>
      <c r="SGL112" s="7"/>
      <c r="SGM112" s="7"/>
      <c r="SGN112" s="7"/>
      <c r="SGO112" s="7"/>
      <c r="SGP112" s="7"/>
      <c r="SGQ112" s="7"/>
      <c r="SGR112" s="7"/>
      <c r="SGS112" s="7"/>
      <c r="SGT112" s="7"/>
      <c r="SGU112" s="7"/>
      <c r="SGV112" s="7"/>
      <c r="SGW112" s="7"/>
      <c r="SGX112" s="7"/>
      <c r="SGY112" s="7"/>
      <c r="SGZ112" s="7"/>
      <c r="SHA112" s="7"/>
      <c r="SHB112" s="7"/>
      <c r="SHC112" s="7"/>
      <c r="SHD112" s="7"/>
      <c r="SHE112" s="7"/>
      <c r="SHF112" s="7"/>
      <c r="SHG112" s="7"/>
      <c r="SHH112" s="7"/>
      <c r="SHI112" s="7"/>
      <c r="SHJ112" s="7"/>
      <c r="SHK112" s="7"/>
      <c r="SHL112" s="7"/>
      <c r="SHM112" s="7"/>
      <c r="SHN112" s="7"/>
      <c r="SHO112" s="7"/>
      <c r="SHP112" s="7"/>
      <c r="SHQ112" s="7"/>
      <c r="SHR112" s="7"/>
      <c r="SHS112" s="7"/>
      <c r="SHT112" s="7"/>
      <c r="SHU112" s="7"/>
      <c r="SHV112" s="7"/>
      <c r="SHW112" s="7"/>
      <c r="SHX112" s="7"/>
      <c r="SHY112" s="7"/>
      <c r="SHZ112" s="7"/>
      <c r="SIA112" s="7"/>
      <c r="SIB112" s="7"/>
      <c r="SIC112" s="7"/>
      <c r="SID112" s="7"/>
      <c r="SIE112" s="7"/>
      <c r="SIF112" s="7"/>
      <c r="SIG112" s="7"/>
      <c r="SIH112" s="7"/>
      <c r="SII112" s="7"/>
      <c r="SIJ112" s="7"/>
      <c r="SIK112" s="7"/>
      <c r="SIL112" s="7"/>
      <c r="SIM112" s="7"/>
      <c r="SIN112" s="7"/>
      <c r="SIO112" s="7"/>
      <c r="SIP112" s="7"/>
      <c r="SIQ112" s="7"/>
      <c r="SIR112" s="7"/>
      <c r="SIS112" s="7"/>
      <c r="SIT112" s="7"/>
      <c r="SIU112" s="7"/>
      <c r="SIV112" s="7"/>
      <c r="SIW112" s="7"/>
      <c r="SIX112" s="7"/>
      <c r="SIY112" s="7"/>
      <c r="SIZ112" s="7"/>
      <c r="SJA112" s="7"/>
      <c r="SJB112" s="7"/>
      <c r="SJC112" s="7"/>
      <c r="SJD112" s="7"/>
      <c r="SJE112" s="7"/>
      <c r="SJF112" s="7"/>
      <c r="SJG112" s="7"/>
      <c r="SJH112" s="7"/>
      <c r="SJI112" s="7"/>
      <c r="SJJ112" s="7"/>
      <c r="SJK112" s="7"/>
      <c r="SJL112" s="7"/>
      <c r="SJM112" s="7"/>
      <c r="SJN112" s="7"/>
      <c r="SJO112" s="7"/>
      <c r="SJP112" s="7"/>
      <c r="SJQ112" s="7"/>
      <c r="SJR112" s="7"/>
      <c r="SJS112" s="7"/>
      <c r="SJT112" s="7"/>
      <c r="SJU112" s="7"/>
      <c r="SJV112" s="7"/>
      <c r="SJW112" s="7"/>
      <c r="SJX112" s="7"/>
      <c r="SJY112" s="7"/>
      <c r="SJZ112" s="7"/>
      <c r="SKA112" s="7"/>
      <c r="SKB112" s="7"/>
      <c r="SKC112" s="7"/>
      <c r="SKD112" s="7"/>
      <c r="SKE112" s="7"/>
      <c r="SKF112" s="7"/>
      <c r="SKG112" s="7"/>
      <c r="SKH112" s="7"/>
      <c r="SKI112" s="7"/>
      <c r="SKJ112" s="7"/>
      <c r="SKK112" s="7"/>
      <c r="SKL112" s="7"/>
      <c r="SKM112" s="7"/>
      <c r="SKN112" s="7"/>
      <c r="SKO112" s="7"/>
      <c r="SKP112" s="7"/>
      <c r="SKQ112" s="7"/>
      <c r="SKR112" s="7"/>
      <c r="SKS112" s="7"/>
      <c r="SKT112" s="7"/>
      <c r="SKU112" s="7"/>
      <c r="SKV112" s="7"/>
      <c r="SKW112" s="7"/>
      <c r="SKX112" s="7"/>
      <c r="SKY112" s="7"/>
      <c r="SKZ112" s="7"/>
      <c r="SLA112" s="7"/>
      <c r="SLB112" s="7"/>
      <c r="SLC112" s="7"/>
      <c r="SLD112" s="7"/>
      <c r="SLE112" s="7"/>
      <c r="SLF112" s="7"/>
      <c r="SLG112" s="7"/>
      <c r="SLH112" s="7"/>
      <c r="SLI112" s="7"/>
      <c r="SLJ112" s="7"/>
      <c r="SLK112" s="7"/>
      <c r="SLL112" s="7"/>
      <c r="SLM112" s="7"/>
      <c r="SLN112" s="7"/>
      <c r="SLO112" s="7"/>
      <c r="SLP112" s="7"/>
      <c r="SLQ112" s="7"/>
      <c r="SLR112" s="7"/>
      <c r="SLS112" s="7"/>
      <c r="SLT112" s="7"/>
      <c r="SLU112" s="7"/>
      <c r="SLV112" s="7"/>
      <c r="SLW112" s="7"/>
      <c r="SLX112" s="7"/>
      <c r="SLY112" s="7"/>
      <c r="SLZ112" s="7"/>
      <c r="SMA112" s="7"/>
      <c r="SMB112" s="7"/>
      <c r="SMC112" s="7"/>
      <c r="SMD112" s="7"/>
      <c r="SME112" s="7"/>
      <c r="SMF112" s="7"/>
      <c r="SMG112" s="7"/>
      <c r="SMH112" s="7"/>
      <c r="SMI112" s="7"/>
      <c r="SMJ112" s="7"/>
      <c r="SMK112" s="7"/>
      <c r="SML112" s="7"/>
      <c r="SMM112" s="7"/>
      <c r="SMN112" s="7"/>
      <c r="SMO112" s="7"/>
      <c r="SMP112" s="7"/>
      <c r="SMQ112" s="7"/>
      <c r="SMR112" s="7"/>
      <c r="SMS112" s="7"/>
      <c r="SMT112" s="7"/>
      <c r="SMU112" s="7"/>
      <c r="SMV112" s="7"/>
      <c r="SMW112" s="7"/>
      <c r="SMX112" s="7"/>
      <c r="SMY112" s="7"/>
      <c r="SMZ112" s="7"/>
      <c r="SNA112" s="7"/>
      <c r="SNB112" s="7"/>
      <c r="SNC112" s="7"/>
      <c r="SND112" s="7"/>
      <c r="SNE112" s="7"/>
      <c r="SNF112" s="7"/>
      <c r="SNG112" s="7"/>
      <c r="SNH112" s="7"/>
      <c r="SNI112" s="7"/>
      <c r="SNJ112" s="7"/>
      <c r="SNK112" s="7"/>
      <c r="SNL112" s="7"/>
      <c r="SNM112" s="7"/>
      <c r="SNN112" s="7"/>
      <c r="SNO112" s="7"/>
      <c r="SNP112" s="7"/>
      <c r="SNQ112" s="7"/>
      <c r="SNR112" s="7"/>
      <c r="SNS112" s="7"/>
      <c r="SNT112" s="7"/>
      <c r="SNU112" s="7"/>
      <c r="SNV112" s="7"/>
      <c r="SNW112" s="7"/>
      <c r="SNX112" s="7"/>
      <c r="SNY112" s="7"/>
      <c r="SNZ112" s="7"/>
      <c r="SOA112" s="7"/>
      <c r="SOB112" s="7"/>
      <c r="SOC112" s="7"/>
      <c r="SOD112" s="7"/>
      <c r="SOE112" s="7"/>
      <c r="SOF112" s="7"/>
      <c r="SOG112" s="7"/>
      <c r="SOH112" s="7"/>
      <c r="SOI112" s="7"/>
      <c r="SOJ112" s="7"/>
      <c r="SOK112" s="7"/>
      <c r="SOL112" s="7"/>
      <c r="SOM112" s="7"/>
      <c r="SON112" s="7"/>
      <c r="SOO112" s="7"/>
      <c r="SOP112" s="7"/>
      <c r="SOQ112" s="7"/>
      <c r="SOR112" s="7"/>
      <c r="SOS112" s="7"/>
      <c r="SOT112" s="7"/>
      <c r="SOU112" s="7"/>
      <c r="SOV112" s="7"/>
      <c r="SOW112" s="7"/>
      <c r="SOX112" s="7"/>
      <c r="SOY112" s="7"/>
      <c r="SOZ112" s="7"/>
      <c r="SPA112" s="7"/>
      <c r="SPB112" s="7"/>
      <c r="SPC112" s="7"/>
      <c r="SPD112" s="7"/>
      <c r="SPE112" s="7"/>
      <c r="SPF112" s="7"/>
      <c r="SPG112" s="7"/>
      <c r="SPH112" s="7"/>
      <c r="SPI112" s="7"/>
      <c r="SPJ112" s="7"/>
      <c r="SPK112" s="7"/>
      <c r="SPL112" s="7"/>
      <c r="SPM112" s="7"/>
      <c r="SPN112" s="7"/>
      <c r="SPO112" s="7"/>
      <c r="SPP112" s="7"/>
      <c r="SPQ112" s="7"/>
      <c r="SPR112" s="7"/>
      <c r="SPS112" s="7"/>
      <c r="SPT112" s="7"/>
      <c r="SPU112" s="7"/>
      <c r="SPV112" s="7"/>
      <c r="SPW112" s="7"/>
      <c r="SPX112" s="7"/>
      <c r="SPY112" s="7"/>
      <c r="SPZ112" s="7"/>
      <c r="SQA112" s="7"/>
      <c r="SQB112" s="7"/>
      <c r="SQC112" s="7"/>
      <c r="SQD112" s="7"/>
      <c r="SQE112" s="7"/>
      <c r="SQF112" s="7"/>
      <c r="SQG112" s="7"/>
      <c r="SQH112" s="7"/>
      <c r="SQI112" s="7"/>
      <c r="SQJ112" s="7"/>
      <c r="SQK112" s="7"/>
      <c r="SQL112" s="7"/>
      <c r="SQM112" s="7"/>
      <c r="SQN112" s="7"/>
      <c r="SQO112" s="7"/>
      <c r="SQP112" s="7"/>
      <c r="SQQ112" s="7"/>
      <c r="SQR112" s="7"/>
      <c r="SQS112" s="7"/>
      <c r="SQT112" s="7"/>
      <c r="SQU112" s="7"/>
      <c r="SQV112" s="7"/>
      <c r="SQW112" s="7"/>
      <c r="SQX112" s="7"/>
      <c r="SQY112" s="7"/>
      <c r="SQZ112" s="7"/>
      <c r="SRA112" s="7"/>
      <c r="SRB112" s="7"/>
      <c r="SRC112" s="7"/>
      <c r="SRD112" s="7"/>
      <c r="SRE112" s="7"/>
      <c r="SRF112" s="7"/>
      <c r="SRG112" s="7"/>
      <c r="SRH112" s="7"/>
      <c r="SRI112" s="7"/>
      <c r="SRJ112" s="7"/>
      <c r="SRK112" s="7"/>
      <c r="SRL112" s="7"/>
      <c r="SRM112" s="7"/>
      <c r="SRN112" s="7"/>
      <c r="SRO112" s="7"/>
      <c r="SRP112" s="7"/>
      <c r="SRQ112" s="7"/>
      <c r="SRR112" s="7"/>
      <c r="SRS112" s="7"/>
      <c r="SRT112" s="7"/>
      <c r="SRU112" s="7"/>
      <c r="SRV112" s="7"/>
      <c r="SRW112" s="7"/>
      <c r="SRX112" s="7"/>
      <c r="SRY112" s="7"/>
      <c r="SRZ112" s="7"/>
      <c r="SSA112" s="7"/>
      <c r="SSB112" s="7"/>
      <c r="SSC112" s="7"/>
      <c r="SSD112" s="7"/>
      <c r="SSE112" s="7"/>
      <c r="SSF112" s="7"/>
      <c r="SSG112" s="7"/>
      <c r="SSH112" s="7"/>
      <c r="SSI112" s="7"/>
      <c r="SSJ112" s="7"/>
      <c r="SSK112" s="7"/>
      <c r="SSL112" s="7"/>
      <c r="SSM112" s="7"/>
      <c r="SSN112" s="7"/>
      <c r="SSO112" s="7"/>
      <c r="SSP112" s="7"/>
      <c r="SSQ112" s="7"/>
      <c r="SSR112" s="7"/>
      <c r="SSS112" s="7"/>
      <c r="SST112" s="7"/>
      <c r="SSU112" s="7"/>
      <c r="SSV112" s="7"/>
      <c r="SSW112" s="7"/>
      <c r="SSX112" s="7"/>
      <c r="SSY112" s="7"/>
      <c r="SSZ112" s="7"/>
      <c r="STA112" s="7"/>
      <c r="STB112" s="7"/>
      <c r="STC112" s="7"/>
      <c r="STD112" s="7"/>
      <c r="STE112" s="7"/>
      <c r="STF112" s="7"/>
      <c r="STG112" s="7"/>
      <c r="STH112" s="7"/>
      <c r="STI112" s="7"/>
      <c r="STJ112" s="7"/>
      <c r="STK112" s="7"/>
      <c r="STL112" s="7"/>
      <c r="STM112" s="7"/>
      <c r="STN112" s="7"/>
      <c r="STO112" s="7"/>
      <c r="STP112" s="7"/>
      <c r="STQ112" s="7"/>
      <c r="STR112" s="7"/>
      <c r="STS112" s="7"/>
      <c r="STT112" s="7"/>
      <c r="STU112" s="7"/>
      <c r="STV112" s="7"/>
      <c r="STW112" s="7"/>
      <c r="STX112" s="7"/>
      <c r="STY112" s="7"/>
      <c r="STZ112" s="7"/>
      <c r="SUA112" s="7"/>
      <c r="SUB112" s="7"/>
      <c r="SUC112" s="7"/>
      <c r="SUD112" s="7"/>
      <c r="SUE112" s="7"/>
      <c r="SUF112" s="7"/>
      <c r="SUG112" s="7"/>
      <c r="SUH112" s="7"/>
      <c r="SUI112" s="7"/>
      <c r="SUJ112" s="7"/>
      <c r="SUK112" s="7"/>
      <c r="SUL112" s="7"/>
      <c r="SUM112" s="7"/>
      <c r="SUN112" s="7"/>
      <c r="SUO112" s="7"/>
      <c r="SUP112" s="7"/>
      <c r="SUQ112" s="7"/>
      <c r="SUR112" s="7"/>
      <c r="SUS112" s="7"/>
      <c r="SUT112" s="7"/>
      <c r="SUU112" s="7"/>
      <c r="SUV112" s="7"/>
      <c r="SUW112" s="7"/>
      <c r="SUX112" s="7"/>
      <c r="SUY112" s="7"/>
      <c r="SUZ112" s="7"/>
      <c r="SVA112" s="7"/>
      <c r="SVB112" s="7"/>
      <c r="SVC112" s="7"/>
      <c r="SVD112" s="7"/>
      <c r="SVE112" s="7"/>
      <c r="SVF112" s="7"/>
      <c r="SVG112" s="7"/>
      <c r="SVH112" s="7"/>
      <c r="SVI112" s="7"/>
      <c r="SVJ112" s="7"/>
      <c r="SVK112" s="7"/>
      <c r="SVL112" s="7"/>
      <c r="SVM112" s="7"/>
      <c r="SVN112" s="7"/>
      <c r="SVO112" s="7"/>
      <c r="SVP112" s="7"/>
      <c r="SVQ112" s="7"/>
      <c r="SVR112" s="7"/>
      <c r="SVS112" s="7"/>
      <c r="SVT112" s="7"/>
      <c r="SVU112" s="7"/>
      <c r="SVV112" s="7"/>
      <c r="SVW112" s="7"/>
      <c r="SVX112" s="7"/>
      <c r="SVY112" s="7"/>
      <c r="SVZ112" s="7"/>
      <c r="SWA112" s="7"/>
      <c r="SWB112" s="7"/>
      <c r="SWC112" s="7"/>
      <c r="SWD112" s="7"/>
      <c r="SWE112" s="7"/>
      <c r="SWF112" s="7"/>
      <c r="SWG112" s="7"/>
      <c r="SWH112" s="7"/>
      <c r="SWI112" s="7"/>
      <c r="SWJ112" s="7"/>
      <c r="SWK112" s="7"/>
      <c r="SWL112" s="7"/>
      <c r="SWM112" s="7"/>
      <c r="SWN112" s="7"/>
      <c r="SWO112" s="7"/>
      <c r="SWP112" s="7"/>
      <c r="SWQ112" s="7"/>
      <c r="SWR112" s="7"/>
      <c r="SWS112" s="7"/>
      <c r="SWT112" s="7"/>
      <c r="SWU112" s="7"/>
      <c r="SWV112" s="7"/>
      <c r="SWW112" s="7"/>
      <c r="SWX112" s="7"/>
      <c r="SWY112" s="7"/>
      <c r="SWZ112" s="7"/>
      <c r="SXA112" s="7"/>
      <c r="SXB112" s="7"/>
      <c r="SXC112" s="7"/>
      <c r="SXD112" s="7"/>
      <c r="SXE112" s="7"/>
      <c r="SXF112" s="7"/>
      <c r="SXG112" s="7"/>
      <c r="SXH112" s="7"/>
      <c r="SXI112" s="7"/>
      <c r="SXJ112" s="7"/>
      <c r="SXK112" s="7"/>
      <c r="SXL112" s="7"/>
      <c r="SXM112" s="7"/>
      <c r="SXN112" s="7"/>
      <c r="SXO112" s="7"/>
      <c r="SXP112" s="7"/>
      <c r="SXQ112" s="7"/>
      <c r="SXR112" s="7"/>
      <c r="SXS112" s="7"/>
      <c r="SXT112" s="7"/>
      <c r="SXU112" s="7"/>
      <c r="SXV112" s="7"/>
      <c r="SXW112" s="7"/>
      <c r="SXX112" s="7"/>
      <c r="SXY112" s="7"/>
      <c r="SXZ112" s="7"/>
      <c r="SYA112" s="7"/>
      <c r="SYB112" s="7"/>
      <c r="SYC112" s="7"/>
      <c r="SYD112" s="7"/>
      <c r="SYE112" s="7"/>
      <c r="SYF112" s="7"/>
      <c r="SYG112" s="7"/>
      <c r="SYH112" s="7"/>
      <c r="SYI112" s="7"/>
      <c r="SYJ112" s="7"/>
      <c r="SYK112" s="7"/>
      <c r="SYL112" s="7"/>
      <c r="SYM112" s="7"/>
      <c r="SYN112" s="7"/>
      <c r="SYO112" s="7"/>
      <c r="SYP112" s="7"/>
      <c r="SYQ112" s="7"/>
      <c r="SYR112" s="7"/>
      <c r="SYS112" s="7"/>
      <c r="SYT112" s="7"/>
      <c r="SYU112" s="7"/>
      <c r="SYV112" s="7"/>
      <c r="SYW112" s="7"/>
      <c r="SYX112" s="7"/>
      <c r="SYY112" s="7"/>
      <c r="SYZ112" s="7"/>
      <c r="SZA112" s="7"/>
      <c r="SZB112" s="7"/>
      <c r="SZC112" s="7"/>
      <c r="SZD112" s="7"/>
      <c r="SZE112" s="7"/>
      <c r="SZF112" s="7"/>
      <c r="SZG112" s="7"/>
      <c r="SZH112" s="7"/>
      <c r="SZI112" s="7"/>
      <c r="SZJ112" s="7"/>
      <c r="SZK112" s="7"/>
      <c r="SZL112" s="7"/>
      <c r="SZM112" s="7"/>
      <c r="SZN112" s="7"/>
      <c r="SZO112" s="7"/>
      <c r="SZP112" s="7"/>
      <c r="SZQ112" s="7"/>
      <c r="SZR112" s="7"/>
      <c r="SZS112" s="7"/>
      <c r="SZT112" s="7"/>
      <c r="SZU112" s="7"/>
      <c r="SZV112" s="7"/>
      <c r="SZW112" s="7"/>
      <c r="SZX112" s="7"/>
      <c r="SZY112" s="7"/>
      <c r="SZZ112" s="7"/>
      <c r="TAA112" s="7"/>
      <c r="TAB112" s="7"/>
      <c r="TAC112" s="7"/>
      <c r="TAD112" s="7"/>
      <c r="TAE112" s="7"/>
      <c r="TAF112" s="7"/>
      <c r="TAG112" s="7"/>
      <c r="TAH112" s="7"/>
      <c r="TAI112" s="7"/>
      <c r="TAJ112" s="7"/>
      <c r="TAK112" s="7"/>
      <c r="TAL112" s="7"/>
      <c r="TAM112" s="7"/>
      <c r="TAN112" s="7"/>
      <c r="TAO112" s="7"/>
      <c r="TAP112" s="7"/>
      <c r="TAQ112" s="7"/>
      <c r="TAR112" s="7"/>
      <c r="TAS112" s="7"/>
      <c r="TAT112" s="7"/>
      <c r="TAU112" s="7"/>
      <c r="TAV112" s="7"/>
      <c r="TAW112" s="7"/>
      <c r="TAX112" s="7"/>
      <c r="TAY112" s="7"/>
      <c r="TAZ112" s="7"/>
      <c r="TBA112" s="7"/>
      <c r="TBB112" s="7"/>
      <c r="TBC112" s="7"/>
      <c r="TBD112" s="7"/>
      <c r="TBE112" s="7"/>
      <c r="TBF112" s="7"/>
      <c r="TBG112" s="7"/>
      <c r="TBH112" s="7"/>
      <c r="TBI112" s="7"/>
      <c r="TBJ112" s="7"/>
      <c r="TBK112" s="7"/>
      <c r="TBL112" s="7"/>
      <c r="TBM112" s="7"/>
      <c r="TBN112" s="7"/>
      <c r="TBO112" s="7"/>
      <c r="TBP112" s="7"/>
      <c r="TBQ112" s="7"/>
      <c r="TBR112" s="7"/>
      <c r="TBS112" s="7"/>
      <c r="TBT112" s="7"/>
      <c r="TBU112" s="7"/>
      <c r="TBV112" s="7"/>
      <c r="TBW112" s="7"/>
      <c r="TBX112" s="7"/>
      <c r="TBY112" s="7"/>
      <c r="TBZ112" s="7"/>
      <c r="TCA112" s="7"/>
      <c r="TCB112" s="7"/>
      <c r="TCC112" s="7"/>
      <c r="TCD112" s="7"/>
      <c r="TCE112" s="7"/>
      <c r="TCF112" s="7"/>
      <c r="TCG112" s="7"/>
      <c r="TCH112" s="7"/>
      <c r="TCI112" s="7"/>
      <c r="TCJ112" s="7"/>
      <c r="TCK112" s="7"/>
      <c r="TCL112" s="7"/>
      <c r="TCM112" s="7"/>
      <c r="TCN112" s="7"/>
      <c r="TCO112" s="7"/>
      <c r="TCP112" s="7"/>
      <c r="TCQ112" s="7"/>
      <c r="TCR112" s="7"/>
      <c r="TCS112" s="7"/>
      <c r="TCT112" s="7"/>
      <c r="TCU112" s="7"/>
      <c r="TCV112" s="7"/>
      <c r="TCW112" s="7"/>
      <c r="TCX112" s="7"/>
      <c r="TCY112" s="7"/>
      <c r="TCZ112" s="7"/>
      <c r="TDA112" s="7"/>
      <c r="TDB112" s="7"/>
      <c r="TDC112" s="7"/>
      <c r="TDD112" s="7"/>
      <c r="TDE112" s="7"/>
      <c r="TDF112" s="7"/>
      <c r="TDG112" s="7"/>
      <c r="TDH112" s="7"/>
      <c r="TDI112" s="7"/>
      <c r="TDJ112" s="7"/>
      <c r="TDK112" s="7"/>
      <c r="TDL112" s="7"/>
      <c r="TDM112" s="7"/>
      <c r="TDN112" s="7"/>
      <c r="TDO112" s="7"/>
      <c r="TDP112" s="7"/>
      <c r="TDQ112" s="7"/>
      <c r="TDR112" s="7"/>
      <c r="TDS112" s="7"/>
      <c r="TDT112" s="7"/>
      <c r="TDU112" s="7"/>
      <c r="TDV112" s="7"/>
      <c r="TDW112" s="7"/>
      <c r="TDX112" s="7"/>
      <c r="TDY112" s="7"/>
      <c r="TDZ112" s="7"/>
      <c r="TEA112" s="7"/>
      <c r="TEB112" s="7"/>
      <c r="TEC112" s="7"/>
      <c r="TED112" s="7"/>
      <c r="TEE112" s="7"/>
      <c r="TEF112" s="7"/>
      <c r="TEG112" s="7"/>
      <c r="TEH112" s="7"/>
      <c r="TEI112" s="7"/>
      <c r="TEJ112" s="7"/>
      <c r="TEK112" s="7"/>
      <c r="TEL112" s="7"/>
      <c r="TEM112" s="7"/>
      <c r="TEN112" s="7"/>
      <c r="TEO112" s="7"/>
      <c r="TEP112" s="7"/>
      <c r="TEQ112" s="7"/>
      <c r="TER112" s="7"/>
      <c r="TES112" s="7"/>
      <c r="TET112" s="7"/>
      <c r="TEU112" s="7"/>
      <c r="TEV112" s="7"/>
      <c r="TEW112" s="7"/>
      <c r="TEX112" s="7"/>
      <c r="TEY112" s="7"/>
      <c r="TEZ112" s="7"/>
      <c r="TFA112" s="7"/>
      <c r="TFB112" s="7"/>
      <c r="TFC112" s="7"/>
      <c r="TFD112" s="7"/>
      <c r="TFE112" s="7"/>
      <c r="TFF112" s="7"/>
      <c r="TFG112" s="7"/>
      <c r="TFH112" s="7"/>
      <c r="TFI112" s="7"/>
      <c r="TFJ112" s="7"/>
      <c r="TFK112" s="7"/>
      <c r="TFL112" s="7"/>
      <c r="TFM112" s="7"/>
      <c r="TFN112" s="7"/>
      <c r="TFO112" s="7"/>
      <c r="TFP112" s="7"/>
      <c r="TFQ112" s="7"/>
      <c r="TFR112" s="7"/>
      <c r="TFS112" s="7"/>
      <c r="TFT112" s="7"/>
      <c r="TFU112" s="7"/>
      <c r="TFV112" s="7"/>
      <c r="TFW112" s="7"/>
      <c r="TFX112" s="7"/>
      <c r="TFY112" s="7"/>
      <c r="TFZ112" s="7"/>
      <c r="TGA112" s="7"/>
      <c r="TGB112" s="7"/>
      <c r="TGC112" s="7"/>
      <c r="TGD112" s="7"/>
      <c r="TGE112" s="7"/>
      <c r="TGF112" s="7"/>
      <c r="TGG112" s="7"/>
      <c r="TGH112" s="7"/>
      <c r="TGI112" s="7"/>
      <c r="TGJ112" s="7"/>
      <c r="TGK112" s="7"/>
      <c r="TGL112" s="7"/>
      <c r="TGM112" s="7"/>
      <c r="TGN112" s="7"/>
      <c r="TGO112" s="7"/>
      <c r="TGP112" s="7"/>
      <c r="TGQ112" s="7"/>
      <c r="TGR112" s="7"/>
      <c r="TGS112" s="7"/>
      <c r="TGT112" s="7"/>
      <c r="TGU112" s="7"/>
      <c r="TGV112" s="7"/>
      <c r="TGW112" s="7"/>
      <c r="TGX112" s="7"/>
      <c r="TGY112" s="7"/>
      <c r="TGZ112" s="7"/>
      <c r="THA112" s="7"/>
      <c r="THB112" s="7"/>
      <c r="THC112" s="7"/>
      <c r="THD112" s="7"/>
      <c r="THE112" s="7"/>
      <c r="THF112" s="7"/>
      <c r="THG112" s="7"/>
      <c r="THH112" s="7"/>
      <c r="THI112" s="7"/>
      <c r="THJ112" s="7"/>
      <c r="THK112" s="7"/>
      <c r="THL112" s="7"/>
      <c r="THM112" s="7"/>
      <c r="THN112" s="7"/>
      <c r="THO112" s="7"/>
      <c r="THP112" s="7"/>
      <c r="THQ112" s="7"/>
      <c r="THR112" s="7"/>
      <c r="THS112" s="7"/>
      <c r="THT112" s="7"/>
      <c r="THU112" s="7"/>
      <c r="THV112" s="7"/>
      <c r="THW112" s="7"/>
      <c r="THX112" s="7"/>
      <c r="THY112" s="7"/>
      <c r="THZ112" s="7"/>
      <c r="TIA112" s="7"/>
      <c r="TIB112" s="7"/>
      <c r="TIC112" s="7"/>
      <c r="TID112" s="7"/>
      <c r="TIE112" s="7"/>
      <c r="TIF112" s="7"/>
      <c r="TIG112" s="7"/>
      <c r="TIH112" s="7"/>
      <c r="TII112" s="7"/>
      <c r="TIJ112" s="7"/>
      <c r="TIK112" s="7"/>
      <c r="TIL112" s="7"/>
      <c r="TIM112" s="7"/>
      <c r="TIN112" s="7"/>
      <c r="TIO112" s="7"/>
      <c r="TIP112" s="7"/>
      <c r="TIQ112" s="7"/>
      <c r="TIR112" s="7"/>
      <c r="TIS112" s="7"/>
      <c r="TIT112" s="7"/>
      <c r="TIU112" s="7"/>
      <c r="TIV112" s="7"/>
      <c r="TIW112" s="7"/>
      <c r="TIX112" s="7"/>
      <c r="TIY112" s="7"/>
      <c r="TIZ112" s="7"/>
      <c r="TJA112" s="7"/>
      <c r="TJB112" s="7"/>
      <c r="TJC112" s="7"/>
      <c r="TJD112" s="7"/>
      <c r="TJE112" s="7"/>
      <c r="TJF112" s="7"/>
      <c r="TJG112" s="7"/>
      <c r="TJH112" s="7"/>
      <c r="TJI112" s="7"/>
      <c r="TJJ112" s="7"/>
      <c r="TJK112" s="7"/>
      <c r="TJL112" s="7"/>
      <c r="TJM112" s="7"/>
      <c r="TJN112" s="7"/>
      <c r="TJO112" s="7"/>
      <c r="TJP112" s="7"/>
      <c r="TJQ112" s="7"/>
      <c r="TJR112" s="7"/>
      <c r="TJS112" s="7"/>
      <c r="TJT112" s="7"/>
      <c r="TJU112" s="7"/>
      <c r="TJV112" s="7"/>
      <c r="TJW112" s="7"/>
      <c r="TJX112" s="7"/>
      <c r="TJY112" s="7"/>
      <c r="TJZ112" s="7"/>
      <c r="TKA112" s="7"/>
      <c r="TKB112" s="7"/>
      <c r="TKC112" s="7"/>
      <c r="TKD112" s="7"/>
      <c r="TKE112" s="7"/>
      <c r="TKF112" s="7"/>
      <c r="TKG112" s="7"/>
      <c r="TKH112" s="7"/>
      <c r="TKI112" s="7"/>
      <c r="TKJ112" s="7"/>
      <c r="TKK112" s="7"/>
      <c r="TKL112" s="7"/>
      <c r="TKM112" s="7"/>
      <c r="TKN112" s="7"/>
      <c r="TKO112" s="7"/>
      <c r="TKP112" s="7"/>
      <c r="TKQ112" s="7"/>
      <c r="TKR112" s="7"/>
      <c r="TKS112" s="7"/>
      <c r="TKT112" s="7"/>
      <c r="TKU112" s="7"/>
      <c r="TKV112" s="7"/>
      <c r="TKW112" s="7"/>
      <c r="TKX112" s="7"/>
      <c r="TKY112" s="7"/>
      <c r="TKZ112" s="7"/>
      <c r="TLA112" s="7"/>
      <c r="TLB112" s="7"/>
      <c r="TLC112" s="7"/>
      <c r="TLD112" s="7"/>
      <c r="TLE112" s="7"/>
      <c r="TLF112" s="7"/>
      <c r="TLG112" s="7"/>
      <c r="TLH112" s="7"/>
      <c r="TLI112" s="7"/>
      <c r="TLJ112" s="7"/>
      <c r="TLK112" s="7"/>
      <c r="TLL112" s="7"/>
      <c r="TLM112" s="7"/>
      <c r="TLN112" s="7"/>
      <c r="TLO112" s="7"/>
      <c r="TLP112" s="7"/>
      <c r="TLQ112" s="7"/>
      <c r="TLR112" s="7"/>
      <c r="TLS112" s="7"/>
      <c r="TLT112" s="7"/>
      <c r="TLU112" s="7"/>
      <c r="TLV112" s="7"/>
      <c r="TLW112" s="7"/>
      <c r="TLX112" s="7"/>
      <c r="TLY112" s="7"/>
      <c r="TLZ112" s="7"/>
      <c r="TMA112" s="7"/>
      <c r="TMB112" s="7"/>
      <c r="TMC112" s="7"/>
      <c r="TMD112" s="7"/>
      <c r="TME112" s="7"/>
      <c r="TMF112" s="7"/>
      <c r="TMG112" s="7"/>
      <c r="TMH112" s="7"/>
      <c r="TMI112" s="7"/>
      <c r="TMJ112" s="7"/>
      <c r="TMK112" s="7"/>
      <c r="TML112" s="7"/>
      <c r="TMM112" s="7"/>
      <c r="TMN112" s="7"/>
      <c r="TMO112" s="7"/>
      <c r="TMP112" s="7"/>
      <c r="TMQ112" s="7"/>
      <c r="TMR112" s="7"/>
      <c r="TMS112" s="7"/>
      <c r="TMT112" s="7"/>
      <c r="TMU112" s="7"/>
      <c r="TMV112" s="7"/>
      <c r="TMW112" s="7"/>
      <c r="TMX112" s="7"/>
      <c r="TMY112" s="7"/>
      <c r="TMZ112" s="7"/>
      <c r="TNA112" s="7"/>
      <c r="TNB112" s="7"/>
      <c r="TNC112" s="7"/>
      <c r="TND112" s="7"/>
      <c r="TNE112" s="7"/>
      <c r="TNF112" s="7"/>
      <c r="TNG112" s="7"/>
      <c r="TNH112" s="7"/>
      <c r="TNI112" s="7"/>
      <c r="TNJ112" s="7"/>
      <c r="TNK112" s="7"/>
      <c r="TNL112" s="7"/>
      <c r="TNM112" s="7"/>
      <c r="TNN112" s="7"/>
      <c r="TNO112" s="7"/>
      <c r="TNP112" s="7"/>
      <c r="TNQ112" s="7"/>
      <c r="TNR112" s="7"/>
      <c r="TNS112" s="7"/>
      <c r="TNT112" s="7"/>
      <c r="TNU112" s="7"/>
      <c r="TNV112" s="7"/>
      <c r="TNW112" s="7"/>
      <c r="TNX112" s="7"/>
      <c r="TNY112" s="7"/>
      <c r="TNZ112" s="7"/>
      <c r="TOA112" s="7"/>
      <c r="TOB112" s="7"/>
      <c r="TOC112" s="7"/>
      <c r="TOD112" s="7"/>
      <c r="TOE112" s="7"/>
      <c r="TOF112" s="7"/>
      <c r="TOG112" s="7"/>
      <c r="TOH112" s="7"/>
      <c r="TOI112" s="7"/>
      <c r="TOJ112" s="7"/>
      <c r="TOK112" s="7"/>
      <c r="TOL112" s="7"/>
      <c r="TOM112" s="7"/>
      <c r="TON112" s="7"/>
      <c r="TOO112" s="7"/>
      <c r="TOP112" s="7"/>
      <c r="TOQ112" s="7"/>
      <c r="TOR112" s="7"/>
      <c r="TOS112" s="7"/>
      <c r="TOT112" s="7"/>
      <c r="TOU112" s="7"/>
      <c r="TOV112" s="7"/>
      <c r="TOW112" s="7"/>
      <c r="TOX112" s="7"/>
      <c r="TOY112" s="7"/>
      <c r="TOZ112" s="7"/>
      <c r="TPA112" s="7"/>
      <c r="TPB112" s="7"/>
      <c r="TPC112" s="7"/>
      <c r="TPD112" s="7"/>
      <c r="TPE112" s="7"/>
      <c r="TPF112" s="7"/>
      <c r="TPG112" s="7"/>
      <c r="TPH112" s="7"/>
      <c r="TPI112" s="7"/>
      <c r="TPJ112" s="7"/>
      <c r="TPK112" s="7"/>
      <c r="TPL112" s="7"/>
      <c r="TPM112" s="7"/>
      <c r="TPN112" s="7"/>
      <c r="TPO112" s="7"/>
      <c r="TPP112" s="7"/>
      <c r="TPQ112" s="7"/>
      <c r="TPR112" s="7"/>
      <c r="TPS112" s="7"/>
      <c r="TPT112" s="7"/>
      <c r="TPU112" s="7"/>
      <c r="TPV112" s="7"/>
      <c r="TPW112" s="7"/>
      <c r="TPX112" s="7"/>
      <c r="TPY112" s="7"/>
      <c r="TPZ112" s="7"/>
      <c r="TQA112" s="7"/>
      <c r="TQB112" s="7"/>
      <c r="TQC112" s="7"/>
      <c r="TQD112" s="7"/>
      <c r="TQE112" s="7"/>
      <c r="TQF112" s="7"/>
      <c r="TQG112" s="7"/>
      <c r="TQH112" s="7"/>
      <c r="TQI112" s="7"/>
      <c r="TQJ112" s="7"/>
      <c r="TQK112" s="7"/>
      <c r="TQL112" s="7"/>
      <c r="TQM112" s="7"/>
      <c r="TQN112" s="7"/>
      <c r="TQO112" s="7"/>
      <c r="TQP112" s="7"/>
      <c r="TQQ112" s="7"/>
      <c r="TQR112" s="7"/>
      <c r="TQS112" s="7"/>
      <c r="TQT112" s="7"/>
      <c r="TQU112" s="7"/>
      <c r="TQV112" s="7"/>
      <c r="TQW112" s="7"/>
      <c r="TQX112" s="7"/>
      <c r="TQY112" s="7"/>
      <c r="TQZ112" s="7"/>
      <c r="TRA112" s="7"/>
      <c r="TRB112" s="7"/>
      <c r="TRC112" s="7"/>
      <c r="TRD112" s="7"/>
      <c r="TRE112" s="7"/>
      <c r="TRF112" s="7"/>
      <c r="TRG112" s="7"/>
      <c r="TRH112" s="7"/>
      <c r="TRI112" s="7"/>
      <c r="TRJ112" s="7"/>
      <c r="TRK112" s="7"/>
      <c r="TRL112" s="7"/>
      <c r="TRM112" s="7"/>
      <c r="TRN112" s="7"/>
      <c r="TRO112" s="7"/>
      <c r="TRP112" s="7"/>
      <c r="TRQ112" s="7"/>
      <c r="TRR112" s="7"/>
      <c r="TRS112" s="7"/>
      <c r="TRT112" s="7"/>
      <c r="TRU112" s="7"/>
      <c r="TRV112" s="7"/>
      <c r="TRW112" s="7"/>
      <c r="TRX112" s="7"/>
      <c r="TRY112" s="7"/>
      <c r="TRZ112" s="7"/>
      <c r="TSA112" s="7"/>
      <c r="TSB112" s="7"/>
      <c r="TSC112" s="7"/>
      <c r="TSD112" s="7"/>
      <c r="TSE112" s="7"/>
      <c r="TSF112" s="7"/>
      <c r="TSG112" s="7"/>
      <c r="TSH112" s="7"/>
      <c r="TSI112" s="7"/>
      <c r="TSJ112" s="7"/>
      <c r="TSK112" s="7"/>
      <c r="TSL112" s="7"/>
      <c r="TSM112" s="7"/>
      <c r="TSN112" s="7"/>
      <c r="TSO112" s="7"/>
      <c r="TSP112" s="7"/>
      <c r="TSQ112" s="7"/>
      <c r="TSR112" s="7"/>
      <c r="TSS112" s="7"/>
      <c r="TST112" s="7"/>
      <c r="TSU112" s="7"/>
      <c r="TSV112" s="7"/>
      <c r="TSW112" s="7"/>
      <c r="TSX112" s="7"/>
      <c r="TSY112" s="7"/>
      <c r="TSZ112" s="7"/>
      <c r="TTA112" s="7"/>
      <c r="TTB112" s="7"/>
      <c r="TTC112" s="7"/>
      <c r="TTD112" s="7"/>
      <c r="TTE112" s="7"/>
      <c r="TTF112" s="7"/>
      <c r="TTG112" s="7"/>
      <c r="TTH112" s="7"/>
      <c r="TTI112" s="7"/>
      <c r="TTJ112" s="7"/>
      <c r="TTK112" s="7"/>
      <c r="TTL112" s="7"/>
      <c r="TTM112" s="7"/>
      <c r="TTN112" s="7"/>
      <c r="TTO112" s="7"/>
      <c r="TTP112" s="7"/>
      <c r="TTQ112" s="7"/>
      <c r="TTR112" s="7"/>
      <c r="TTS112" s="7"/>
      <c r="TTT112" s="7"/>
      <c r="TTU112" s="7"/>
      <c r="TTV112" s="7"/>
      <c r="TTW112" s="7"/>
      <c r="TTX112" s="7"/>
      <c r="TTY112" s="7"/>
      <c r="TTZ112" s="7"/>
      <c r="TUA112" s="7"/>
      <c r="TUB112" s="7"/>
      <c r="TUC112" s="7"/>
      <c r="TUD112" s="7"/>
      <c r="TUE112" s="7"/>
      <c r="TUF112" s="7"/>
      <c r="TUG112" s="7"/>
      <c r="TUH112" s="7"/>
      <c r="TUI112" s="7"/>
      <c r="TUJ112" s="7"/>
      <c r="TUK112" s="7"/>
      <c r="TUL112" s="7"/>
      <c r="TUM112" s="7"/>
      <c r="TUN112" s="7"/>
      <c r="TUO112" s="7"/>
      <c r="TUP112" s="7"/>
      <c r="TUQ112" s="7"/>
      <c r="TUR112" s="7"/>
      <c r="TUS112" s="7"/>
      <c r="TUT112" s="7"/>
      <c r="TUU112" s="7"/>
      <c r="TUV112" s="7"/>
      <c r="TUW112" s="7"/>
      <c r="TUX112" s="7"/>
      <c r="TUY112" s="7"/>
      <c r="TUZ112" s="7"/>
      <c r="TVA112" s="7"/>
      <c r="TVB112" s="7"/>
      <c r="TVC112" s="7"/>
      <c r="TVD112" s="7"/>
      <c r="TVE112" s="7"/>
      <c r="TVF112" s="7"/>
      <c r="TVG112" s="7"/>
      <c r="TVH112" s="7"/>
      <c r="TVI112" s="7"/>
      <c r="TVJ112" s="7"/>
      <c r="TVK112" s="7"/>
      <c r="TVL112" s="7"/>
      <c r="TVM112" s="7"/>
      <c r="TVN112" s="7"/>
      <c r="TVO112" s="7"/>
      <c r="TVP112" s="7"/>
      <c r="TVQ112" s="7"/>
      <c r="TVR112" s="7"/>
      <c r="TVS112" s="7"/>
      <c r="TVT112" s="7"/>
      <c r="TVU112" s="7"/>
      <c r="TVV112" s="7"/>
      <c r="TVW112" s="7"/>
      <c r="TVX112" s="7"/>
      <c r="TVY112" s="7"/>
      <c r="TVZ112" s="7"/>
      <c r="TWA112" s="7"/>
      <c r="TWB112" s="7"/>
      <c r="TWC112" s="7"/>
      <c r="TWD112" s="7"/>
      <c r="TWE112" s="7"/>
      <c r="TWF112" s="7"/>
      <c r="TWG112" s="7"/>
      <c r="TWH112" s="7"/>
      <c r="TWI112" s="7"/>
      <c r="TWJ112" s="7"/>
      <c r="TWK112" s="7"/>
      <c r="TWL112" s="7"/>
      <c r="TWM112" s="7"/>
      <c r="TWN112" s="7"/>
      <c r="TWO112" s="7"/>
      <c r="TWP112" s="7"/>
      <c r="TWQ112" s="7"/>
      <c r="TWR112" s="7"/>
      <c r="TWS112" s="7"/>
      <c r="TWT112" s="7"/>
      <c r="TWU112" s="7"/>
      <c r="TWV112" s="7"/>
      <c r="TWW112" s="7"/>
      <c r="TWX112" s="7"/>
      <c r="TWY112" s="7"/>
      <c r="TWZ112" s="7"/>
      <c r="TXA112" s="7"/>
      <c r="TXB112" s="7"/>
      <c r="TXC112" s="7"/>
      <c r="TXD112" s="7"/>
      <c r="TXE112" s="7"/>
      <c r="TXF112" s="7"/>
      <c r="TXG112" s="7"/>
      <c r="TXH112" s="7"/>
      <c r="TXI112" s="7"/>
      <c r="TXJ112" s="7"/>
      <c r="TXK112" s="7"/>
      <c r="TXL112" s="7"/>
      <c r="TXM112" s="7"/>
      <c r="TXN112" s="7"/>
      <c r="TXO112" s="7"/>
      <c r="TXP112" s="7"/>
      <c r="TXQ112" s="7"/>
      <c r="TXR112" s="7"/>
      <c r="TXS112" s="7"/>
      <c r="TXT112" s="7"/>
      <c r="TXU112" s="7"/>
      <c r="TXV112" s="7"/>
      <c r="TXW112" s="7"/>
      <c r="TXX112" s="7"/>
      <c r="TXY112" s="7"/>
      <c r="TXZ112" s="7"/>
      <c r="TYA112" s="7"/>
      <c r="TYB112" s="7"/>
      <c r="TYC112" s="7"/>
      <c r="TYD112" s="7"/>
      <c r="TYE112" s="7"/>
      <c r="TYF112" s="7"/>
      <c r="TYG112" s="7"/>
      <c r="TYH112" s="7"/>
      <c r="TYI112" s="7"/>
      <c r="TYJ112" s="7"/>
      <c r="TYK112" s="7"/>
      <c r="TYL112" s="7"/>
      <c r="TYM112" s="7"/>
      <c r="TYN112" s="7"/>
      <c r="TYO112" s="7"/>
      <c r="TYP112" s="7"/>
      <c r="TYQ112" s="7"/>
      <c r="TYR112" s="7"/>
      <c r="TYS112" s="7"/>
      <c r="TYT112" s="7"/>
      <c r="TYU112" s="7"/>
      <c r="TYV112" s="7"/>
      <c r="TYW112" s="7"/>
      <c r="TYX112" s="7"/>
      <c r="TYY112" s="7"/>
      <c r="TYZ112" s="7"/>
      <c r="TZA112" s="7"/>
      <c r="TZB112" s="7"/>
      <c r="TZC112" s="7"/>
      <c r="TZD112" s="7"/>
      <c r="TZE112" s="7"/>
      <c r="TZF112" s="7"/>
      <c r="TZG112" s="7"/>
      <c r="TZH112" s="7"/>
      <c r="TZI112" s="7"/>
      <c r="TZJ112" s="7"/>
      <c r="TZK112" s="7"/>
      <c r="TZL112" s="7"/>
      <c r="TZM112" s="7"/>
      <c r="TZN112" s="7"/>
      <c r="TZO112" s="7"/>
      <c r="TZP112" s="7"/>
      <c r="TZQ112" s="7"/>
      <c r="TZR112" s="7"/>
      <c r="TZS112" s="7"/>
      <c r="TZT112" s="7"/>
      <c r="TZU112" s="7"/>
      <c r="TZV112" s="7"/>
      <c r="TZW112" s="7"/>
      <c r="TZX112" s="7"/>
      <c r="TZY112" s="7"/>
      <c r="TZZ112" s="7"/>
      <c r="UAA112" s="7"/>
      <c r="UAB112" s="7"/>
      <c r="UAC112" s="7"/>
      <c r="UAD112" s="7"/>
      <c r="UAE112" s="7"/>
      <c r="UAF112" s="7"/>
      <c r="UAG112" s="7"/>
      <c r="UAH112" s="7"/>
      <c r="UAI112" s="7"/>
      <c r="UAJ112" s="7"/>
      <c r="UAK112" s="7"/>
      <c r="UAL112" s="7"/>
      <c r="UAM112" s="7"/>
      <c r="UAN112" s="7"/>
      <c r="UAO112" s="7"/>
      <c r="UAP112" s="7"/>
      <c r="UAQ112" s="7"/>
      <c r="UAR112" s="7"/>
      <c r="UAS112" s="7"/>
      <c r="UAT112" s="7"/>
      <c r="UAU112" s="7"/>
      <c r="UAV112" s="7"/>
      <c r="UAW112" s="7"/>
      <c r="UAX112" s="7"/>
      <c r="UAY112" s="7"/>
      <c r="UAZ112" s="7"/>
      <c r="UBA112" s="7"/>
      <c r="UBB112" s="7"/>
      <c r="UBC112" s="7"/>
      <c r="UBD112" s="7"/>
      <c r="UBE112" s="7"/>
      <c r="UBF112" s="7"/>
      <c r="UBG112" s="7"/>
      <c r="UBH112" s="7"/>
      <c r="UBI112" s="7"/>
      <c r="UBJ112" s="7"/>
      <c r="UBK112" s="7"/>
      <c r="UBL112" s="7"/>
      <c r="UBM112" s="7"/>
      <c r="UBN112" s="7"/>
      <c r="UBO112" s="7"/>
      <c r="UBP112" s="7"/>
      <c r="UBQ112" s="7"/>
      <c r="UBR112" s="7"/>
      <c r="UBS112" s="7"/>
      <c r="UBT112" s="7"/>
      <c r="UBU112" s="7"/>
      <c r="UBV112" s="7"/>
      <c r="UBW112" s="7"/>
      <c r="UBX112" s="7"/>
      <c r="UBY112" s="7"/>
      <c r="UBZ112" s="7"/>
      <c r="UCA112" s="7"/>
      <c r="UCB112" s="7"/>
      <c r="UCC112" s="7"/>
      <c r="UCD112" s="7"/>
      <c r="UCE112" s="7"/>
      <c r="UCF112" s="7"/>
      <c r="UCG112" s="7"/>
      <c r="UCH112" s="7"/>
      <c r="UCI112" s="7"/>
      <c r="UCJ112" s="7"/>
      <c r="UCK112" s="7"/>
      <c r="UCL112" s="7"/>
      <c r="UCM112" s="7"/>
      <c r="UCN112" s="7"/>
      <c r="UCO112" s="7"/>
      <c r="UCP112" s="7"/>
      <c r="UCQ112" s="7"/>
      <c r="UCR112" s="7"/>
      <c r="UCS112" s="7"/>
      <c r="UCT112" s="7"/>
      <c r="UCU112" s="7"/>
      <c r="UCV112" s="7"/>
      <c r="UCW112" s="7"/>
      <c r="UCX112" s="7"/>
      <c r="UCY112" s="7"/>
      <c r="UCZ112" s="7"/>
      <c r="UDA112" s="7"/>
      <c r="UDB112" s="7"/>
      <c r="UDC112" s="7"/>
      <c r="UDD112" s="7"/>
      <c r="UDE112" s="7"/>
      <c r="UDF112" s="7"/>
      <c r="UDG112" s="7"/>
      <c r="UDH112" s="7"/>
      <c r="UDI112" s="7"/>
      <c r="UDJ112" s="7"/>
      <c r="UDK112" s="7"/>
      <c r="UDL112" s="7"/>
      <c r="UDM112" s="7"/>
      <c r="UDN112" s="7"/>
      <c r="UDO112" s="7"/>
      <c r="UDP112" s="7"/>
      <c r="UDQ112" s="7"/>
      <c r="UDR112" s="7"/>
      <c r="UDS112" s="7"/>
      <c r="UDT112" s="7"/>
      <c r="UDU112" s="7"/>
      <c r="UDV112" s="7"/>
      <c r="UDW112" s="7"/>
      <c r="UDX112" s="7"/>
      <c r="UDY112" s="7"/>
      <c r="UDZ112" s="7"/>
      <c r="UEA112" s="7"/>
      <c r="UEB112" s="7"/>
      <c r="UEC112" s="7"/>
      <c r="UED112" s="7"/>
      <c r="UEE112" s="7"/>
      <c r="UEF112" s="7"/>
      <c r="UEG112" s="7"/>
      <c r="UEH112" s="7"/>
      <c r="UEI112" s="7"/>
      <c r="UEJ112" s="7"/>
      <c r="UEK112" s="7"/>
      <c r="UEL112" s="7"/>
      <c r="UEM112" s="7"/>
      <c r="UEN112" s="7"/>
      <c r="UEO112" s="7"/>
      <c r="UEP112" s="7"/>
      <c r="UEQ112" s="7"/>
      <c r="UER112" s="7"/>
      <c r="UES112" s="7"/>
      <c r="UET112" s="7"/>
      <c r="UEU112" s="7"/>
      <c r="UEV112" s="7"/>
      <c r="UEW112" s="7"/>
      <c r="UEX112" s="7"/>
      <c r="UEY112" s="7"/>
      <c r="UEZ112" s="7"/>
      <c r="UFA112" s="7"/>
      <c r="UFB112" s="7"/>
      <c r="UFC112" s="7"/>
      <c r="UFD112" s="7"/>
      <c r="UFE112" s="7"/>
      <c r="UFF112" s="7"/>
      <c r="UFG112" s="7"/>
      <c r="UFH112" s="7"/>
      <c r="UFI112" s="7"/>
      <c r="UFJ112" s="7"/>
      <c r="UFK112" s="7"/>
      <c r="UFL112" s="7"/>
      <c r="UFM112" s="7"/>
      <c r="UFN112" s="7"/>
      <c r="UFO112" s="7"/>
      <c r="UFP112" s="7"/>
      <c r="UFQ112" s="7"/>
      <c r="UFR112" s="7"/>
      <c r="UFS112" s="7"/>
      <c r="UFT112" s="7"/>
      <c r="UFU112" s="7"/>
      <c r="UFV112" s="7"/>
      <c r="UFW112" s="7"/>
      <c r="UFX112" s="7"/>
      <c r="UFY112" s="7"/>
      <c r="UFZ112" s="7"/>
      <c r="UGA112" s="7"/>
      <c r="UGB112" s="7"/>
      <c r="UGC112" s="7"/>
      <c r="UGD112" s="7"/>
      <c r="UGE112" s="7"/>
      <c r="UGF112" s="7"/>
      <c r="UGG112" s="7"/>
      <c r="UGH112" s="7"/>
      <c r="UGI112" s="7"/>
      <c r="UGJ112" s="7"/>
      <c r="UGK112" s="7"/>
      <c r="UGL112" s="7"/>
      <c r="UGM112" s="7"/>
      <c r="UGN112" s="7"/>
      <c r="UGO112" s="7"/>
      <c r="UGP112" s="7"/>
      <c r="UGQ112" s="7"/>
      <c r="UGR112" s="7"/>
      <c r="UGS112" s="7"/>
      <c r="UGT112" s="7"/>
      <c r="UGU112" s="7"/>
      <c r="UGV112" s="7"/>
      <c r="UGW112" s="7"/>
      <c r="UGX112" s="7"/>
      <c r="UGY112" s="7"/>
      <c r="UGZ112" s="7"/>
      <c r="UHA112" s="7"/>
      <c r="UHB112" s="7"/>
      <c r="UHC112" s="7"/>
      <c r="UHD112" s="7"/>
      <c r="UHE112" s="7"/>
      <c r="UHF112" s="7"/>
      <c r="UHG112" s="7"/>
      <c r="UHH112" s="7"/>
      <c r="UHI112" s="7"/>
      <c r="UHJ112" s="7"/>
      <c r="UHK112" s="7"/>
      <c r="UHL112" s="7"/>
      <c r="UHM112" s="7"/>
      <c r="UHN112" s="7"/>
      <c r="UHO112" s="7"/>
      <c r="UHP112" s="7"/>
      <c r="UHQ112" s="7"/>
      <c r="UHR112" s="7"/>
      <c r="UHS112" s="7"/>
      <c r="UHT112" s="7"/>
      <c r="UHU112" s="7"/>
      <c r="UHV112" s="7"/>
      <c r="UHW112" s="7"/>
      <c r="UHX112" s="7"/>
      <c r="UHY112" s="7"/>
      <c r="UHZ112" s="7"/>
      <c r="UIA112" s="7"/>
      <c r="UIB112" s="7"/>
      <c r="UIC112" s="7"/>
      <c r="UID112" s="7"/>
      <c r="UIE112" s="7"/>
      <c r="UIF112" s="7"/>
      <c r="UIG112" s="7"/>
      <c r="UIH112" s="7"/>
      <c r="UII112" s="7"/>
      <c r="UIJ112" s="7"/>
      <c r="UIK112" s="7"/>
      <c r="UIL112" s="7"/>
      <c r="UIM112" s="7"/>
      <c r="UIN112" s="7"/>
      <c r="UIO112" s="7"/>
      <c r="UIP112" s="7"/>
      <c r="UIQ112" s="7"/>
      <c r="UIR112" s="7"/>
      <c r="UIS112" s="7"/>
      <c r="UIT112" s="7"/>
      <c r="UIU112" s="7"/>
      <c r="UIV112" s="7"/>
      <c r="UIW112" s="7"/>
      <c r="UIX112" s="7"/>
      <c r="UIY112" s="7"/>
      <c r="UIZ112" s="7"/>
      <c r="UJA112" s="7"/>
      <c r="UJB112" s="7"/>
      <c r="UJC112" s="7"/>
      <c r="UJD112" s="7"/>
      <c r="UJE112" s="7"/>
      <c r="UJF112" s="7"/>
      <c r="UJG112" s="7"/>
      <c r="UJH112" s="7"/>
      <c r="UJI112" s="7"/>
      <c r="UJJ112" s="7"/>
      <c r="UJK112" s="7"/>
      <c r="UJL112" s="7"/>
      <c r="UJM112" s="7"/>
      <c r="UJN112" s="7"/>
      <c r="UJO112" s="7"/>
      <c r="UJP112" s="7"/>
      <c r="UJQ112" s="7"/>
      <c r="UJR112" s="7"/>
      <c r="UJS112" s="7"/>
      <c r="UJT112" s="7"/>
      <c r="UJU112" s="7"/>
      <c r="UJV112" s="7"/>
      <c r="UJW112" s="7"/>
      <c r="UJX112" s="7"/>
      <c r="UJY112" s="7"/>
      <c r="UJZ112" s="7"/>
      <c r="UKA112" s="7"/>
      <c r="UKB112" s="7"/>
      <c r="UKC112" s="7"/>
      <c r="UKD112" s="7"/>
      <c r="UKE112" s="7"/>
      <c r="UKF112" s="7"/>
      <c r="UKG112" s="7"/>
      <c r="UKH112" s="7"/>
      <c r="UKI112" s="7"/>
      <c r="UKJ112" s="7"/>
      <c r="UKK112" s="7"/>
      <c r="UKL112" s="7"/>
      <c r="UKM112" s="7"/>
      <c r="UKN112" s="7"/>
      <c r="UKO112" s="7"/>
      <c r="UKP112" s="7"/>
      <c r="UKQ112" s="7"/>
      <c r="UKR112" s="7"/>
      <c r="UKS112" s="7"/>
      <c r="UKT112" s="7"/>
      <c r="UKU112" s="7"/>
      <c r="UKV112" s="7"/>
      <c r="UKW112" s="7"/>
      <c r="UKX112" s="7"/>
      <c r="UKY112" s="7"/>
      <c r="UKZ112" s="7"/>
      <c r="ULA112" s="7"/>
      <c r="ULB112" s="7"/>
      <c r="ULC112" s="7"/>
      <c r="ULD112" s="7"/>
      <c r="ULE112" s="7"/>
      <c r="ULF112" s="7"/>
      <c r="ULG112" s="7"/>
      <c r="ULH112" s="7"/>
      <c r="ULI112" s="7"/>
      <c r="ULJ112" s="7"/>
      <c r="ULK112" s="7"/>
      <c r="ULL112" s="7"/>
      <c r="ULM112" s="7"/>
      <c r="ULN112" s="7"/>
      <c r="ULO112" s="7"/>
      <c r="ULP112" s="7"/>
      <c r="ULQ112" s="7"/>
      <c r="ULR112" s="7"/>
      <c r="ULS112" s="7"/>
      <c r="ULT112" s="7"/>
      <c r="ULU112" s="7"/>
      <c r="ULV112" s="7"/>
      <c r="ULW112" s="7"/>
      <c r="ULX112" s="7"/>
      <c r="ULY112" s="7"/>
      <c r="ULZ112" s="7"/>
      <c r="UMA112" s="7"/>
      <c r="UMB112" s="7"/>
      <c r="UMC112" s="7"/>
      <c r="UMD112" s="7"/>
      <c r="UME112" s="7"/>
      <c r="UMF112" s="7"/>
      <c r="UMG112" s="7"/>
      <c r="UMH112" s="7"/>
      <c r="UMI112" s="7"/>
      <c r="UMJ112" s="7"/>
      <c r="UMK112" s="7"/>
      <c r="UML112" s="7"/>
      <c r="UMM112" s="7"/>
      <c r="UMN112" s="7"/>
      <c r="UMO112" s="7"/>
      <c r="UMP112" s="7"/>
      <c r="UMQ112" s="7"/>
      <c r="UMR112" s="7"/>
      <c r="UMS112" s="7"/>
      <c r="UMT112" s="7"/>
      <c r="UMU112" s="7"/>
      <c r="UMV112" s="7"/>
      <c r="UMW112" s="7"/>
      <c r="UMX112" s="7"/>
      <c r="UMY112" s="7"/>
      <c r="UMZ112" s="7"/>
      <c r="UNA112" s="7"/>
      <c r="UNB112" s="7"/>
      <c r="UNC112" s="7"/>
      <c r="UND112" s="7"/>
      <c r="UNE112" s="7"/>
      <c r="UNF112" s="7"/>
      <c r="UNG112" s="7"/>
      <c r="UNH112" s="7"/>
      <c r="UNI112" s="7"/>
      <c r="UNJ112" s="7"/>
      <c r="UNK112" s="7"/>
      <c r="UNL112" s="7"/>
      <c r="UNM112" s="7"/>
      <c r="UNN112" s="7"/>
      <c r="UNO112" s="7"/>
      <c r="UNP112" s="7"/>
      <c r="UNQ112" s="7"/>
      <c r="UNR112" s="7"/>
      <c r="UNS112" s="7"/>
      <c r="UNT112" s="7"/>
      <c r="UNU112" s="7"/>
      <c r="UNV112" s="7"/>
      <c r="UNW112" s="7"/>
      <c r="UNX112" s="7"/>
      <c r="UNY112" s="7"/>
      <c r="UNZ112" s="7"/>
      <c r="UOA112" s="7"/>
      <c r="UOB112" s="7"/>
      <c r="UOC112" s="7"/>
      <c r="UOD112" s="7"/>
      <c r="UOE112" s="7"/>
      <c r="UOF112" s="7"/>
      <c r="UOG112" s="7"/>
      <c r="UOH112" s="7"/>
      <c r="UOI112" s="7"/>
      <c r="UOJ112" s="7"/>
      <c r="UOK112" s="7"/>
      <c r="UOL112" s="7"/>
      <c r="UOM112" s="7"/>
      <c r="UON112" s="7"/>
      <c r="UOO112" s="7"/>
      <c r="UOP112" s="7"/>
      <c r="UOQ112" s="7"/>
      <c r="UOR112" s="7"/>
      <c r="UOS112" s="7"/>
      <c r="UOT112" s="7"/>
      <c r="UOU112" s="7"/>
      <c r="UOV112" s="7"/>
      <c r="UOW112" s="7"/>
      <c r="UOX112" s="7"/>
      <c r="UOY112" s="7"/>
      <c r="UOZ112" s="7"/>
      <c r="UPA112" s="7"/>
      <c r="UPB112" s="7"/>
      <c r="UPC112" s="7"/>
      <c r="UPD112" s="7"/>
      <c r="UPE112" s="7"/>
      <c r="UPF112" s="7"/>
      <c r="UPG112" s="7"/>
      <c r="UPH112" s="7"/>
      <c r="UPI112" s="7"/>
      <c r="UPJ112" s="7"/>
      <c r="UPK112" s="7"/>
      <c r="UPL112" s="7"/>
      <c r="UPM112" s="7"/>
      <c r="UPN112" s="7"/>
      <c r="UPO112" s="7"/>
      <c r="UPP112" s="7"/>
      <c r="UPQ112" s="7"/>
      <c r="UPR112" s="7"/>
      <c r="UPS112" s="7"/>
      <c r="UPT112" s="7"/>
      <c r="UPU112" s="7"/>
      <c r="UPV112" s="7"/>
      <c r="UPW112" s="7"/>
      <c r="UPX112" s="7"/>
      <c r="UPY112" s="7"/>
      <c r="UPZ112" s="7"/>
      <c r="UQA112" s="7"/>
      <c r="UQB112" s="7"/>
      <c r="UQC112" s="7"/>
      <c r="UQD112" s="7"/>
      <c r="UQE112" s="7"/>
      <c r="UQF112" s="7"/>
      <c r="UQG112" s="7"/>
      <c r="UQH112" s="7"/>
      <c r="UQI112" s="7"/>
      <c r="UQJ112" s="7"/>
      <c r="UQK112" s="7"/>
      <c r="UQL112" s="7"/>
      <c r="UQM112" s="7"/>
      <c r="UQN112" s="7"/>
      <c r="UQO112" s="7"/>
      <c r="UQP112" s="7"/>
      <c r="UQQ112" s="7"/>
      <c r="UQR112" s="7"/>
      <c r="UQS112" s="7"/>
      <c r="UQT112" s="7"/>
      <c r="UQU112" s="7"/>
      <c r="UQV112" s="7"/>
      <c r="UQW112" s="7"/>
      <c r="UQX112" s="7"/>
      <c r="UQY112" s="7"/>
      <c r="UQZ112" s="7"/>
      <c r="URA112" s="7"/>
      <c r="URB112" s="7"/>
      <c r="URC112" s="7"/>
      <c r="URD112" s="7"/>
      <c r="URE112" s="7"/>
      <c r="URF112" s="7"/>
      <c r="URG112" s="7"/>
      <c r="URH112" s="7"/>
      <c r="URI112" s="7"/>
      <c r="URJ112" s="7"/>
      <c r="URK112" s="7"/>
      <c r="URL112" s="7"/>
      <c r="URM112" s="7"/>
      <c r="URN112" s="7"/>
      <c r="URO112" s="7"/>
      <c r="URP112" s="7"/>
      <c r="URQ112" s="7"/>
      <c r="URR112" s="7"/>
      <c r="URS112" s="7"/>
      <c r="URT112" s="7"/>
      <c r="URU112" s="7"/>
      <c r="URV112" s="7"/>
      <c r="URW112" s="7"/>
      <c r="URX112" s="7"/>
      <c r="URY112" s="7"/>
      <c r="URZ112" s="7"/>
      <c r="USA112" s="7"/>
      <c r="USB112" s="7"/>
      <c r="USC112" s="7"/>
      <c r="USD112" s="7"/>
      <c r="USE112" s="7"/>
      <c r="USF112" s="7"/>
      <c r="USG112" s="7"/>
      <c r="USH112" s="7"/>
      <c r="USI112" s="7"/>
      <c r="USJ112" s="7"/>
      <c r="USK112" s="7"/>
      <c r="USL112" s="7"/>
      <c r="USM112" s="7"/>
      <c r="USN112" s="7"/>
      <c r="USO112" s="7"/>
      <c r="USP112" s="7"/>
      <c r="USQ112" s="7"/>
      <c r="USR112" s="7"/>
      <c r="USS112" s="7"/>
      <c r="UST112" s="7"/>
      <c r="USU112" s="7"/>
      <c r="USV112" s="7"/>
      <c r="USW112" s="7"/>
      <c r="USX112" s="7"/>
      <c r="USY112" s="7"/>
      <c r="USZ112" s="7"/>
      <c r="UTA112" s="7"/>
      <c r="UTB112" s="7"/>
      <c r="UTC112" s="7"/>
      <c r="UTD112" s="7"/>
      <c r="UTE112" s="7"/>
      <c r="UTF112" s="7"/>
      <c r="UTG112" s="7"/>
      <c r="UTH112" s="7"/>
      <c r="UTI112" s="7"/>
      <c r="UTJ112" s="7"/>
      <c r="UTK112" s="7"/>
      <c r="UTL112" s="7"/>
      <c r="UTM112" s="7"/>
      <c r="UTN112" s="7"/>
      <c r="UTO112" s="7"/>
      <c r="UTP112" s="7"/>
      <c r="UTQ112" s="7"/>
      <c r="UTR112" s="7"/>
      <c r="UTS112" s="7"/>
      <c r="UTT112" s="7"/>
      <c r="UTU112" s="7"/>
      <c r="UTV112" s="7"/>
      <c r="UTW112" s="7"/>
      <c r="UTX112" s="7"/>
      <c r="UTY112" s="7"/>
      <c r="UTZ112" s="7"/>
      <c r="UUA112" s="7"/>
      <c r="UUB112" s="7"/>
      <c r="UUC112" s="7"/>
      <c r="UUD112" s="7"/>
      <c r="UUE112" s="7"/>
      <c r="UUF112" s="7"/>
      <c r="UUG112" s="7"/>
      <c r="UUH112" s="7"/>
      <c r="UUI112" s="7"/>
      <c r="UUJ112" s="7"/>
      <c r="UUK112" s="7"/>
      <c r="UUL112" s="7"/>
      <c r="UUM112" s="7"/>
      <c r="UUN112" s="7"/>
      <c r="UUO112" s="7"/>
      <c r="UUP112" s="7"/>
      <c r="UUQ112" s="7"/>
      <c r="UUR112" s="7"/>
      <c r="UUS112" s="7"/>
      <c r="UUT112" s="7"/>
      <c r="UUU112" s="7"/>
      <c r="UUV112" s="7"/>
      <c r="UUW112" s="7"/>
      <c r="UUX112" s="7"/>
      <c r="UUY112" s="7"/>
      <c r="UUZ112" s="7"/>
      <c r="UVA112" s="7"/>
      <c r="UVB112" s="7"/>
      <c r="UVC112" s="7"/>
      <c r="UVD112" s="7"/>
      <c r="UVE112" s="7"/>
      <c r="UVF112" s="7"/>
      <c r="UVG112" s="7"/>
      <c r="UVH112" s="7"/>
      <c r="UVI112" s="7"/>
      <c r="UVJ112" s="7"/>
      <c r="UVK112" s="7"/>
      <c r="UVL112" s="7"/>
      <c r="UVM112" s="7"/>
      <c r="UVN112" s="7"/>
      <c r="UVO112" s="7"/>
      <c r="UVP112" s="7"/>
      <c r="UVQ112" s="7"/>
      <c r="UVR112" s="7"/>
      <c r="UVS112" s="7"/>
      <c r="UVT112" s="7"/>
      <c r="UVU112" s="7"/>
      <c r="UVV112" s="7"/>
      <c r="UVW112" s="7"/>
      <c r="UVX112" s="7"/>
      <c r="UVY112" s="7"/>
      <c r="UVZ112" s="7"/>
      <c r="UWA112" s="7"/>
      <c r="UWB112" s="7"/>
      <c r="UWC112" s="7"/>
      <c r="UWD112" s="7"/>
      <c r="UWE112" s="7"/>
      <c r="UWF112" s="7"/>
      <c r="UWG112" s="7"/>
      <c r="UWH112" s="7"/>
      <c r="UWI112" s="7"/>
      <c r="UWJ112" s="7"/>
      <c r="UWK112" s="7"/>
      <c r="UWL112" s="7"/>
      <c r="UWM112" s="7"/>
      <c r="UWN112" s="7"/>
      <c r="UWO112" s="7"/>
      <c r="UWP112" s="7"/>
      <c r="UWQ112" s="7"/>
      <c r="UWR112" s="7"/>
      <c r="UWS112" s="7"/>
      <c r="UWT112" s="7"/>
      <c r="UWU112" s="7"/>
      <c r="UWV112" s="7"/>
      <c r="UWW112" s="7"/>
      <c r="UWX112" s="7"/>
      <c r="UWY112" s="7"/>
      <c r="UWZ112" s="7"/>
      <c r="UXA112" s="7"/>
      <c r="UXB112" s="7"/>
      <c r="UXC112" s="7"/>
      <c r="UXD112" s="7"/>
      <c r="UXE112" s="7"/>
      <c r="UXF112" s="7"/>
      <c r="UXG112" s="7"/>
      <c r="UXH112" s="7"/>
      <c r="UXI112" s="7"/>
      <c r="UXJ112" s="7"/>
      <c r="UXK112" s="7"/>
      <c r="UXL112" s="7"/>
      <c r="UXM112" s="7"/>
      <c r="UXN112" s="7"/>
      <c r="UXO112" s="7"/>
      <c r="UXP112" s="7"/>
      <c r="UXQ112" s="7"/>
      <c r="UXR112" s="7"/>
      <c r="UXS112" s="7"/>
      <c r="UXT112" s="7"/>
      <c r="UXU112" s="7"/>
      <c r="UXV112" s="7"/>
      <c r="UXW112" s="7"/>
      <c r="UXX112" s="7"/>
      <c r="UXY112" s="7"/>
      <c r="UXZ112" s="7"/>
      <c r="UYA112" s="7"/>
      <c r="UYB112" s="7"/>
      <c r="UYC112" s="7"/>
      <c r="UYD112" s="7"/>
      <c r="UYE112" s="7"/>
      <c r="UYF112" s="7"/>
      <c r="UYG112" s="7"/>
      <c r="UYH112" s="7"/>
      <c r="UYI112" s="7"/>
      <c r="UYJ112" s="7"/>
      <c r="UYK112" s="7"/>
      <c r="UYL112" s="7"/>
      <c r="UYM112" s="7"/>
      <c r="UYN112" s="7"/>
      <c r="UYO112" s="7"/>
      <c r="UYP112" s="7"/>
      <c r="UYQ112" s="7"/>
      <c r="UYR112" s="7"/>
      <c r="UYS112" s="7"/>
      <c r="UYT112" s="7"/>
      <c r="UYU112" s="7"/>
      <c r="UYV112" s="7"/>
      <c r="UYW112" s="7"/>
      <c r="UYX112" s="7"/>
      <c r="UYY112" s="7"/>
      <c r="UYZ112" s="7"/>
      <c r="UZA112" s="7"/>
      <c r="UZB112" s="7"/>
      <c r="UZC112" s="7"/>
      <c r="UZD112" s="7"/>
      <c r="UZE112" s="7"/>
      <c r="UZF112" s="7"/>
      <c r="UZG112" s="7"/>
      <c r="UZH112" s="7"/>
      <c r="UZI112" s="7"/>
      <c r="UZJ112" s="7"/>
      <c r="UZK112" s="7"/>
      <c r="UZL112" s="7"/>
      <c r="UZM112" s="7"/>
      <c r="UZN112" s="7"/>
      <c r="UZO112" s="7"/>
      <c r="UZP112" s="7"/>
      <c r="UZQ112" s="7"/>
      <c r="UZR112" s="7"/>
      <c r="UZS112" s="7"/>
      <c r="UZT112" s="7"/>
      <c r="UZU112" s="7"/>
      <c r="UZV112" s="7"/>
      <c r="UZW112" s="7"/>
      <c r="UZX112" s="7"/>
      <c r="UZY112" s="7"/>
      <c r="UZZ112" s="7"/>
      <c r="VAA112" s="7"/>
      <c r="VAB112" s="7"/>
      <c r="VAC112" s="7"/>
      <c r="VAD112" s="7"/>
      <c r="VAE112" s="7"/>
      <c r="VAF112" s="7"/>
      <c r="VAG112" s="7"/>
      <c r="VAH112" s="7"/>
      <c r="VAI112" s="7"/>
      <c r="VAJ112" s="7"/>
      <c r="VAK112" s="7"/>
      <c r="VAL112" s="7"/>
      <c r="VAM112" s="7"/>
      <c r="VAN112" s="7"/>
      <c r="VAO112" s="7"/>
      <c r="VAP112" s="7"/>
      <c r="VAQ112" s="7"/>
      <c r="VAR112" s="7"/>
      <c r="VAS112" s="7"/>
      <c r="VAT112" s="7"/>
      <c r="VAU112" s="7"/>
      <c r="VAV112" s="7"/>
      <c r="VAW112" s="7"/>
      <c r="VAX112" s="7"/>
      <c r="VAY112" s="7"/>
      <c r="VAZ112" s="7"/>
      <c r="VBA112" s="7"/>
      <c r="VBB112" s="7"/>
      <c r="VBC112" s="7"/>
      <c r="VBD112" s="7"/>
      <c r="VBE112" s="7"/>
      <c r="VBF112" s="7"/>
      <c r="VBG112" s="7"/>
      <c r="VBH112" s="7"/>
      <c r="VBI112" s="7"/>
      <c r="VBJ112" s="7"/>
      <c r="VBK112" s="7"/>
      <c r="VBL112" s="7"/>
      <c r="VBM112" s="7"/>
      <c r="VBN112" s="7"/>
      <c r="VBO112" s="7"/>
      <c r="VBP112" s="7"/>
      <c r="VBQ112" s="7"/>
      <c r="VBR112" s="7"/>
      <c r="VBS112" s="7"/>
      <c r="VBT112" s="7"/>
      <c r="VBU112" s="7"/>
      <c r="VBV112" s="7"/>
      <c r="VBW112" s="7"/>
      <c r="VBX112" s="7"/>
      <c r="VBY112" s="7"/>
      <c r="VBZ112" s="7"/>
      <c r="VCA112" s="7"/>
      <c r="VCB112" s="7"/>
      <c r="VCC112" s="7"/>
      <c r="VCD112" s="7"/>
      <c r="VCE112" s="7"/>
      <c r="VCF112" s="7"/>
      <c r="VCG112" s="7"/>
      <c r="VCH112" s="7"/>
      <c r="VCI112" s="7"/>
      <c r="VCJ112" s="7"/>
      <c r="VCK112" s="7"/>
      <c r="VCL112" s="7"/>
      <c r="VCM112" s="7"/>
      <c r="VCN112" s="7"/>
      <c r="VCO112" s="7"/>
      <c r="VCP112" s="7"/>
      <c r="VCQ112" s="7"/>
      <c r="VCR112" s="7"/>
      <c r="VCS112" s="7"/>
      <c r="VCT112" s="7"/>
      <c r="VCU112" s="7"/>
      <c r="VCV112" s="7"/>
      <c r="VCW112" s="7"/>
      <c r="VCX112" s="7"/>
      <c r="VCY112" s="7"/>
      <c r="VCZ112" s="7"/>
      <c r="VDA112" s="7"/>
      <c r="VDB112" s="7"/>
      <c r="VDC112" s="7"/>
      <c r="VDD112" s="7"/>
      <c r="VDE112" s="7"/>
      <c r="VDF112" s="7"/>
      <c r="VDG112" s="7"/>
      <c r="VDH112" s="7"/>
      <c r="VDI112" s="7"/>
      <c r="VDJ112" s="7"/>
      <c r="VDK112" s="7"/>
      <c r="VDL112" s="7"/>
      <c r="VDM112" s="7"/>
      <c r="VDN112" s="7"/>
      <c r="VDO112" s="7"/>
      <c r="VDP112" s="7"/>
      <c r="VDQ112" s="7"/>
      <c r="VDR112" s="7"/>
      <c r="VDS112" s="7"/>
      <c r="VDT112" s="7"/>
      <c r="VDU112" s="7"/>
      <c r="VDV112" s="7"/>
      <c r="VDW112" s="7"/>
      <c r="VDX112" s="7"/>
      <c r="VDY112" s="7"/>
      <c r="VDZ112" s="7"/>
      <c r="VEA112" s="7"/>
      <c r="VEB112" s="7"/>
      <c r="VEC112" s="7"/>
      <c r="VED112" s="7"/>
      <c r="VEE112" s="7"/>
      <c r="VEF112" s="7"/>
      <c r="VEG112" s="7"/>
      <c r="VEH112" s="7"/>
      <c r="VEI112" s="7"/>
      <c r="VEJ112" s="7"/>
      <c r="VEK112" s="7"/>
      <c r="VEL112" s="7"/>
      <c r="VEM112" s="7"/>
      <c r="VEN112" s="7"/>
      <c r="VEO112" s="7"/>
      <c r="VEP112" s="7"/>
      <c r="VEQ112" s="7"/>
      <c r="VER112" s="7"/>
      <c r="VES112" s="7"/>
      <c r="VET112" s="7"/>
      <c r="VEU112" s="7"/>
      <c r="VEV112" s="7"/>
      <c r="VEW112" s="7"/>
      <c r="VEX112" s="7"/>
      <c r="VEY112" s="7"/>
      <c r="VEZ112" s="7"/>
      <c r="VFA112" s="7"/>
      <c r="VFB112" s="7"/>
      <c r="VFC112" s="7"/>
      <c r="VFD112" s="7"/>
      <c r="VFE112" s="7"/>
      <c r="VFF112" s="7"/>
      <c r="VFG112" s="7"/>
      <c r="VFH112" s="7"/>
      <c r="VFI112" s="7"/>
      <c r="VFJ112" s="7"/>
      <c r="VFK112" s="7"/>
      <c r="VFL112" s="7"/>
      <c r="VFM112" s="7"/>
      <c r="VFN112" s="7"/>
      <c r="VFO112" s="7"/>
      <c r="VFP112" s="7"/>
      <c r="VFQ112" s="7"/>
      <c r="VFR112" s="7"/>
      <c r="VFS112" s="7"/>
      <c r="VFT112" s="7"/>
      <c r="VFU112" s="7"/>
      <c r="VFV112" s="7"/>
      <c r="VFW112" s="7"/>
      <c r="VFX112" s="7"/>
      <c r="VFY112" s="7"/>
      <c r="VFZ112" s="7"/>
      <c r="VGA112" s="7"/>
      <c r="VGB112" s="7"/>
      <c r="VGC112" s="7"/>
      <c r="VGD112" s="7"/>
      <c r="VGE112" s="7"/>
      <c r="VGF112" s="7"/>
      <c r="VGG112" s="7"/>
      <c r="VGH112" s="7"/>
      <c r="VGI112" s="7"/>
      <c r="VGJ112" s="7"/>
      <c r="VGK112" s="7"/>
      <c r="VGL112" s="7"/>
      <c r="VGM112" s="7"/>
      <c r="VGN112" s="7"/>
      <c r="VGO112" s="7"/>
      <c r="VGP112" s="7"/>
      <c r="VGQ112" s="7"/>
      <c r="VGR112" s="7"/>
      <c r="VGS112" s="7"/>
      <c r="VGT112" s="7"/>
      <c r="VGU112" s="7"/>
      <c r="VGV112" s="7"/>
      <c r="VGW112" s="7"/>
      <c r="VGX112" s="7"/>
      <c r="VGY112" s="7"/>
      <c r="VGZ112" s="7"/>
      <c r="VHA112" s="7"/>
      <c r="VHB112" s="7"/>
      <c r="VHC112" s="7"/>
      <c r="VHD112" s="7"/>
      <c r="VHE112" s="7"/>
      <c r="VHF112" s="7"/>
      <c r="VHG112" s="7"/>
      <c r="VHH112" s="7"/>
      <c r="VHI112" s="7"/>
      <c r="VHJ112" s="7"/>
      <c r="VHK112" s="7"/>
      <c r="VHL112" s="7"/>
      <c r="VHM112" s="7"/>
      <c r="VHN112" s="7"/>
      <c r="VHO112" s="7"/>
      <c r="VHP112" s="7"/>
      <c r="VHQ112" s="7"/>
      <c r="VHR112" s="7"/>
      <c r="VHS112" s="7"/>
      <c r="VHT112" s="7"/>
      <c r="VHU112" s="7"/>
      <c r="VHV112" s="7"/>
      <c r="VHW112" s="7"/>
      <c r="VHX112" s="7"/>
      <c r="VHY112" s="7"/>
      <c r="VHZ112" s="7"/>
      <c r="VIA112" s="7"/>
      <c r="VIB112" s="7"/>
      <c r="VIC112" s="7"/>
      <c r="VID112" s="7"/>
      <c r="VIE112" s="7"/>
      <c r="VIF112" s="7"/>
      <c r="VIG112" s="7"/>
      <c r="VIH112" s="7"/>
      <c r="VII112" s="7"/>
      <c r="VIJ112" s="7"/>
      <c r="VIK112" s="7"/>
      <c r="VIL112" s="7"/>
      <c r="VIM112" s="7"/>
      <c r="VIN112" s="7"/>
      <c r="VIO112" s="7"/>
      <c r="VIP112" s="7"/>
      <c r="VIQ112" s="7"/>
      <c r="VIR112" s="7"/>
      <c r="VIS112" s="7"/>
      <c r="VIT112" s="7"/>
      <c r="VIU112" s="7"/>
      <c r="VIV112" s="7"/>
      <c r="VIW112" s="7"/>
      <c r="VIX112" s="7"/>
      <c r="VIY112" s="7"/>
      <c r="VIZ112" s="7"/>
      <c r="VJA112" s="7"/>
      <c r="VJB112" s="7"/>
      <c r="VJC112" s="7"/>
      <c r="VJD112" s="7"/>
      <c r="VJE112" s="7"/>
      <c r="VJF112" s="7"/>
      <c r="VJG112" s="7"/>
      <c r="VJH112" s="7"/>
      <c r="VJI112" s="7"/>
      <c r="VJJ112" s="7"/>
      <c r="VJK112" s="7"/>
      <c r="VJL112" s="7"/>
      <c r="VJM112" s="7"/>
      <c r="VJN112" s="7"/>
      <c r="VJO112" s="7"/>
      <c r="VJP112" s="7"/>
      <c r="VJQ112" s="7"/>
      <c r="VJR112" s="7"/>
      <c r="VJS112" s="7"/>
      <c r="VJT112" s="7"/>
      <c r="VJU112" s="7"/>
      <c r="VJV112" s="7"/>
      <c r="VJW112" s="7"/>
      <c r="VJX112" s="7"/>
      <c r="VJY112" s="7"/>
      <c r="VJZ112" s="7"/>
      <c r="VKA112" s="7"/>
      <c r="VKB112" s="7"/>
      <c r="VKC112" s="7"/>
      <c r="VKD112" s="7"/>
      <c r="VKE112" s="7"/>
      <c r="VKF112" s="7"/>
      <c r="VKG112" s="7"/>
      <c r="VKH112" s="7"/>
      <c r="VKI112" s="7"/>
      <c r="VKJ112" s="7"/>
      <c r="VKK112" s="7"/>
      <c r="VKL112" s="7"/>
      <c r="VKM112" s="7"/>
      <c r="VKN112" s="7"/>
      <c r="VKO112" s="7"/>
      <c r="VKP112" s="7"/>
      <c r="VKQ112" s="7"/>
      <c r="VKR112" s="7"/>
      <c r="VKS112" s="7"/>
      <c r="VKT112" s="7"/>
      <c r="VKU112" s="7"/>
      <c r="VKV112" s="7"/>
      <c r="VKW112" s="7"/>
      <c r="VKX112" s="7"/>
      <c r="VKY112" s="7"/>
      <c r="VKZ112" s="7"/>
      <c r="VLA112" s="7"/>
      <c r="VLB112" s="7"/>
      <c r="VLC112" s="7"/>
      <c r="VLD112" s="7"/>
      <c r="VLE112" s="7"/>
      <c r="VLF112" s="7"/>
      <c r="VLG112" s="7"/>
      <c r="VLH112" s="7"/>
      <c r="VLI112" s="7"/>
      <c r="VLJ112" s="7"/>
      <c r="VLK112" s="7"/>
      <c r="VLL112" s="7"/>
      <c r="VLM112" s="7"/>
      <c r="VLN112" s="7"/>
      <c r="VLO112" s="7"/>
      <c r="VLP112" s="7"/>
      <c r="VLQ112" s="7"/>
      <c r="VLR112" s="7"/>
      <c r="VLS112" s="7"/>
      <c r="VLT112" s="7"/>
      <c r="VLU112" s="7"/>
      <c r="VLV112" s="7"/>
      <c r="VLW112" s="7"/>
      <c r="VLX112" s="7"/>
      <c r="VLY112" s="7"/>
      <c r="VLZ112" s="7"/>
      <c r="VMA112" s="7"/>
      <c r="VMB112" s="7"/>
      <c r="VMC112" s="7"/>
      <c r="VMD112" s="7"/>
      <c r="VME112" s="7"/>
      <c r="VMF112" s="7"/>
      <c r="VMG112" s="7"/>
      <c r="VMH112" s="7"/>
      <c r="VMI112" s="7"/>
      <c r="VMJ112" s="7"/>
      <c r="VMK112" s="7"/>
      <c r="VML112" s="7"/>
      <c r="VMM112" s="7"/>
      <c r="VMN112" s="7"/>
      <c r="VMO112" s="7"/>
      <c r="VMP112" s="7"/>
      <c r="VMQ112" s="7"/>
      <c r="VMR112" s="7"/>
      <c r="VMS112" s="7"/>
      <c r="VMT112" s="7"/>
      <c r="VMU112" s="7"/>
      <c r="VMV112" s="7"/>
      <c r="VMW112" s="7"/>
      <c r="VMX112" s="7"/>
      <c r="VMY112" s="7"/>
      <c r="VMZ112" s="7"/>
      <c r="VNA112" s="7"/>
      <c r="VNB112" s="7"/>
      <c r="VNC112" s="7"/>
      <c r="VND112" s="7"/>
      <c r="VNE112" s="7"/>
      <c r="VNF112" s="7"/>
      <c r="VNG112" s="7"/>
      <c r="VNH112" s="7"/>
      <c r="VNI112" s="7"/>
      <c r="VNJ112" s="7"/>
      <c r="VNK112" s="7"/>
      <c r="VNL112" s="7"/>
      <c r="VNM112" s="7"/>
      <c r="VNN112" s="7"/>
      <c r="VNO112" s="7"/>
      <c r="VNP112" s="7"/>
      <c r="VNQ112" s="7"/>
      <c r="VNR112" s="7"/>
      <c r="VNS112" s="7"/>
      <c r="VNT112" s="7"/>
      <c r="VNU112" s="7"/>
      <c r="VNV112" s="7"/>
      <c r="VNW112" s="7"/>
      <c r="VNX112" s="7"/>
      <c r="VNY112" s="7"/>
      <c r="VNZ112" s="7"/>
      <c r="VOA112" s="7"/>
      <c r="VOB112" s="7"/>
      <c r="VOC112" s="7"/>
      <c r="VOD112" s="7"/>
      <c r="VOE112" s="7"/>
      <c r="VOF112" s="7"/>
      <c r="VOG112" s="7"/>
      <c r="VOH112" s="7"/>
      <c r="VOI112" s="7"/>
      <c r="VOJ112" s="7"/>
      <c r="VOK112" s="7"/>
      <c r="VOL112" s="7"/>
      <c r="VOM112" s="7"/>
      <c r="VON112" s="7"/>
      <c r="VOO112" s="7"/>
      <c r="VOP112" s="7"/>
      <c r="VOQ112" s="7"/>
      <c r="VOR112" s="7"/>
      <c r="VOS112" s="7"/>
      <c r="VOT112" s="7"/>
      <c r="VOU112" s="7"/>
      <c r="VOV112" s="7"/>
      <c r="VOW112" s="7"/>
      <c r="VOX112" s="7"/>
      <c r="VOY112" s="7"/>
      <c r="VOZ112" s="7"/>
      <c r="VPA112" s="7"/>
      <c r="VPB112" s="7"/>
      <c r="VPC112" s="7"/>
      <c r="VPD112" s="7"/>
      <c r="VPE112" s="7"/>
      <c r="VPF112" s="7"/>
      <c r="VPG112" s="7"/>
      <c r="VPH112" s="7"/>
      <c r="VPI112" s="7"/>
      <c r="VPJ112" s="7"/>
      <c r="VPK112" s="7"/>
      <c r="VPL112" s="7"/>
      <c r="VPM112" s="7"/>
      <c r="VPN112" s="7"/>
      <c r="VPO112" s="7"/>
      <c r="VPP112" s="7"/>
      <c r="VPQ112" s="7"/>
      <c r="VPR112" s="7"/>
      <c r="VPS112" s="7"/>
      <c r="VPT112" s="7"/>
      <c r="VPU112" s="7"/>
      <c r="VPV112" s="7"/>
      <c r="VPW112" s="7"/>
      <c r="VPX112" s="7"/>
      <c r="VPY112" s="7"/>
      <c r="VPZ112" s="7"/>
      <c r="VQA112" s="7"/>
      <c r="VQB112" s="7"/>
      <c r="VQC112" s="7"/>
      <c r="VQD112" s="7"/>
      <c r="VQE112" s="7"/>
      <c r="VQF112" s="7"/>
      <c r="VQG112" s="7"/>
      <c r="VQH112" s="7"/>
      <c r="VQI112" s="7"/>
      <c r="VQJ112" s="7"/>
      <c r="VQK112" s="7"/>
      <c r="VQL112" s="7"/>
      <c r="VQM112" s="7"/>
      <c r="VQN112" s="7"/>
      <c r="VQO112" s="7"/>
      <c r="VQP112" s="7"/>
      <c r="VQQ112" s="7"/>
      <c r="VQR112" s="7"/>
      <c r="VQS112" s="7"/>
      <c r="VQT112" s="7"/>
      <c r="VQU112" s="7"/>
      <c r="VQV112" s="7"/>
      <c r="VQW112" s="7"/>
      <c r="VQX112" s="7"/>
      <c r="VQY112" s="7"/>
      <c r="VQZ112" s="7"/>
      <c r="VRA112" s="7"/>
      <c r="VRB112" s="7"/>
      <c r="VRC112" s="7"/>
      <c r="VRD112" s="7"/>
      <c r="VRE112" s="7"/>
      <c r="VRF112" s="7"/>
      <c r="VRG112" s="7"/>
      <c r="VRH112" s="7"/>
      <c r="VRI112" s="7"/>
      <c r="VRJ112" s="7"/>
      <c r="VRK112" s="7"/>
      <c r="VRL112" s="7"/>
      <c r="VRM112" s="7"/>
      <c r="VRN112" s="7"/>
      <c r="VRO112" s="7"/>
      <c r="VRP112" s="7"/>
      <c r="VRQ112" s="7"/>
      <c r="VRR112" s="7"/>
      <c r="VRS112" s="7"/>
      <c r="VRT112" s="7"/>
      <c r="VRU112" s="7"/>
      <c r="VRV112" s="7"/>
      <c r="VRW112" s="7"/>
      <c r="VRX112" s="7"/>
      <c r="VRY112" s="7"/>
      <c r="VRZ112" s="7"/>
      <c r="VSA112" s="7"/>
      <c r="VSB112" s="7"/>
      <c r="VSC112" s="7"/>
      <c r="VSD112" s="7"/>
      <c r="VSE112" s="7"/>
      <c r="VSF112" s="7"/>
      <c r="VSG112" s="7"/>
      <c r="VSH112" s="7"/>
      <c r="VSI112" s="7"/>
      <c r="VSJ112" s="7"/>
      <c r="VSK112" s="7"/>
      <c r="VSL112" s="7"/>
      <c r="VSM112" s="7"/>
      <c r="VSN112" s="7"/>
      <c r="VSO112" s="7"/>
      <c r="VSP112" s="7"/>
      <c r="VSQ112" s="7"/>
      <c r="VSR112" s="7"/>
      <c r="VSS112" s="7"/>
      <c r="VST112" s="7"/>
      <c r="VSU112" s="7"/>
      <c r="VSV112" s="7"/>
      <c r="VSW112" s="7"/>
      <c r="VSX112" s="7"/>
      <c r="VSY112" s="7"/>
      <c r="VSZ112" s="7"/>
      <c r="VTA112" s="7"/>
      <c r="VTB112" s="7"/>
      <c r="VTC112" s="7"/>
      <c r="VTD112" s="7"/>
      <c r="VTE112" s="7"/>
      <c r="VTF112" s="7"/>
      <c r="VTG112" s="7"/>
      <c r="VTH112" s="7"/>
      <c r="VTI112" s="7"/>
      <c r="VTJ112" s="7"/>
      <c r="VTK112" s="7"/>
      <c r="VTL112" s="7"/>
      <c r="VTM112" s="7"/>
      <c r="VTN112" s="7"/>
      <c r="VTO112" s="7"/>
      <c r="VTP112" s="7"/>
      <c r="VTQ112" s="7"/>
      <c r="VTR112" s="7"/>
      <c r="VTS112" s="7"/>
      <c r="VTT112" s="7"/>
      <c r="VTU112" s="7"/>
      <c r="VTV112" s="7"/>
      <c r="VTW112" s="7"/>
      <c r="VTX112" s="7"/>
      <c r="VTY112" s="7"/>
      <c r="VTZ112" s="7"/>
      <c r="VUA112" s="7"/>
      <c r="VUB112" s="7"/>
      <c r="VUC112" s="7"/>
      <c r="VUD112" s="7"/>
      <c r="VUE112" s="7"/>
      <c r="VUF112" s="7"/>
      <c r="VUG112" s="7"/>
      <c r="VUH112" s="7"/>
      <c r="VUI112" s="7"/>
      <c r="VUJ112" s="7"/>
      <c r="VUK112" s="7"/>
      <c r="VUL112" s="7"/>
      <c r="VUM112" s="7"/>
      <c r="VUN112" s="7"/>
      <c r="VUO112" s="7"/>
      <c r="VUP112" s="7"/>
      <c r="VUQ112" s="7"/>
      <c r="VUR112" s="7"/>
      <c r="VUS112" s="7"/>
      <c r="VUT112" s="7"/>
      <c r="VUU112" s="7"/>
      <c r="VUV112" s="7"/>
      <c r="VUW112" s="7"/>
      <c r="VUX112" s="7"/>
      <c r="VUY112" s="7"/>
      <c r="VUZ112" s="7"/>
      <c r="VVA112" s="7"/>
      <c r="VVB112" s="7"/>
      <c r="VVC112" s="7"/>
      <c r="VVD112" s="7"/>
      <c r="VVE112" s="7"/>
      <c r="VVF112" s="7"/>
      <c r="VVG112" s="7"/>
      <c r="VVH112" s="7"/>
      <c r="VVI112" s="7"/>
      <c r="VVJ112" s="7"/>
      <c r="VVK112" s="7"/>
      <c r="VVL112" s="7"/>
      <c r="VVM112" s="7"/>
      <c r="VVN112" s="7"/>
      <c r="VVO112" s="7"/>
      <c r="VVP112" s="7"/>
      <c r="VVQ112" s="7"/>
      <c r="VVR112" s="7"/>
      <c r="VVS112" s="7"/>
      <c r="VVT112" s="7"/>
      <c r="VVU112" s="7"/>
      <c r="VVV112" s="7"/>
      <c r="VVW112" s="7"/>
      <c r="VVX112" s="7"/>
      <c r="VVY112" s="7"/>
      <c r="VVZ112" s="7"/>
      <c r="VWA112" s="7"/>
      <c r="VWB112" s="7"/>
      <c r="VWC112" s="7"/>
      <c r="VWD112" s="7"/>
      <c r="VWE112" s="7"/>
      <c r="VWF112" s="7"/>
      <c r="VWG112" s="7"/>
      <c r="VWH112" s="7"/>
      <c r="VWI112" s="7"/>
      <c r="VWJ112" s="7"/>
      <c r="VWK112" s="7"/>
      <c r="VWL112" s="7"/>
      <c r="VWM112" s="7"/>
      <c r="VWN112" s="7"/>
      <c r="VWO112" s="7"/>
      <c r="VWP112" s="7"/>
      <c r="VWQ112" s="7"/>
      <c r="VWR112" s="7"/>
      <c r="VWS112" s="7"/>
      <c r="VWT112" s="7"/>
      <c r="VWU112" s="7"/>
      <c r="VWV112" s="7"/>
      <c r="VWW112" s="7"/>
      <c r="VWX112" s="7"/>
      <c r="VWY112" s="7"/>
      <c r="VWZ112" s="7"/>
      <c r="VXA112" s="7"/>
      <c r="VXB112" s="7"/>
      <c r="VXC112" s="7"/>
      <c r="VXD112" s="7"/>
      <c r="VXE112" s="7"/>
      <c r="VXF112" s="7"/>
      <c r="VXG112" s="7"/>
      <c r="VXH112" s="7"/>
      <c r="VXI112" s="7"/>
      <c r="VXJ112" s="7"/>
      <c r="VXK112" s="7"/>
      <c r="VXL112" s="7"/>
      <c r="VXM112" s="7"/>
      <c r="VXN112" s="7"/>
      <c r="VXO112" s="7"/>
      <c r="VXP112" s="7"/>
      <c r="VXQ112" s="7"/>
      <c r="VXR112" s="7"/>
      <c r="VXS112" s="7"/>
      <c r="VXT112" s="7"/>
      <c r="VXU112" s="7"/>
      <c r="VXV112" s="7"/>
      <c r="VXW112" s="7"/>
      <c r="VXX112" s="7"/>
      <c r="VXY112" s="7"/>
      <c r="VXZ112" s="7"/>
      <c r="VYA112" s="7"/>
      <c r="VYB112" s="7"/>
      <c r="VYC112" s="7"/>
      <c r="VYD112" s="7"/>
      <c r="VYE112" s="7"/>
      <c r="VYF112" s="7"/>
      <c r="VYG112" s="7"/>
      <c r="VYH112" s="7"/>
      <c r="VYI112" s="7"/>
      <c r="VYJ112" s="7"/>
      <c r="VYK112" s="7"/>
      <c r="VYL112" s="7"/>
      <c r="VYM112" s="7"/>
      <c r="VYN112" s="7"/>
      <c r="VYO112" s="7"/>
      <c r="VYP112" s="7"/>
      <c r="VYQ112" s="7"/>
      <c r="VYR112" s="7"/>
      <c r="VYS112" s="7"/>
      <c r="VYT112" s="7"/>
      <c r="VYU112" s="7"/>
      <c r="VYV112" s="7"/>
      <c r="VYW112" s="7"/>
      <c r="VYX112" s="7"/>
      <c r="VYY112" s="7"/>
      <c r="VYZ112" s="7"/>
      <c r="VZA112" s="7"/>
      <c r="VZB112" s="7"/>
      <c r="VZC112" s="7"/>
      <c r="VZD112" s="7"/>
      <c r="VZE112" s="7"/>
      <c r="VZF112" s="7"/>
      <c r="VZG112" s="7"/>
      <c r="VZH112" s="7"/>
      <c r="VZI112" s="7"/>
      <c r="VZJ112" s="7"/>
      <c r="VZK112" s="7"/>
      <c r="VZL112" s="7"/>
      <c r="VZM112" s="7"/>
      <c r="VZN112" s="7"/>
      <c r="VZO112" s="7"/>
      <c r="VZP112" s="7"/>
      <c r="VZQ112" s="7"/>
      <c r="VZR112" s="7"/>
      <c r="VZS112" s="7"/>
      <c r="VZT112" s="7"/>
      <c r="VZU112" s="7"/>
      <c r="VZV112" s="7"/>
      <c r="VZW112" s="7"/>
      <c r="VZX112" s="7"/>
      <c r="VZY112" s="7"/>
      <c r="VZZ112" s="7"/>
      <c r="WAA112" s="7"/>
      <c r="WAB112" s="7"/>
      <c r="WAC112" s="7"/>
      <c r="WAD112" s="7"/>
      <c r="WAE112" s="7"/>
      <c r="WAF112" s="7"/>
      <c r="WAG112" s="7"/>
      <c r="WAH112" s="7"/>
      <c r="WAI112" s="7"/>
      <c r="WAJ112" s="7"/>
      <c r="WAK112" s="7"/>
      <c r="WAL112" s="7"/>
      <c r="WAM112" s="7"/>
      <c r="WAN112" s="7"/>
      <c r="WAO112" s="7"/>
      <c r="WAP112" s="7"/>
      <c r="WAQ112" s="7"/>
      <c r="WAR112" s="7"/>
      <c r="WAS112" s="7"/>
      <c r="WAT112" s="7"/>
      <c r="WAU112" s="7"/>
      <c r="WAV112" s="7"/>
      <c r="WAW112" s="7"/>
      <c r="WAX112" s="7"/>
      <c r="WAY112" s="7"/>
      <c r="WAZ112" s="7"/>
      <c r="WBA112" s="7"/>
      <c r="WBB112" s="7"/>
      <c r="WBC112" s="7"/>
      <c r="WBD112" s="7"/>
      <c r="WBE112" s="7"/>
      <c r="WBF112" s="7"/>
      <c r="WBG112" s="7"/>
      <c r="WBH112" s="7"/>
      <c r="WBI112" s="7"/>
      <c r="WBJ112" s="7"/>
      <c r="WBK112" s="7"/>
      <c r="WBL112" s="7"/>
      <c r="WBM112" s="7"/>
      <c r="WBN112" s="7"/>
      <c r="WBO112" s="7"/>
      <c r="WBP112" s="7"/>
      <c r="WBQ112" s="7"/>
      <c r="WBR112" s="7"/>
      <c r="WBS112" s="7"/>
      <c r="WBT112" s="7"/>
      <c r="WBU112" s="7"/>
      <c r="WBV112" s="7"/>
      <c r="WBW112" s="7"/>
      <c r="WBX112" s="7"/>
      <c r="WBY112" s="7"/>
      <c r="WBZ112" s="7"/>
      <c r="WCA112" s="7"/>
      <c r="WCB112" s="7"/>
      <c r="WCC112" s="7"/>
      <c r="WCD112" s="7"/>
      <c r="WCE112" s="7"/>
      <c r="WCF112" s="7"/>
      <c r="WCG112" s="7"/>
      <c r="WCH112" s="7"/>
      <c r="WCI112" s="7"/>
      <c r="WCJ112" s="7"/>
      <c r="WCK112" s="7"/>
      <c r="WCL112" s="7"/>
      <c r="WCM112" s="7"/>
      <c r="WCN112" s="7"/>
      <c r="WCO112" s="7"/>
      <c r="WCP112" s="7"/>
      <c r="WCQ112" s="7"/>
      <c r="WCR112" s="7"/>
      <c r="WCS112" s="7"/>
      <c r="WCT112" s="7"/>
      <c r="WCU112" s="7"/>
      <c r="WCV112" s="7"/>
      <c r="WCW112" s="7"/>
      <c r="WCX112" s="7"/>
      <c r="WCY112" s="7"/>
      <c r="WCZ112" s="7"/>
      <c r="WDA112" s="7"/>
      <c r="WDB112" s="7"/>
      <c r="WDC112" s="7"/>
      <c r="WDD112" s="7"/>
      <c r="WDE112" s="7"/>
      <c r="WDF112" s="7"/>
      <c r="WDG112" s="7"/>
      <c r="WDH112" s="7"/>
      <c r="WDI112" s="7"/>
      <c r="WDJ112" s="7"/>
      <c r="WDK112" s="7"/>
      <c r="WDL112" s="7"/>
      <c r="WDM112" s="7"/>
      <c r="WDN112" s="7"/>
      <c r="WDO112" s="7"/>
      <c r="WDP112" s="7"/>
      <c r="WDQ112" s="7"/>
      <c r="WDR112" s="7"/>
      <c r="WDS112" s="7"/>
      <c r="WDT112" s="7"/>
      <c r="WDU112" s="7"/>
      <c r="WDV112" s="7"/>
      <c r="WDW112" s="7"/>
      <c r="WDX112" s="7"/>
      <c r="WDY112" s="7"/>
      <c r="WDZ112" s="7"/>
      <c r="WEA112" s="7"/>
      <c r="WEB112" s="7"/>
      <c r="WEC112" s="7"/>
      <c r="WED112" s="7"/>
      <c r="WEE112" s="7"/>
      <c r="WEF112" s="7"/>
      <c r="WEG112" s="7"/>
      <c r="WEH112" s="7"/>
      <c r="WEI112" s="7"/>
      <c r="WEJ112" s="7"/>
      <c r="WEK112" s="7"/>
      <c r="WEL112" s="7"/>
      <c r="WEM112" s="7"/>
      <c r="WEN112" s="7"/>
      <c r="WEO112" s="7"/>
      <c r="WEP112" s="7"/>
      <c r="WEQ112" s="7"/>
      <c r="WER112" s="7"/>
      <c r="WES112" s="7"/>
      <c r="WET112" s="7"/>
      <c r="WEU112" s="7"/>
      <c r="WEV112" s="7"/>
      <c r="WEW112" s="7"/>
      <c r="WEX112" s="7"/>
      <c r="WEY112" s="7"/>
      <c r="WEZ112" s="7"/>
      <c r="WFA112" s="7"/>
      <c r="WFB112" s="7"/>
      <c r="WFC112" s="7"/>
      <c r="WFD112" s="7"/>
      <c r="WFE112" s="7"/>
      <c r="WFF112" s="7"/>
      <c r="WFG112" s="7"/>
      <c r="WFH112" s="7"/>
      <c r="WFI112" s="7"/>
      <c r="WFJ112" s="7"/>
      <c r="WFK112" s="7"/>
      <c r="WFL112" s="7"/>
      <c r="WFM112" s="7"/>
      <c r="WFN112" s="7"/>
      <c r="WFO112" s="7"/>
      <c r="WFP112" s="7"/>
      <c r="WFQ112" s="7"/>
      <c r="WFR112" s="7"/>
      <c r="WFS112" s="7"/>
      <c r="WFT112" s="7"/>
      <c r="WFU112" s="7"/>
      <c r="WFV112" s="7"/>
      <c r="WFW112" s="7"/>
      <c r="WFX112" s="7"/>
      <c r="WFY112" s="7"/>
      <c r="WFZ112" s="7"/>
      <c r="WGA112" s="7"/>
      <c r="WGB112" s="7"/>
      <c r="WGC112" s="7"/>
      <c r="WGD112" s="7"/>
      <c r="WGE112" s="7"/>
      <c r="WGF112" s="7"/>
      <c r="WGG112" s="7"/>
      <c r="WGH112" s="7"/>
      <c r="WGI112" s="7"/>
      <c r="WGJ112" s="7"/>
      <c r="WGK112" s="7"/>
      <c r="WGL112" s="7"/>
      <c r="WGM112" s="7"/>
      <c r="WGN112" s="7"/>
      <c r="WGO112" s="7"/>
      <c r="WGP112" s="7"/>
      <c r="WGQ112" s="7"/>
      <c r="WGR112" s="7"/>
      <c r="WGS112" s="7"/>
      <c r="WGT112" s="7"/>
      <c r="WGU112" s="7"/>
      <c r="WGV112" s="7"/>
      <c r="WGW112" s="7"/>
      <c r="WGX112" s="7"/>
      <c r="WGY112" s="7"/>
      <c r="WGZ112" s="7"/>
      <c r="WHA112" s="7"/>
      <c r="WHB112" s="7"/>
      <c r="WHC112" s="7"/>
      <c r="WHD112" s="7"/>
      <c r="WHE112" s="7"/>
      <c r="WHF112" s="7"/>
      <c r="WHG112" s="7"/>
      <c r="WHH112" s="7"/>
      <c r="WHI112" s="7"/>
      <c r="WHJ112" s="7"/>
      <c r="WHK112" s="7"/>
      <c r="WHL112" s="7"/>
      <c r="WHM112" s="7"/>
      <c r="WHN112" s="7"/>
      <c r="WHO112" s="7"/>
      <c r="WHP112" s="7"/>
      <c r="WHQ112" s="7"/>
      <c r="WHR112" s="7"/>
      <c r="WHS112" s="7"/>
      <c r="WHT112" s="7"/>
      <c r="WHU112" s="7"/>
      <c r="WHV112" s="7"/>
      <c r="WHW112" s="7"/>
      <c r="WHX112" s="7"/>
      <c r="WHY112" s="7"/>
      <c r="WHZ112" s="7"/>
      <c r="WIA112" s="7"/>
      <c r="WIB112" s="7"/>
      <c r="WIC112" s="7"/>
      <c r="WID112" s="7"/>
      <c r="WIE112" s="7"/>
      <c r="WIF112" s="7"/>
      <c r="WIG112" s="7"/>
      <c r="WIH112" s="7"/>
      <c r="WII112" s="7"/>
      <c r="WIJ112" s="7"/>
      <c r="WIK112" s="7"/>
      <c r="WIL112" s="7"/>
      <c r="WIM112" s="7"/>
      <c r="WIN112" s="7"/>
      <c r="WIO112" s="7"/>
      <c r="WIP112" s="7"/>
      <c r="WIQ112" s="7"/>
      <c r="WIR112" s="7"/>
      <c r="WIS112" s="7"/>
      <c r="WIT112" s="7"/>
      <c r="WIU112" s="7"/>
      <c r="WIV112" s="7"/>
      <c r="WIW112" s="7"/>
      <c r="WIX112" s="7"/>
      <c r="WIY112" s="7"/>
      <c r="WIZ112" s="7"/>
      <c r="WJA112" s="7"/>
      <c r="WJB112" s="7"/>
      <c r="WJC112" s="7"/>
      <c r="WJD112" s="7"/>
      <c r="WJE112" s="7"/>
      <c r="WJF112" s="7"/>
      <c r="WJG112" s="7"/>
      <c r="WJH112" s="7"/>
      <c r="WJI112" s="7"/>
      <c r="WJJ112" s="7"/>
      <c r="WJK112" s="7"/>
      <c r="WJL112" s="7"/>
      <c r="WJM112" s="7"/>
      <c r="WJN112" s="7"/>
      <c r="WJO112" s="7"/>
      <c r="WJP112" s="7"/>
      <c r="WJQ112" s="7"/>
      <c r="WJR112" s="7"/>
      <c r="WJS112" s="7"/>
      <c r="WJT112" s="7"/>
      <c r="WJU112" s="7"/>
      <c r="WJV112" s="7"/>
      <c r="WJW112" s="7"/>
      <c r="WJX112" s="7"/>
      <c r="WJY112" s="7"/>
      <c r="WJZ112" s="7"/>
      <c r="WKA112" s="7"/>
      <c r="WKB112" s="7"/>
      <c r="WKC112" s="7"/>
      <c r="WKD112" s="7"/>
      <c r="WKE112" s="7"/>
      <c r="WKF112" s="7"/>
      <c r="WKG112" s="7"/>
      <c r="WKH112" s="7"/>
      <c r="WKI112" s="7"/>
      <c r="WKJ112" s="7"/>
      <c r="WKK112" s="7"/>
      <c r="WKL112" s="7"/>
      <c r="WKM112" s="7"/>
      <c r="WKN112" s="7"/>
      <c r="WKO112" s="7"/>
      <c r="WKP112" s="7"/>
      <c r="WKQ112" s="7"/>
      <c r="WKR112" s="7"/>
      <c r="WKS112" s="7"/>
      <c r="WKT112" s="7"/>
      <c r="WKU112" s="7"/>
      <c r="WKV112" s="7"/>
      <c r="WKW112" s="7"/>
      <c r="WKX112" s="7"/>
      <c r="WKY112" s="7"/>
      <c r="WKZ112" s="7"/>
      <c r="WLA112" s="7"/>
      <c r="WLB112" s="7"/>
      <c r="WLC112" s="7"/>
      <c r="WLD112" s="7"/>
      <c r="WLE112" s="7"/>
      <c r="WLF112" s="7"/>
      <c r="WLG112" s="7"/>
      <c r="WLH112" s="7"/>
      <c r="WLI112" s="7"/>
      <c r="WLJ112" s="7"/>
      <c r="WLK112" s="7"/>
      <c r="WLL112" s="7"/>
      <c r="WLM112" s="7"/>
      <c r="WLN112" s="7"/>
      <c r="WLO112" s="7"/>
      <c r="WLP112" s="7"/>
      <c r="WLQ112" s="7"/>
      <c r="WLR112" s="7"/>
      <c r="WLS112" s="7"/>
      <c r="WLT112" s="7"/>
      <c r="WLU112" s="7"/>
      <c r="WLV112" s="7"/>
      <c r="WLW112" s="7"/>
      <c r="WLX112" s="7"/>
      <c r="WLY112" s="7"/>
      <c r="WLZ112" s="7"/>
      <c r="WMA112" s="7"/>
      <c r="WMB112" s="7"/>
      <c r="WMC112" s="7"/>
      <c r="WMD112" s="7"/>
      <c r="WME112" s="7"/>
      <c r="WMF112" s="7"/>
      <c r="WMG112" s="7"/>
      <c r="WMH112" s="7"/>
      <c r="WMI112" s="7"/>
      <c r="WMJ112" s="7"/>
      <c r="WMK112" s="7"/>
      <c r="WML112" s="7"/>
      <c r="WMM112" s="7"/>
      <c r="WMN112" s="7"/>
      <c r="WMO112" s="7"/>
      <c r="WMP112" s="7"/>
      <c r="WMQ112" s="7"/>
      <c r="WMR112" s="7"/>
      <c r="WMS112" s="7"/>
      <c r="WMT112" s="7"/>
      <c r="WMU112" s="7"/>
      <c r="WMV112" s="7"/>
      <c r="WMW112" s="7"/>
      <c r="WMX112" s="7"/>
      <c r="WMY112" s="7"/>
      <c r="WMZ112" s="7"/>
      <c r="WNA112" s="7"/>
      <c r="WNB112" s="7"/>
      <c r="WNC112" s="7"/>
      <c r="WND112" s="7"/>
      <c r="WNE112" s="7"/>
      <c r="WNF112" s="7"/>
      <c r="WNG112" s="7"/>
      <c r="WNH112" s="7"/>
      <c r="WNI112" s="7"/>
      <c r="WNJ112" s="7"/>
      <c r="WNK112" s="7"/>
      <c r="WNL112" s="7"/>
      <c r="WNM112" s="7"/>
      <c r="WNN112" s="7"/>
      <c r="WNO112" s="7"/>
      <c r="WNP112" s="7"/>
      <c r="WNQ112" s="7"/>
      <c r="WNR112" s="7"/>
      <c r="WNS112" s="7"/>
      <c r="WNT112" s="7"/>
      <c r="WNU112" s="7"/>
      <c r="WNV112" s="7"/>
      <c r="WNW112" s="7"/>
      <c r="WNX112" s="7"/>
      <c r="WNY112" s="7"/>
      <c r="WNZ112" s="7"/>
      <c r="WOA112" s="7"/>
      <c r="WOB112" s="7"/>
      <c r="WOC112" s="7"/>
      <c r="WOD112" s="7"/>
      <c r="WOE112" s="7"/>
      <c r="WOF112" s="7"/>
      <c r="WOG112" s="7"/>
      <c r="WOH112" s="7"/>
      <c r="WOI112" s="7"/>
      <c r="WOJ112" s="7"/>
      <c r="WOK112" s="7"/>
      <c r="WOL112" s="7"/>
      <c r="WOM112" s="7"/>
      <c r="WON112" s="7"/>
      <c r="WOO112" s="7"/>
      <c r="WOP112" s="7"/>
      <c r="WOQ112" s="7"/>
      <c r="WOR112" s="7"/>
      <c r="WOS112" s="7"/>
      <c r="WOT112" s="7"/>
      <c r="WOU112" s="7"/>
      <c r="WOV112" s="7"/>
      <c r="WOW112" s="7"/>
      <c r="WOX112" s="7"/>
      <c r="WOY112" s="7"/>
      <c r="WOZ112" s="7"/>
      <c r="WPA112" s="7"/>
      <c r="WPB112" s="7"/>
      <c r="WPC112" s="7"/>
      <c r="WPD112" s="7"/>
      <c r="WPE112" s="7"/>
      <c r="WPF112" s="7"/>
      <c r="WPG112" s="7"/>
      <c r="WPH112" s="7"/>
      <c r="WPI112" s="7"/>
      <c r="WPJ112" s="7"/>
      <c r="WPK112" s="7"/>
      <c r="WPL112" s="7"/>
      <c r="WPM112" s="7"/>
      <c r="WPN112" s="7"/>
      <c r="WPO112" s="7"/>
      <c r="WPP112" s="7"/>
      <c r="WPQ112" s="7"/>
      <c r="WPR112" s="7"/>
      <c r="WPS112" s="7"/>
      <c r="WPT112" s="7"/>
      <c r="WPU112" s="7"/>
      <c r="WPV112" s="7"/>
      <c r="WPW112" s="7"/>
      <c r="WPX112" s="7"/>
      <c r="WPY112" s="7"/>
      <c r="WPZ112" s="7"/>
      <c r="WQA112" s="7"/>
      <c r="WQB112" s="7"/>
      <c r="WQC112" s="7"/>
      <c r="WQD112" s="7"/>
      <c r="WQE112" s="7"/>
      <c r="WQF112" s="7"/>
      <c r="WQG112" s="7"/>
      <c r="WQH112" s="7"/>
      <c r="WQI112" s="7"/>
      <c r="WQJ112" s="7"/>
      <c r="WQK112" s="7"/>
      <c r="WQL112" s="7"/>
      <c r="WQM112" s="7"/>
      <c r="WQN112" s="7"/>
      <c r="WQO112" s="7"/>
      <c r="WQP112" s="7"/>
      <c r="WQQ112" s="7"/>
      <c r="WQR112" s="7"/>
      <c r="WQS112" s="7"/>
      <c r="WQT112" s="7"/>
      <c r="WQU112" s="7"/>
      <c r="WQV112" s="7"/>
      <c r="WQW112" s="7"/>
      <c r="WQX112" s="7"/>
      <c r="WQY112" s="7"/>
      <c r="WQZ112" s="7"/>
      <c r="WRA112" s="7"/>
      <c r="WRB112" s="7"/>
      <c r="WRC112" s="7"/>
      <c r="WRD112" s="7"/>
      <c r="WRE112" s="7"/>
      <c r="WRF112" s="7"/>
      <c r="WRG112" s="7"/>
      <c r="WRH112" s="7"/>
      <c r="WRI112" s="7"/>
      <c r="WRJ112" s="7"/>
      <c r="WRK112" s="7"/>
      <c r="WRL112" s="7"/>
      <c r="WRM112" s="7"/>
      <c r="WRN112" s="7"/>
      <c r="WRO112" s="7"/>
      <c r="WRP112" s="7"/>
      <c r="WRQ112" s="7"/>
      <c r="WRR112" s="7"/>
      <c r="WRS112" s="7"/>
      <c r="WRT112" s="7"/>
      <c r="WRU112" s="7"/>
      <c r="WRV112" s="7"/>
      <c r="WRW112" s="7"/>
      <c r="WRX112" s="7"/>
      <c r="WRY112" s="7"/>
      <c r="WRZ112" s="7"/>
      <c r="WSA112" s="7"/>
      <c r="WSB112" s="7"/>
      <c r="WSC112" s="7"/>
      <c r="WSD112" s="7"/>
      <c r="WSE112" s="7"/>
      <c r="WSF112" s="7"/>
      <c r="WSG112" s="7"/>
      <c r="WSH112" s="7"/>
      <c r="WSI112" s="7"/>
      <c r="WSJ112" s="7"/>
      <c r="WSK112" s="7"/>
      <c r="WSL112" s="7"/>
      <c r="WSM112" s="7"/>
      <c r="WSN112" s="7"/>
      <c r="WSO112" s="7"/>
      <c r="WSP112" s="7"/>
      <c r="WSQ112" s="7"/>
      <c r="WSR112" s="7"/>
      <c r="WSS112" s="7"/>
      <c r="WST112" s="7"/>
      <c r="WSU112" s="7"/>
      <c r="WSV112" s="7"/>
      <c r="WSW112" s="7"/>
      <c r="WSX112" s="7"/>
      <c r="WSY112" s="7"/>
      <c r="WSZ112" s="7"/>
      <c r="WTA112" s="7"/>
      <c r="WTB112" s="7"/>
      <c r="WTC112" s="7"/>
      <c r="WTD112" s="7"/>
      <c r="WTE112" s="7"/>
      <c r="WTF112" s="7"/>
      <c r="WTG112" s="7"/>
      <c r="WTH112" s="7"/>
      <c r="WTI112" s="7"/>
      <c r="WTJ112" s="7"/>
      <c r="WTK112" s="7"/>
      <c r="WTL112" s="7"/>
      <c r="WTM112" s="7"/>
      <c r="WTN112" s="7"/>
      <c r="WTO112" s="7"/>
      <c r="WTP112" s="7"/>
      <c r="WTQ112" s="7"/>
      <c r="WTR112" s="7"/>
      <c r="WTS112" s="7"/>
      <c r="WTT112" s="7"/>
      <c r="WTU112" s="7"/>
      <c r="WTV112" s="7"/>
      <c r="WTW112" s="7"/>
      <c r="WTX112" s="7"/>
      <c r="WTY112" s="7"/>
      <c r="WTZ112" s="7"/>
      <c r="WUA112" s="7"/>
      <c r="WUB112" s="7"/>
      <c r="WUC112" s="7"/>
      <c r="WUD112" s="7"/>
      <c r="WUE112" s="7"/>
      <c r="WUF112" s="7"/>
      <c r="WUG112" s="7"/>
      <c r="WUH112" s="7"/>
      <c r="WUI112" s="7"/>
      <c r="WUJ112" s="7"/>
      <c r="WUK112" s="7"/>
      <c r="WUL112" s="7"/>
      <c r="WUM112" s="7"/>
      <c r="WUN112" s="7"/>
      <c r="WUO112" s="7"/>
      <c r="WUP112" s="7"/>
      <c r="WUQ112" s="7"/>
      <c r="WUR112" s="7"/>
      <c r="WUS112" s="7"/>
      <c r="WUT112" s="7"/>
      <c r="WUU112" s="7"/>
      <c r="WUV112" s="7"/>
      <c r="WUW112" s="7"/>
      <c r="WUX112" s="7"/>
      <c r="WUY112" s="7"/>
      <c r="WUZ112" s="7"/>
      <c r="WVA112" s="7"/>
      <c r="WVB112" s="7"/>
      <c r="WVC112" s="7"/>
      <c r="WVD112" s="7"/>
      <c r="WVE112" s="7"/>
      <c r="WVF112" s="7"/>
      <c r="WVG112" s="7"/>
      <c r="WVH112" s="7"/>
      <c r="WVI112" s="7"/>
      <c r="WVJ112" s="7"/>
      <c r="WVK112" s="7"/>
      <c r="WVL112" s="7"/>
      <c r="WVM112" s="7"/>
      <c r="WVN112" s="7"/>
      <c r="WVO112" s="7"/>
      <c r="WVP112" s="7"/>
      <c r="WVQ112" s="7"/>
      <c r="WVR112" s="7"/>
      <c r="WVS112" s="7"/>
      <c r="WVT112" s="7"/>
      <c r="WVU112" s="7"/>
      <c r="WVV112" s="7"/>
      <c r="WVW112" s="7"/>
      <c r="WVX112" s="7"/>
      <c r="WVY112" s="7"/>
      <c r="WVZ112" s="7"/>
      <c r="WWA112" s="7"/>
      <c r="WWB112" s="7"/>
      <c r="WWC112" s="7"/>
      <c r="WWD112" s="7"/>
      <c r="WWE112" s="7"/>
      <c r="WWF112" s="7"/>
      <c r="WWG112" s="7"/>
      <c r="WWH112" s="7"/>
      <c r="WWI112" s="7"/>
      <c r="WWJ112" s="7"/>
      <c r="WWK112" s="7"/>
      <c r="WWL112" s="7"/>
      <c r="WWM112" s="7"/>
      <c r="WWN112" s="7"/>
      <c r="WWO112" s="7"/>
      <c r="WWP112" s="7"/>
      <c r="WWQ112" s="7"/>
      <c r="WWR112" s="7"/>
      <c r="WWS112" s="7"/>
      <c r="WWT112" s="7"/>
      <c r="WWU112" s="7"/>
      <c r="WWV112" s="7"/>
      <c r="WWW112" s="7"/>
      <c r="WWX112" s="7"/>
      <c r="WWY112" s="7"/>
      <c r="WWZ112" s="7"/>
      <c r="WXA112" s="7"/>
      <c r="WXB112" s="7"/>
      <c r="WXC112" s="7"/>
      <c r="WXD112" s="7"/>
      <c r="WXE112" s="7"/>
      <c r="WXF112" s="7"/>
      <c r="WXG112" s="7"/>
      <c r="WXH112" s="7"/>
      <c r="WXI112" s="7"/>
      <c r="WXJ112" s="7"/>
      <c r="WXK112" s="7"/>
      <c r="WXL112" s="7"/>
      <c r="WXM112" s="7"/>
      <c r="WXN112" s="7"/>
      <c r="WXO112" s="7"/>
      <c r="WXP112" s="7"/>
      <c r="WXQ112" s="7"/>
      <c r="WXR112" s="7"/>
      <c r="WXS112" s="7"/>
      <c r="WXT112" s="7"/>
      <c r="WXU112" s="7"/>
      <c r="WXV112" s="7"/>
      <c r="WXW112" s="7"/>
      <c r="WXX112" s="7"/>
      <c r="WXY112" s="7"/>
      <c r="WXZ112" s="7"/>
      <c r="WYA112" s="7"/>
      <c r="WYB112" s="7"/>
      <c r="WYC112" s="7"/>
      <c r="WYD112" s="7"/>
      <c r="WYE112" s="7"/>
      <c r="WYF112" s="7"/>
      <c r="WYG112" s="7"/>
      <c r="WYH112" s="7"/>
      <c r="WYI112" s="7"/>
      <c r="WYJ112" s="7"/>
      <c r="WYK112" s="7"/>
      <c r="WYL112" s="7"/>
      <c r="WYM112" s="7"/>
      <c r="WYN112" s="7"/>
      <c r="WYO112" s="7"/>
      <c r="WYP112" s="7"/>
      <c r="WYQ112" s="7"/>
      <c r="WYR112" s="7"/>
      <c r="WYS112" s="7"/>
      <c r="WYT112" s="7"/>
      <c r="WYU112" s="7"/>
      <c r="WYV112" s="7"/>
      <c r="WYW112" s="7"/>
      <c r="WYX112" s="7"/>
      <c r="WYY112" s="7"/>
      <c r="WYZ112" s="7"/>
      <c r="WZA112" s="7"/>
      <c r="WZB112" s="7"/>
      <c r="WZC112" s="7"/>
      <c r="WZD112" s="7"/>
      <c r="WZE112" s="7"/>
      <c r="WZF112" s="7"/>
      <c r="WZG112" s="7"/>
      <c r="WZH112" s="7"/>
      <c r="WZI112" s="7"/>
      <c r="WZJ112" s="7"/>
      <c r="WZK112" s="7"/>
      <c r="WZL112" s="7"/>
      <c r="WZM112" s="7"/>
      <c r="WZN112" s="7"/>
      <c r="WZO112" s="7"/>
    </row>
    <row r="113" spans="1:126" ht="15" customHeight="1" x14ac:dyDescent="0.3">
      <c r="A113" s="134">
        <v>67</v>
      </c>
      <c r="B113" s="42" t="s">
        <v>168</v>
      </c>
      <c r="C113" s="11">
        <v>7093549</v>
      </c>
      <c r="D113" s="11" t="s">
        <v>187</v>
      </c>
      <c r="E113" s="11" t="s">
        <v>188</v>
      </c>
      <c r="F113" s="167">
        <v>1</v>
      </c>
      <c r="G113" s="25">
        <v>0</v>
      </c>
      <c r="H113" s="9">
        <v>0</v>
      </c>
      <c r="I113" s="26">
        <v>0</v>
      </c>
      <c r="J113" s="30">
        <v>0</v>
      </c>
      <c r="K113" s="29">
        <v>1</v>
      </c>
      <c r="L113" s="29">
        <v>0</v>
      </c>
      <c r="M113" s="29">
        <v>0</v>
      </c>
      <c r="N113" s="29">
        <v>0</v>
      </c>
      <c r="O113" s="29">
        <v>0</v>
      </c>
      <c r="P113" s="158">
        <v>0</v>
      </c>
      <c r="Q113" s="158">
        <v>0</v>
      </c>
      <c r="R113" s="158">
        <v>0</v>
      </c>
      <c r="S113" s="158">
        <v>0</v>
      </c>
      <c r="T113" s="158">
        <v>0</v>
      </c>
      <c r="U113" s="158">
        <v>0</v>
      </c>
      <c r="V113" s="29">
        <v>0</v>
      </c>
      <c r="W113" s="29">
        <v>0</v>
      </c>
      <c r="X113" s="159">
        <v>0</v>
      </c>
      <c r="Y113" s="159">
        <v>0</v>
      </c>
      <c r="Z113" s="29">
        <v>0</v>
      </c>
      <c r="AA113" s="29">
        <v>0</v>
      </c>
      <c r="AB113" s="29">
        <v>0</v>
      </c>
      <c r="AC113" s="29">
        <v>0</v>
      </c>
      <c r="AD113" s="29">
        <v>0</v>
      </c>
      <c r="AE113" s="159">
        <v>1</v>
      </c>
      <c r="AF113" s="159">
        <v>1</v>
      </c>
      <c r="AG113" s="160">
        <v>0</v>
      </c>
      <c r="AH113" s="160">
        <v>0</v>
      </c>
      <c r="AI113" s="160">
        <v>0</v>
      </c>
      <c r="AJ113" s="160">
        <v>0</v>
      </c>
      <c r="AK113" s="29">
        <v>1</v>
      </c>
      <c r="AL113" s="29">
        <v>0</v>
      </c>
      <c r="AM113" s="29">
        <v>1</v>
      </c>
      <c r="AN113" s="29">
        <v>1</v>
      </c>
      <c r="AO113" s="29">
        <v>1</v>
      </c>
      <c r="AP113" s="160">
        <v>0</v>
      </c>
      <c r="AQ113" s="161">
        <v>0</v>
      </c>
      <c r="AR113" s="161">
        <v>1</v>
      </c>
      <c r="AS113" s="161">
        <v>0</v>
      </c>
      <c r="AT113" s="161">
        <v>0</v>
      </c>
      <c r="AU113" s="161">
        <v>0</v>
      </c>
      <c r="AV113" s="161">
        <v>0</v>
      </c>
      <c r="AW113" s="161">
        <v>0</v>
      </c>
      <c r="AX113" s="162">
        <v>0</v>
      </c>
      <c r="AY113" s="162">
        <v>0</v>
      </c>
      <c r="AZ113" s="162">
        <v>0</v>
      </c>
      <c r="BA113" s="162">
        <v>0</v>
      </c>
      <c r="BB113" s="32"/>
      <c r="BC113" s="63"/>
      <c r="BD113" s="63">
        <f t="shared" si="18"/>
        <v>0</v>
      </c>
      <c r="BE113" s="63"/>
      <c r="BF113" s="32"/>
      <c r="BG113" s="32"/>
      <c r="BH113" s="63"/>
      <c r="BI113" s="64">
        <f t="shared" si="19"/>
        <v>0</v>
      </c>
      <c r="BJ113" s="63"/>
      <c r="BK113" s="32"/>
      <c r="BL113" s="32"/>
      <c r="BM113" s="33"/>
      <c r="BN113" s="33">
        <f t="shared" si="20"/>
        <v>0</v>
      </c>
      <c r="BO113" s="33"/>
      <c r="BP113" s="32"/>
      <c r="BQ113" s="32"/>
      <c r="BR113" s="33"/>
      <c r="BS113" s="33">
        <f t="shared" si="21"/>
        <v>0</v>
      </c>
      <c r="BT113" s="33"/>
      <c r="BU113" s="32"/>
      <c r="BV113" s="32"/>
      <c r="BW113" s="63"/>
      <c r="BX113" s="63">
        <f t="shared" si="22"/>
        <v>0</v>
      </c>
      <c r="BY113" s="63"/>
      <c r="BZ113" s="32"/>
      <c r="CA113" s="32"/>
      <c r="CB113" s="33"/>
      <c r="CC113" s="33">
        <f t="shared" si="23"/>
        <v>0</v>
      </c>
      <c r="CD113" s="33"/>
      <c r="CE113" s="32"/>
      <c r="CF113" s="33"/>
      <c r="CG113" s="33">
        <f t="shared" si="24"/>
        <v>0</v>
      </c>
      <c r="CH113" s="33"/>
      <c r="CI113" s="32"/>
      <c r="CJ113" s="33"/>
      <c r="CK113" s="33">
        <f t="shared" si="25"/>
        <v>0</v>
      </c>
      <c r="CL113" s="33"/>
      <c r="CM113" s="32"/>
      <c r="CN113" s="23"/>
      <c r="CO113" s="5">
        <f t="shared" si="26"/>
        <v>0</v>
      </c>
      <c r="CP113" s="10"/>
      <c r="CQ113" s="6"/>
      <c r="CR113" s="31"/>
      <c r="CS113" s="124"/>
      <c r="CT113" s="124"/>
      <c r="CU113" s="31"/>
      <c r="CV113" s="124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</row>
    <row r="114" spans="1:126" ht="15" customHeight="1" x14ac:dyDescent="0.3">
      <c r="A114" s="134">
        <v>51</v>
      </c>
      <c r="B114" s="35" t="s">
        <v>42</v>
      </c>
      <c r="C114" s="14">
        <v>7094191</v>
      </c>
      <c r="D114" s="14" t="s">
        <v>120</v>
      </c>
      <c r="E114" s="15" t="s">
        <v>121</v>
      </c>
      <c r="F114" s="167">
        <v>1</v>
      </c>
      <c r="G114" s="25">
        <v>0</v>
      </c>
      <c r="H114" s="9">
        <v>0</v>
      </c>
      <c r="I114" s="26">
        <v>0</v>
      </c>
      <c r="J114" s="30">
        <v>0</v>
      </c>
      <c r="K114" s="29">
        <v>0</v>
      </c>
      <c r="L114" s="29">
        <v>0</v>
      </c>
      <c r="M114" s="29">
        <v>0</v>
      </c>
      <c r="N114" s="29">
        <v>1</v>
      </c>
      <c r="O114" s="29">
        <v>1</v>
      </c>
      <c r="P114" s="158">
        <v>1</v>
      </c>
      <c r="Q114" s="158">
        <v>1</v>
      </c>
      <c r="R114" s="158">
        <v>0</v>
      </c>
      <c r="S114" s="158">
        <v>0</v>
      </c>
      <c r="T114" s="158">
        <v>0</v>
      </c>
      <c r="U114" s="158">
        <v>0</v>
      </c>
      <c r="V114" s="29">
        <v>0</v>
      </c>
      <c r="W114" s="29">
        <v>0</v>
      </c>
      <c r="X114" s="159">
        <v>0</v>
      </c>
      <c r="Y114" s="15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159">
        <v>1</v>
      </c>
      <c r="AF114" s="159">
        <v>1</v>
      </c>
      <c r="AG114" s="160">
        <v>0</v>
      </c>
      <c r="AH114" s="160">
        <v>0</v>
      </c>
      <c r="AI114" s="160">
        <v>0</v>
      </c>
      <c r="AJ114" s="160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160">
        <v>0</v>
      </c>
      <c r="AQ114" s="161">
        <v>0</v>
      </c>
      <c r="AR114" s="161">
        <v>0</v>
      </c>
      <c r="AS114" s="161">
        <v>0</v>
      </c>
      <c r="AT114" s="161">
        <v>0</v>
      </c>
      <c r="AU114" s="161">
        <v>0</v>
      </c>
      <c r="AV114" s="161">
        <v>0</v>
      </c>
      <c r="AW114" s="161">
        <v>0</v>
      </c>
      <c r="AX114" s="162">
        <v>0</v>
      </c>
      <c r="AY114" s="162">
        <v>0</v>
      </c>
      <c r="AZ114" s="162">
        <v>0</v>
      </c>
      <c r="BA114" s="162">
        <v>0</v>
      </c>
      <c r="BB114" s="32"/>
      <c r="BC114" s="63"/>
      <c r="BD114" s="63">
        <f t="shared" si="18"/>
        <v>0</v>
      </c>
      <c r="BE114" s="63"/>
      <c r="BF114" s="32"/>
      <c r="BG114" s="32"/>
      <c r="BH114" s="63"/>
      <c r="BI114" s="64">
        <f t="shared" si="19"/>
        <v>0</v>
      </c>
      <c r="BJ114" s="63"/>
      <c r="BK114" s="32"/>
      <c r="BL114" s="32"/>
      <c r="BM114" s="33"/>
      <c r="BN114" s="33">
        <f t="shared" si="20"/>
        <v>0</v>
      </c>
      <c r="BO114" s="33"/>
      <c r="BP114" s="32"/>
      <c r="BQ114" s="32"/>
      <c r="BR114" s="33"/>
      <c r="BS114" s="33">
        <f t="shared" si="21"/>
        <v>0</v>
      </c>
      <c r="BT114" s="33"/>
      <c r="BU114" s="32"/>
      <c r="BV114" s="32"/>
      <c r="BW114" s="63"/>
      <c r="BX114" s="63">
        <f t="shared" si="22"/>
        <v>0</v>
      </c>
      <c r="BY114" s="63"/>
      <c r="BZ114" s="32"/>
      <c r="CA114" s="32"/>
      <c r="CB114" s="33"/>
      <c r="CC114" s="33">
        <f t="shared" si="23"/>
        <v>0</v>
      </c>
      <c r="CD114" s="33"/>
      <c r="CE114" s="32"/>
      <c r="CF114" s="33"/>
      <c r="CG114" s="33">
        <f t="shared" si="24"/>
        <v>0</v>
      </c>
      <c r="CH114" s="33"/>
      <c r="CI114" s="32"/>
      <c r="CJ114" s="33"/>
      <c r="CK114" s="33">
        <f t="shared" si="25"/>
        <v>0</v>
      </c>
      <c r="CL114" s="33"/>
      <c r="CM114" s="32"/>
      <c r="CN114" s="23"/>
      <c r="CO114" s="5">
        <f t="shared" si="26"/>
        <v>0</v>
      </c>
      <c r="CP114" s="10"/>
      <c r="CQ114" s="6"/>
      <c r="CR114" s="31"/>
      <c r="CS114" s="124"/>
      <c r="CT114" s="124"/>
      <c r="CU114" s="31"/>
      <c r="CV114" s="124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</row>
    <row r="115" spans="1:126" ht="15" customHeight="1" x14ac:dyDescent="0.3">
      <c r="A115" s="134">
        <v>102</v>
      </c>
      <c r="B115" s="128" t="s">
        <v>49</v>
      </c>
      <c r="C115" s="12">
        <v>7401045</v>
      </c>
      <c r="D115" s="13" t="s">
        <v>387</v>
      </c>
      <c r="E115" s="13" t="s">
        <v>388</v>
      </c>
      <c r="F115" s="167">
        <v>1</v>
      </c>
      <c r="G115" s="25">
        <v>0</v>
      </c>
      <c r="H115" s="9">
        <v>0</v>
      </c>
      <c r="I115" s="26">
        <v>0</v>
      </c>
      <c r="J115" s="30">
        <v>0</v>
      </c>
      <c r="K115" s="29">
        <v>1</v>
      </c>
      <c r="L115" s="29">
        <v>0</v>
      </c>
      <c r="M115" s="29">
        <v>0</v>
      </c>
      <c r="N115" s="29">
        <v>0</v>
      </c>
      <c r="O115" s="29">
        <v>0</v>
      </c>
      <c r="P115" s="158">
        <v>0</v>
      </c>
      <c r="Q115" s="158">
        <v>1</v>
      </c>
      <c r="R115" s="158">
        <v>1</v>
      </c>
      <c r="S115" s="158">
        <v>1</v>
      </c>
      <c r="T115" s="158">
        <v>1</v>
      </c>
      <c r="U115" s="158">
        <v>0</v>
      </c>
      <c r="V115" s="29">
        <v>0</v>
      </c>
      <c r="W115" s="29">
        <v>0</v>
      </c>
      <c r="X115" s="159">
        <v>0</v>
      </c>
      <c r="Y115" s="159">
        <v>0</v>
      </c>
      <c r="Z115" s="29">
        <v>0</v>
      </c>
      <c r="AA115" s="29">
        <v>0</v>
      </c>
      <c r="AB115" s="29">
        <v>0</v>
      </c>
      <c r="AC115" s="29">
        <v>0</v>
      </c>
      <c r="AD115" s="29">
        <v>0</v>
      </c>
      <c r="AE115" s="159">
        <v>1</v>
      </c>
      <c r="AF115" s="159">
        <v>1</v>
      </c>
      <c r="AG115" s="160">
        <v>0</v>
      </c>
      <c r="AH115" s="160">
        <v>0</v>
      </c>
      <c r="AI115" s="160">
        <v>0</v>
      </c>
      <c r="AJ115" s="160">
        <v>0</v>
      </c>
      <c r="AK115" s="29">
        <v>0</v>
      </c>
      <c r="AL115" s="29">
        <v>0</v>
      </c>
      <c r="AM115" s="29">
        <v>0</v>
      </c>
      <c r="AN115" s="29">
        <v>0</v>
      </c>
      <c r="AO115" s="29">
        <v>0</v>
      </c>
      <c r="AP115" s="160">
        <v>0</v>
      </c>
      <c r="AQ115" s="161">
        <v>0</v>
      </c>
      <c r="AR115" s="161">
        <v>0</v>
      </c>
      <c r="AS115" s="161">
        <v>0</v>
      </c>
      <c r="AT115" s="161">
        <v>0</v>
      </c>
      <c r="AU115" s="161">
        <v>0</v>
      </c>
      <c r="AV115" s="161">
        <v>0</v>
      </c>
      <c r="AW115" s="161">
        <v>0</v>
      </c>
      <c r="AX115" s="162">
        <v>0</v>
      </c>
      <c r="AY115" s="162">
        <v>0</v>
      </c>
      <c r="AZ115" s="162">
        <v>0</v>
      </c>
      <c r="BA115" s="162">
        <v>1</v>
      </c>
      <c r="BB115" s="32"/>
      <c r="BC115" s="63"/>
      <c r="BD115" s="63">
        <f t="shared" si="18"/>
        <v>0</v>
      </c>
      <c r="BE115" s="63"/>
      <c r="BF115" s="32"/>
      <c r="BG115" s="32"/>
      <c r="BH115" s="63"/>
      <c r="BI115" s="64">
        <f t="shared" si="19"/>
        <v>0</v>
      </c>
      <c r="BJ115" s="63"/>
      <c r="BK115" s="32"/>
      <c r="BL115" s="32"/>
      <c r="BM115" s="33"/>
      <c r="BN115" s="33">
        <f t="shared" si="20"/>
        <v>0</v>
      </c>
      <c r="BO115" s="33"/>
      <c r="BP115" s="32"/>
      <c r="BQ115" s="32"/>
      <c r="BR115" s="33"/>
      <c r="BS115" s="33">
        <f t="shared" si="21"/>
        <v>0</v>
      </c>
      <c r="BT115" s="33"/>
      <c r="BU115" s="32"/>
      <c r="BV115" s="32"/>
      <c r="BW115" s="63"/>
      <c r="BX115" s="63">
        <f t="shared" si="22"/>
        <v>0</v>
      </c>
      <c r="BY115" s="63"/>
      <c r="BZ115" s="32"/>
      <c r="CA115" s="32"/>
      <c r="CB115" s="33"/>
      <c r="CC115" s="33">
        <f t="shared" si="23"/>
        <v>0</v>
      </c>
      <c r="CD115" s="33"/>
      <c r="CE115" s="32"/>
      <c r="CF115" s="33"/>
      <c r="CG115" s="33">
        <f t="shared" si="24"/>
        <v>0</v>
      </c>
      <c r="CH115" s="33"/>
      <c r="CI115" s="32"/>
      <c r="CJ115" s="33"/>
      <c r="CK115" s="33">
        <f t="shared" si="25"/>
        <v>0</v>
      </c>
      <c r="CL115" s="33"/>
      <c r="CM115" s="32"/>
      <c r="CN115" s="23"/>
      <c r="CO115" s="5">
        <f t="shared" si="26"/>
        <v>0</v>
      </c>
      <c r="CP115" s="10"/>
      <c r="CQ115" s="6"/>
      <c r="CR115" s="31"/>
      <c r="CS115" s="124"/>
      <c r="CT115" s="124"/>
      <c r="CU115" s="31"/>
      <c r="CV115" s="124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</row>
    <row r="116" spans="1:126" ht="15" customHeight="1" x14ac:dyDescent="0.3">
      <c r="A116" s="138">
        <v>123</v>
      </c>
      <c r="B116" s="35" t="s">
        <v>200</v>
      </c>
      <c r="C116" s="14">
        <v>7402022</v>
      </c>
      <c r="D116" s="14" t="s">
        <v>433</v>
      </c>
      <c r="E116" s="163" t="s">
        <v>434</v>
      </c>
      <c r="F116" s="167">
        <v>1</v>
      </c>
      <c r="G116" s="25">
        <v>0</v>
      </c>
      <c r="H116" s="9">
        <v>0</v>
      </c>
      <c r="I116" s="26">
        <v>0</v>
      </c>
      <c r="J116" s="30">
        <v>0</v>
      </c>
      <c r="K116" s="29">
        <v>1</v>
      </c>
      <c r="L116" s="29">
        <v>0</v>
      </c>
      <c r="M116" s="29">
        <v>0</v>
      </c>
      <c r="N116" s="29">
        <v>0</v>
      </c>
      <c r="O116" s="29">
        <v>0</v>
      </c>
      <c r="P116" s="158">
        <v>0</v>
      </c>
      <c r="Q116" s="158">
        <v>0</v>
      </c>
      <c r="R116" s="158">
        <v>0</v>
      </c>
      <c r="S116" s="158">
        <v>0</v>
      </c>
      <c r="T116" s="158">
        <v>0</v>
      </c>
      <c r="U116" s="158">
        <v>1</v>
      </c>
      <c r="V116" s="29">
        <v>0</v>
      </c>
      <c r="W116" s="29">
        <v>0</v>
      </c>
      <c r="X116" s="159">
        <v>0</v>
      </c>
      <c r="Y116" s="15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159">
        <v>1</v>
      </c>
      <c r="AF116" s="159">
        <v>1</v>
      </c>
      <c r="AG116" s="160">
        <v>0</v>
      </c>
      <c r="AH116" s="160">
        <v>0</v>
      </c>
      <c r="AI116" s="160">
        <v>0</v>
      </c>
      <c r="AJ116" s="160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160">
        <v>0</v>
      </c>
      <c r="AQ116" s="161">
        <v>0</v>
      </c>
      <c r="AR116" s="161">
        <v>0</v>
      </c>
      <c r="AS116" s="161">
        <v>0</v>
      </c>
      <c r="AT116" s="161">
        <v>0</v>
      </c>
      <c r="AU116" s="161">
        <v>0</v>
      </c>
      <c r="AV116" s="161">
        <v>0</v>
      </c>
      <c r="AW116" s="161">
        <v>0</v>
      </c>
      <c r="AX116" s="162">
        <v>0</v>
      </c>
      <c r="AY116" s="162">
        <v>0</v>
      </c>
      <c r="AZ116" s="162">
        <v>0</v>
      </c>
      <c r="BA116" s="162">
        <v>1</v>
      </c>
      <c r="BB116" s="32"/>
      <c r="BC116" s="63"/>
      <c r="BD116" s="63">
        <f t="shared" si="18"/>
        <v>0</v>
      </c>
      <c r="BE116" s="63"/>
      <c r="BF116" s="32"/>
      <c r="BG116" s="32"/>
      <c r="BH116" s="63"/>
      <c r="BI116" s="64">
        <f t="shared" si="19"/>
        <v>0</v>
      </c>
      <c r="BJ116" s="63"/>
      <c r="BK116" s="32"/>
      <c r="BL116" s="32"/>
      <c r="BM116" s="33"/>
      <c r="BN116" s="33">
        <f t="shared" si="20"/>
        <v>0</v>
      </c>
      <c r="BO116" s="33"/>
      <c r="BP116" s="32"/>
      <c r="BQ116" s="32"/>
      <c r="BR116" s="33"/>
      <c r="BS116" s="33">
        <f t="shared" si="21"/>
        <v>0</v>
      </c>
      <c r="BT116" s="33"/>
      <c r="BU116" s="32"/>
      <c r="BV116" s="32"/>
      <c r="BW116" s="63"/>
      <c r="BX116" s="63">
        <f t="shared" si="22"/>
        <v>0</v>
      </c>
      <c r="BY116" s="63"/>
      <c r="BZ116" s="32"/>
      <c r="CA116" s="32"/>
      <c r="CB116" s="33"/>
      <c r="CC116" s="33">
        <f t="shared" si="23"/>
        <v>0</v>
      </c>
      <c r="CD116" s="33"/>
      <c r="CE116" s="32"/>
      <c r="CF116" s="33"/>
      <c r="CG116" s="33">
        <f t="shared" si="24"/>
        <v>0</v>
      </c>
      <c r="CH116" s="33"/>
      <c r="CI116" s="32"/>
      <c r="CJ116" s="33"/>
      <c r="CK116" s="33">
        <f t="shared" si="25"/>
        <v>0</v>
      </c>
      <c r="CL116" s="33"/>
      <c r="CM116" s="32"/>
      <c r="CN116" s="23"/>
      <c r="CO116" s="5">
        <f t="shared" si="26"/>
        <v>0</v>
      </c>
      <c r="CP116" s="10"/>
      <c r="CQ116" s="6"/>
      <c r="CR116" s="31"/>
      <c r="CS116" s="124"/>
      <c r="CT116" s="124"/>
      <c r="CU116" s="31"/>
      <c r="CV116" s="124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</row>
    <row r="117" spans="1:126" ht="15" customHeight="1" x14ac:dyDescent="0.3">
      <c r="A117" s="138">
        <v>126</v>
      </c>
      <c r="B117" s="35" t="s">
        <v>200</v>
      </c>
      <c r="C117" s="14">
        <v>7402849</v>
      </c>
      <c r="D117" s="14" t="s">
        <v>446</v>
      </c>
      <c r="E117" s="163" t="s">
        <v>447</v>
      </c>
      <c r="F117" s="167">
        <v>1</v>
      </c>
      <c r="G117" s="25">
        <v>0</v>
      </c>
      <c r="H117" s="9">
        <v>0</v>
      </c>
      <c r="I117" s="26">
        <v>0</v>
      </c>
      <c r="J117" s="30">
        <v>0</v>
      </c>
      <c r="K117" s="29">
        <v>1</v>
      </c>
      <c r="L117" s="29">
        <v>0</v>
      </c>
      <c r="M117" s="29">
        <v>1</v>
      </c>
      <c r="N117" s="29">
        <v>0</v>
      </c>
      <c r="O117" s="29">
        <v>0</v>
      </c>
      <c r="P117" s="158">
        <v>0</v>
      </c>
      <c r="Q117" s="158">
        <v>0</v>
      </c>
      <c r="R117" s="158">
        <v>0</v>
      </c>
      <c r="S117" s="158">
        <v>0</v>
      </c>
      <c r="T117" s="158">
        <v>0</v>
      </c>
      <c r="U117" s="158">
        <v>0</v>
      </c>
      <c r="V117" s="29">
        <v>0</v>
      </c>
      <c r="W117" s="29">
        <v>0</v>
      </c>
      <c r="X117" s="159">
        <v>0</v>
      </c>
      <c r="Y117" s="159">
        <v>0</v>
      </c>
      <c r="Z117" s="29">
        <v>0</v>
      </c>
      <c r="AA117" s="29">
        <v>0</v>
      </c>
      <c r="AB117" s="29">
        <v>0</v>
      </c>
      <c r="AC117" s="29">
        <v>0</v>
      </c>
      <c r="AD117" s="29">
        <v>0</v>
      </c>
      <c r="AE117" s="159">
        <v>0</v>
      </c>
      <c r="AF117" s="159">
        <v>0</v>
      </c>
      <c r="AG117" s="160">
        <v>0</v>
      </c>
      <c r="AH117" s="160">
        <v>0</v>
      </c>
      <c r="AI117" s="160">
        <v>0</v>
      </c>
      <c r="AJ117" s="160">
        <v>0</v>
      </c>
      <c r="AK117" s="29">
        <v>0</v>
      </c>
      <c r="AL117" s="29">
        <v>0</v>
      </c>
      <c r="AM117" s="29">
        <v>0</v>
      </c>
      <c r="AN117" s="29">
        <v>1</v>
      </c>
      <c r="AO117" s="29">
        <v>1</v>
      </c>
      <c r="AP117" s="160">
        <v>0</v>
      </c>
      <c r="AQ117" s="161">
        <v>0</v>
      </c>
      <c r="AR117" s="161">
        <v>0</v>
      </c>
      <c r="AS117" s="161">
        <v>0</v>
      </c>
      <c r="AT117" s="161">
        <v>0</v>
      </c>
      <c r="AU117" s="161">
        <v>0</v>
      </c>
      <c r="AV117" s="161">
        <v>0</v>
      </c>
      <c r="AW117" s="161">
        <v>0</v>
      </c>
      <c r="AX117" s="162">
        <v>0</v>
      </c>
      <c r="AY117" s="162">
        <v>0</v>
      </c>
      <c r="AZ117" s="162">
        <v>0</v>
      </c>
      <c r="BA117" s="162">
        <v>0</v>
      </c>
      <c r="BB117" s="32"/>
      <c r="BC117" s="63"/>
      <c r="BD117" s="63">
        <f t="shared" si="18"/>
        <v>0</v>
      </c>
      <c r="BE117" s="63"/>
      <c r="BF117" s="32"/>
      <c r="BG117" s="32"/>
      <c r="BH117" s="63"/>
      <c r="BI117" s="64">
        <f t="shared" si="19"/>
        <v>0</v>
      </c>
      <c r="BJ117" s="63"/>
      <c r="BK117" s="32"/>
      <c r="BL117" s="32"/>
      <c r="BM117" s="33"/>
      <c r="BN117" s="33">
        <f t="shared" si="20"/>
        <v>0</v>
      </c>
      <c r="BO117" s="33"/>
      <c r="BP117" s="32"/>
      <c r="BQ117" s="32"/>
      <c r="BR117" s="33"/>
      <c r="BS117" s="33">
        <f t="shared" si="21"/>
        <v>0</v>
      </c>
      <c r="BT117" s="33"/>
      <c r="BU117" s="32"/>
      <c r="BV117" s="32"/>
      <c r="BW117" s="63"/>
      <c r="BX117" s="63">
        <f t="shared" si="22"/>
        <v>0</v>
      </c>
      <c r="BY117" s="63"/>
      <c r="BZ117" s="32"/>
      <c r="CA117" s="32"/>
      <c r="CB117" s="33"/>
      <c r="CC117" s="33">
        <f t="shared" si="23"/>
        <v>0</v>
      </c>
      <c r="CD117" s="33"/>
      <c r="CE117" s="32"/>
      <c r="CF117" s="33"/>
      <c r="CG117" s="33">
        <f t="shared" si="24"/>
        <v>0</v>
      </c>
      <c r="CH117" s="33"/>
      <c r="CI117" s="32"/>
      <c r="CJ117" s="33"/>
      <c r="CK117" s="33">
        <f t="shared" si="25"/>
        <v>0</v>
      </c>
      <c r="CL117" s="33"/>
      <c r="CM117" s="32"/>
      <c r="CN117" s="23"/>
      <c r="CO117" s="5">
        <f t="shared" si="26"/>
        <v>0</v>
      </c>
      <c r="CP117" s="10"/>
      <c r="CQ117" s="6"/>
      <c r="CR117" s="31"/>
      <c r="CS117" s="124"/>
      <c r="CT117" s="124"/>
      <c r="CU117" s="31"/>
      <c r="CV117" s="124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</row>
    <row r="118" spans="1:126" ht="15" customHeight="1" x14ac:dyDescent="0.3">
      <c r="A118" s="134">
        <v>20</v>
      </c>
      <c r="B118" s="123" t="s">
        <v>122</v>
      </c>
      <c r="C118" s="14">
        <v>7055856</v>
      </c>
      <c r="D118" s="14" t="s">
        <v>123</v>
      </c>
      <c r="E118" s="15" t="s">
        <v>124</v>
      </c>
      <c r="F118" s="167">
        <v>1</v>
      </c>
      <c r="G118" s="25">
        <v>0</v>
      </c>
      <c r="H118" s="9">
        <v>0</v>
      </c>
      <c r="I118" s="26">
        <v>0</v>
      </c>
      <c r="J118" s="30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158">
        <v>0</v>
      </c>
      <c r="Q118" s="158">
        <v>0</v>
      </c>
      <c r="R118" s="158">
        <v>0</v>
      </c>
      <c r="S118" s="158">
        <v>0</v>
      </c>
      <c r="T118" s="158">
        <v>0</v>
      </c>
      <c r="U118" s="158">
        <v>0</v>
      </c>
      <c r="V118" s="29">
        <v>0</v>
      </c>
      <c r="W118" s="29">
        <v>0</v>
      </c>
      <c r="X118" s="159">
        <v>0</v>
      </c>
      <c r="Y118" s="15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159">
        <v>0</v>
      </c>
      <c r="AF118" s="159">
        <v>0</v>
      </c>
      <c r="AG118" s="160">
        <v>0</v>
      </c>
      <c r="AH118" s="160">
        <v>0</v>
      </c>
      <c r="AI118" s="160">
        <v>0</v>
      </c>
      <c r="AJ118" s="160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160">
        <v>0</v>
      </c>
      <c r="AQ118" s="161">
        <v>0</v>
      </c>
      <c r="AR118" s="161">
        <v>0</v>
      </c>
      <c r="AS118" s="161">
        <v>0</v>
      </c>
      <c r="AT118" s="161">
        <v>0</v>
      </c>
      <c r="AU118" s="161">
        <v>0</v>
      </c>
      <c r="AV118" s="161">
        <v>0</v>
      </c>
      <c r="AW118" s="161">
        <v>0</v>
      </c>
      <c r="AX118" s="162">
        <v>0</v>
      </c>
      <c r="AY118" s="162">
        <v>0</v>
      </c>
      <c r="AZ118" s="162">
        <v>0</v>
      </c>
      <c r="BA118" s="162">
        <v>0</v>
      </c>
      <c r="BB118" s="32"/>
      <c r="BC118" s="63"/>
      <c r="BD118" s="63">
        <f t="shared" si="18"/>
        <v>0</v>
      </c>
      <c r="BE118" s="63"/>
      <c r="BF118" s="32"/>
      <c r="BG118" s="32"/>
      <c r="BH118" s="63"/>
      <c r="BI118" s="64">
        <f t="shared" si="19"/>
        <v>0</v>
      </c>
      <c r="BJ118" s="63"/>
      <c r="BK118" s="32"/>
      <c r="BL118" s="32"/>
      <c r="BM118" s="33"/>
      <c r="BN118" s="33">
        <f t="shared" si="20"/>
        <v>0</v>
      </c>
      <c r="BO118" s="33"/>
      <c r="BP118" s="32"/>
      <c r="BQ118" s="32"/>
      <c r="BR118" s="33"/>
      <c r="BS118" s="33">
        <f t="shared" si="21"/>
        <v>0</v>
      </c>
      <c r="BT118" s="33"/>
      <c r="BU118" s="32"/>
      <c r="BV118" s="32"/>
      <c r="BW118" s="63"/>
      <c r="BX118" s="63">
        <f t="shared" si="22"/>
        <v>0</v>
      </c>
      <c r="BY118" s="63"/>
      <c r="BZ118" s="32"/>
      <c r="CA118" s="32"/>
      <c r="CB118" s="33"/>
      <c r="CC118" s="33">
        <f t="shared" si="23"/>
        <v>0</v>
      </c>
      <c r="CD118" s="33"/>
      <c r="CE118" s="32"/>
      <c r="CF118" s="33"/>
      <c r="CG118" s="33">
        <f t="shared" si="24"/>
        <v>0</v>
      </c>
      <c r="CH118" s="33"/>
      <c r="CI118" s="32"/>
      <c r="CJ118" s="33"/>
      <c r="CK118" s="33">
        <f t="shared" si="25"/>
        <v>0</v>
      </c>
      <c r="CL118" s="33"/>
      <c r="CM118" s="32"/>
      <c r="CN118" s="23"/>
      <c r="CO118" s="5">
        <f t="shared" si="26"/>
        <v>0</v>
      </c>
      <c r="CP118" s="10"/>
      <c r="CQ118" s="6"/>
      <c r="CR118" s="31"/>
      <c r="CS118" s="124"/>
      <c r="CT118" s="124"/>
      <c r="CU118" s="31"/>
      <c r="CV118" s="124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</row>
    <row r="119" spans="1:126" ht="15" customHeight="1" x14ac:dyDescent="0.3">
      <c r="A119" s="43">
        <v>275</v>
      </c>
      <c r="B119" s="38" t="s">
        <v>521</v>
      </c>
      <c r="C119" s="36">
        <v>7104205</v>
      </c>
      <c r="D119" s="36" t="s">
        <v>517</v>
      </c>
      <c r="E119" s="137" t="s">
        <v>518</v>
      </c>
      <c r="F119" s="167">
        <v>1</v>
      </c>
      <c r="G119" s="25">
        <v>0</v>
      </c>
      <c r="H119" s="9">
        <v>0</v>
      </c>
      <c r="I119" s="26">
        <v>0</v>
      </c>
      <c r="J119" s="30">
        <v>0</v>
      </c>
      <c r="K119" s="29">
        <v>1</v>
      </c>
      <c r="L119" s="29">
        <v>0</v>
      </c>
      <c r="M119" s="29">
        <v>1</v>
      </c>
      <c r="N119" s="29">
        <v>0</v>
      </c>
      <c r="O119" s="29">
        <v>0</v>
      </c>
      <c r="P119" s="158">
        <v>0</v>
      </c>
      <c r="Q119" s="158">
        <v>1</v>
      </c>
      <c r="R119" s="158">
        <v>0</v>
      </c>
      <c r="S119" s="158">
        <v>0</v>
      </c>
      <c r="T119" s="158">
        <v>0</v>
      </c>
      <c r="U119" s="158">
        <v>0</v>
      </c>
      <c r="V119" s="29">
        <v>0</v>
      </c>
      <c r="W119" s="29">
        <v>0</v>
      </c>
      <c r="X119" s="159">
        <v>0</v>
      </c>
      <c r="Y119" s="159">
        <v>0</v>
      </c>
      <c r="Z119" s="29">
        <v>0</v>
      </c>
      <c r="AA119" s="29">
        <v>0</v>
      </c>
      <c r="AB119" s="29">
        <v>0</v>
      </c>
      <c r="AC119" s="29">
        <v>0</v>
      </c>
      <c r="AD119" s="29">
        <v>0</v>
      </c>
      <c r="AE119" s="159">
        <v>0</v>
      </c>
      <c r="AF119" s="159">
        <v>0</v>
      </c>
      <c r="AG119" s="160">
        <v>0</v>
      </c>
      <c r="AH119" s="160">
        <v>0</v>
      </c>
      <c r="AI119" s="160">
        <v>0</v>
      </c>
      <c r="AJ119" s="160">
        <v>0</v>
      </c>
      <c r="AK119" s="29">
        <v>0</v>
      </c>
      <c r="AL119" s="29">
        <v>0</v>
      </c>
      <c r="AM119" s="29">
        <v>0</v>
      </c>
      <c r="AN119" s="29">
        <v>1</v>
      </c>
      <c r="AO119" s="29">
        <v>1</v>
      </c>
      <c r="AP119" s="160">
        <v>0</v>
      </c>
      <c r="AQ119" s="161">
        <v>0</v>
      </c>
      <c r="AR119" s="161">
        <v>0</v>
      </c>
      <c r="AS119" s="161">
        <v>0</v>
      </c>
      <c r="AT119" s="161">
        <v>0</v>
      </c>
      <c r="AU119" s="161">
        <v>0</v>
      </c>
      <c r="AV119" s="161">
        <v>0</v>
      </c>
      <c r="AW119" s="161">
        <v>0</v>
      </c>
      <c r="AX119" s="162">
        <v>0</v>
      </c>
      <c r="AY119" s="162">
        <v>0</v>
      </c>
      <c r="AZ119" s="162">
        <v>0</v>
      </c>
      <c r="BA119" s="162">
        <v>0</v>
      </c>
      <c r="BB119" s="32"/>
      <c r="BC119" s="63"/>
      <c r="BD119" s="63">
        <f t="shared" si="18"/>
        <v>0</v>
      </c>
      <c r="BE119" s="63"/>
      <c r="BF119" s="32"/>
      <c r="BG119" s="32"/>
      <c r="BH119" s="63"/>
      <c r="BI119" s="64">
        <f t="shared" si="19"/>
        <v>0</v>
      </c>
      <c r="BJ119" s="63"/>
      <c r="BK119" s="32"/>
      <c r="BL119" s="32"/>
      <c r="BM119" s="33"/>
      <c r="BN119" s="33">
        <f t="shared" si="20"/>
        <v>0</v>
      </c>
      <c r="BO119" s="33"/>
      <c r="BP119" s="32"/>
      <c r="BQ119" s="32"/>
      <c r="BR119" s="33"/>
      <c r="BS119" s="33">
        <f t="shared" si="21"/>
        <v>0</v>
      </c>
      <c r="BT119" s="33"/>
      <c r="BU119" s="32"/>
      <c r="BV119" s="32"/>
      <c r="BW119" s="63"/>
      <c r="BX119" s="63">
        <f t="shared" si="22"/>
        <v>0</v>
      </c>
      <c r="BY119" s="63"/>
      <c r="BZ119" s="32"/>
      <c r="CA119" s="32"/>
      <c r="CB119" s="33"/>
      <c r="CC119" s="33">
        <f t="shared" si="23"/>
        <v>0</v>
      </c>
      <c r="CD119" s="33"/>
      <c r="CE119" s="32"/>
      <c r="CF119" s="33"/>
      <c r="CG119" s="33">
        <f t="shared" si="24"/>
        <v>0</v>
      </c>
      <c r="CH119" s="33"/>
      <c r="CI119" s="32"/>
      <c r="CJ119" s="33"/>
      <c r="CK119" s="33">
        <f t="shared" si="25"/>
        <v>0</v>
      </c>
      <c r="CL119" s="33"/>
      <c r="CM119" s="32"/>
      <c r="CN119" s="23"/>
      <c r="CO119" s="5">
        <f t="shared" si="26"/>
        <v>0</v>
      </c>
      <c r="CP119" s="10"/>
      <c r="CQ119" s="6"/>
      <c r="CR119" s="31"/>
      <c r="CS119" s="124"/>
      <c r="CT119" s="124"/>
      <c r="CU119" s="31"/>
      <c r="CV119" s="124"/>
      <c r="CW119" s="31"/>
      <c r="CX119" s="31"/>
      <c r="CY119" s="31"/>
      <c r="CZ119" s="31"/>
      <c r="DA119" s="31"/>
      <c r="DB119" s="31"/>
      <c r="DC119" s="31"/>
      <c r="DD119" s="31"/>
      <c r="DE119" s="31"/>
      <c r="DF119" s="31"/>
      <c r="DG119" s="31"/>
      <c r="DH119" s="31"/>
      <c r="DI119" s="31"/>
      <c r="DJ119" s="31"/>
      <c r="DK119" s="31"/>
      <c r="DL119" s="31"/>
      <c r="DM119" s="31"/>
      <c r="DN119" s="31"/>
      <c r="DO119" s="31"/>
      <c r="DP119" s="31"/>
      <c r="DQ119" s="31"/>
      <c r="DR119" s="31"/>
      <c r="DS119" s="31"/>
      <c r="DT119" s="31"/>
      <c r="DU119" s="31"/>
      <c r="DV119" s="31"/>
    </row>
    <row r="120" spans="1:126" ht="15" customHeight="1" x14ac:dyDescent="0.3">
      <c r="A120" s="134">
        <v>93</v>
      </c>
      <c r="B120" s="35" t="s">
        <v>42</v>
      </c>
      <c r="C120" s="14">
        <v>7400367</v>
      </c>
      <c r="D120" s="14" t="s">
        <v>365</v>
      </c>
      <c r="E120" s="15" t="s">
        <v>396</v>
      </c>
      <c r="F120" s="167">
        <v>1</v>
      </c>
      <c r="G120" s="25">
        <v>0</v>
      </c>
      <c r="H120" s="9">
        <v>0</v>
      </c>
      <c r="I120" s="26">
        <v>0</v>
      </c>
      <c r="J120" s="30">
        <v>0</v>
      </c>
      <c r="K120" s="29">
        <v>1</v>
      </c>
      <c r="L120" s="29">
        <v>0</v>
      </c>
      <c r="M120" s="29">
        <v>0</v>
      </c>
      <c r="N120" s="29">
        <v>0</v>
      </c>
      <c r="O120" s="29">
        <v>0</v>
      </c>
      <c r="P120" s="158">
        <v>0</v>
      </c>
      <c r="Q120" s="158">
        <v>0</v>
      </c>
      <c r="R120" s="158">
        <v>0</v>
      </c>
      <c r="S120" s="158">
        <v>0</v>
      </c>
      <c r="T120" s="158">
        <v>0</v>
      </c>
      <c r="U120" s="158">
        <v>0</v>
      </c>
      <c r="V120" s="29">
        <v>0</v>
      </c>
      <c r="W120" s="29">
        <v>0</v>
      </c>
      <c r="X120" s="159">
        <v>0</v>
      </c>
      <c r="Y120" s="159">
        <v>1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159">
        <v>1</v>
      </c>
      <c r="AF120" s="159">
        <v>1</v>
      </c>
      <c r="AG120" s="160">
        <v>0</v>
      </c>
      <c r="AH120" s="160">
        <v>0</v>
      </c>
      <c r="AI120" s="160">
        <v>0</v>
      </c>
      <c r="AJ120" s="160">
        <v>0</v>
      </c>
      <c r="AK120" s="29">
        <v>1</v>
      </c>
      <c r="AL120" s="29">
        <v>0</v>
      </c>
      <c r="AM120" s="29">
        <v>1</v>
      </c>
      <c r="AN120" s="29">
        <v>1</v>
      </c>
      <c r="AO120" s="29">
        <v>1</v>
      </c>
      <c r="AP120" s="160">
        <v>0</v>
      </c>
      <c r="AQ120" s="161">
        <v>0</v>
      </c>
      <c r="AR120" s="161">
        <v>0</v>
      </c>
      <c r="AS120" s="161">
        <v>0</v>
      </c>
      <c r="AT120" s="161">
        <v>0</v>
      </c>
      <c r="AU120" s="161">
        <v>0</v>
      </c>
      <c r="AV120" s="161">
        <v>0</v>
      </c>
      <c r="AW120" s="161">
        <v>0</v>
      </c>
      <c r="AX120" s="162">
        <v>0</v>
      </c>
      <c r="AY120" s="162">
        <v>0</v>
      </c>
      <c r="AZ120" s="162">
        <v>0</v>
      </c>
      <c r="BA120" s="162">
        <v>1</v>
      </c>
      <c r="BB120" s="32"/>
      <c r="BC120" s="63"/>
      <c r="BD120" s="63">
        <f t="shared" si="18"/>
        <v>0</v>
      </c>
      <c r="BE120" s="63"/>
      <c r="BF120" s="32"/>
      <c r="BG120" s="32"/>
      <c r="BH120" s="63"/>
      <c r="BI120" s="64">
        <f t="shared" si="19"/>
        <v>0</v>
      </c>
      <c r="BJ120" s="63"/>
      <c r="BK120" s="32"/>
      <c r="BL120" s="32"/>
      <c r="BM120" s="33"/>
      <c r="BN120" s="33">
        <f t="shared" si="20"/>
        <v>0</v>
      </c>
      <c r="BO120" s="33"/>
      <c r="BP120" s="32"/>
      <c r="BQ120" s="32"/>
      <c r="BR120" s="33"/>
      <c r="BS120" s="33">
        <f t="shared" si="21"/>
        <v>0</v>
      </c>
      <c r="BT120" s="33"/>
      <c r="BU120" s="32"/>
      <c r="BV120" s="32"/>
      <c r="BW120" s="63"/>
      <c r="BX120" s="63">
        <f t="shared" si="22"/>
        <v>0</v>
      </c>
      <c r="BY120" s="63"/>
      <c r="BZ120" s="32"/>
      <c r="CA120" s="32"/>
      <c r="CB120" s="33"/>
      <c r="CC120" s="33">
        <f t="shared" si="23"/>
        <v>0</v>
      </c>
      <c r="CD120" s="33"/>
      <c r="CE120" s="32"/>
      <c r="CF120" s="33"/>
      <c r="CG120" s="33">
        <f t="shared" si="24"/>
        <v>0</v>
      </c>
      <c r="CH120" s="33"/>
      <c r="CI120" s="32"/>
      <c r="CJ120" s="33"/>
      <c r="CK120" s="33">
        <f t="shared" si="25"/>
        <v>0</v>
      </c>
      <c r="CL120" s="33"/>
      <c r="CM120" s="32"/>
      <c r="CN120" s="23"/>
      <c r="CO120" s="5">
        <f t="shared" si="26"/>
        <v>0</v>
      </c>
      <c r="CP120" s="10"/>
      <c r="CQ120" s="6"/>
      <c r="CR120" s="31"/>
      <c r="CS120" s="124"/>
      <c r="CT120" s="124"/>
      <c r="CU120" s="31"/>
      <c r="CV120" s="124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</row>
    <row r="121" spans="1:126" ht="15" customHeight="1" x14ac:dyDescent="0.3">
      <c r="A121" s="134">
        <v>88</v>
      </c>
      <c r="B121" s="35" t="s">
        <v>343</v>
      </c>
      <c r="C121" s="14">
        <v>7098033</v>
      </c>
      <c r="D121" s="14" t="s">
        <v>378</v>
      </c>
      <c r="E121" s="15" t="s">
        <v>379</v>
      </c>
      <c r="F121" s="167">
        <v>1</v>
      </c>
      <c r="G121" s="25">
        <v>0</v>
      </c>
      <c r="H121" s="9">
        <v>0</v>
      </c>
      <c r="I121" s="26">
        <v>0</v>
      </c>
      <c r="J121" s="30">
        <v>0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  <c r="P121" s="158">
        <v>0</v>
      </c>
      <c r="Q121" s="158">
        <v>0</v>
      </c>
      <c r="R121" s="158">
        <v>0</v>
      </c>
      <c r="S121" s="158">
        <v>0</v>
      </c>
      <c r="T121" s="158">
        <v>0</v>
      </c>
      <c r="U121" s="158">
        <v>0</v>
      </c>
      <c r="V121" s="29">
        <v>0</v>
      </c>
      <c r="W121" s="29">
        <v>0</v>
      </c>
      <c r="X121" s="159">
        <v>0</v>
      </c>
      <c r="Y121" s="159">
        <v>0</v>
      </c>
      <c r="Z121" s="29">
        <v>0</v>
      </c>
      <c r="AA121" s="29">
        <v>0</v>
      </c>
      <c r="AB121" s="29">
        <v>0</v>
      </c>
      <c r="AC121" s="29">
        <v>0</v>
      </c>
      <c r="AD121" s="29">
        <v>0</v>
      </c>
      <c r="AE121" s="159">
        <v>0</v>
      </c>
      <c r="AF121" s="159">
        <v>0</v>
      </c>
      <c r="AG121" s="160">
        <v>0</v>
      </c>
      <c r="AH121" s="160">
        <v>0</v>
      </c>
      <c r="AI121" s="160">
        <v>0</v>
      </c>
      <c r="AJ121" s="160">
        <v>0</v>
      </c>
      <c r="AK121" s="29">
        <v>0</v>
      </c>
      <c r="AL121" s="29">
        <v>0</v>
      </c>
      <c r="AM121" s="29">
        <v>0</v>
      </c>
      <c r="AN121" s="29">
        <v>0</v>
      </c>
      <c r="AO121" s="29">
        <v>0</v>
      </c>
      <c r="AP121" s="160">
        <v>0</v>
      </c>
      <c r="AQ121" s="161">
        <v>0</v>
      </c>
      <c r="AR121" s="161">
        <v>0</v>
      </c>
      <c r="AS121" s="161">
        <v>0</v>
      </c>
      <c r="AT121" s="161">
        <v>0</v>
      </c>
      <c r="AU121" s="161">
        <v>0</v>
      </c>
      <c r="AV121" s="161">
        <v>0</v>
      </c>
      <c r="AW121" s="161">
        <v>0</v>
      </c>
      <c r="AX121" s="162">
        <v>0</v>
      </c>
      <c r="AY121" s="162">
        <v>0</v>
      </c>
      <c r="AZ121" s="162">
        <v>0</v>
      </c>
      <c r="BA121" s="162">
        <v>0</v>
      </c>
      <c r="BB121" s="32"/>
      <c r="BC121" s="63"/>
      <c r="BD121" s="63">
        <f t="shared" si="18"/>
        <v>0</v>
      </c>
      <c r="BE121" s="63"/>
      <c r="BF121" s="32"/>
      <c r="BG121" s="32"/>
      <c r="BH121" s="63"/>
      <c r="BI121" s="64">
        <f t="shared" si="19"/>
        <v>0</v>
      </c>
      <c r="BJ121" s="63"/>
      <c r="BK121" s="32"/>
      <c r="BL121" s="32"/>
      <c r="BM121" s="33"/>
      <c r="BN121" s="33">
        <f t="shared" si="20"/>
        <v>0</v>
      </c>
      <c r="BO121" s="33"/>
      <c r="BP121" s="32"/>
      <c r="BQ121" s="32"/>
      <c r="BR121" s="33"/>
      <c r="BS121" s="33">
        <f t="shared" si="21"/>
        <v>0</v>
      </c>
      <c r="BT121" s="33"/>
      <c r="BU121" s="32"/>
      <c r="BV121" s="32"/>
      <c r="BW121" s="63"/>
      <c r="BX121" s="63">
        <f t="shared" si="22"/>
        <v>0</v>
      </c>
      <c r="BY121" s="63"/>
      <c r="BZ121" s="32"/>
      <c r="CA121" s="32"/>
      <c r="CB121" s="33"/>
      <c r="CC121" s="33">
        <f t="shared" si="23"/>
        <v>0</v>
      </c>
      <c r="CD121" s="33"/>
      <c r="CE121" s="32"/>
      <c r="CF121" s="33"/>
      <c r="CG121" s="33">
        <f t="shared" si="24"/>
        <v>0</v>
      </c>
      <c r="CH121" s="33"/>
      <c r="CI121" s="32"/>
      <c r="CJ121" s="33"/>
      <c r="CK121" s="33">
        <f t="shared" si="25"/>
        <v>0</v>
      </c>
      <c r="CL121" s="33"/>
      <c r="CM121" s="32"/>
      <c r="CN121" s="23"/>
      <c r="CO121" s="5">
        <f t="shared" si="26"/>
        <v>0</v>
      </c>
      <c r="CP121" s="10"/>
      <c r="CQ121" s="6"/>
      <c r="CR121" s="31"/>
      <c r="CS121" s="124"/>
      <c r="CT121" s="124"/>
      <c r="CU121" s="31"/>
      <c r="CV121" s="124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</row>
    <row r="122" spans="1:126" ht="15" customHeight="1" x14ac:dyDescent="0.3">
      <c r="A122" s="134">
        <v>52</v>
      </c>
      <c r="B122" s="42" t="s">
        <v>343</v>
      </c>
      <c r="C122" s="14">
        <v>7077473</v>
      </c>
      <c r="D122" s="14" t="s">
        <v>125</v>
      </c>
      <c r="E122" s="15" t="s">
        <v>55</v>
      </c>
      <c r="F122" s="167">
        <v>1</v>
      </c>
      <c r="G122" s="25">
        <v>0</v>
      </c>
      <c r="H122" s="9">
        <v>0</v>
      </c>
      <c r="I122" s="26">
        <v>0</v>
      </c>
      <c r="J122" s="30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158">
        <v>0</v>
      </c>
      <c r="Q122" s="158">
        <v>0</v>
      </c>
      <c r="R122" s="158">
        <v>0</v>
      </c>
      <c r="S122" s="158">
        <v>0</v>
      </c>
      <c r="T122" s="158">
        <v>0</v>
      </c>
      <c r="U122" s="158">
        <v>0</v>
      </c>
      <c r="V122" s="29">
        <v>0</v>
      </c>
      <c r="W122" s="29">
        <v>0</v>
      </c>
      <c r="X122" s="159">
        <v>0</v>
      </c>
      <c r="Y122" s="15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159">
        <v>0</v>
      </c>
      <c r="AF122" s="159">
        <v>0</v>
      </c>
      <c r="AG122" s="160">
        <v>0</v>
      </c>
      <c r="AH122" s="160">
        <v>0</v>
      </c>
      <c r="AI122" s="160">
        <v>0</v>
      </c>
      <c r="AJ122" s="160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160">
        <v>0</v>
      </c>
      <c r="AQ122" s="161">
        <v>0</v>
      </c>
      <c r="AR122" s="161">
        <v>0</v>
      </c>
      <c r="AS122" s="161">
        <v>0</v>
      </c>
      <c r="AT122" s="161">
        <v>0</v>
      </c>
      <c r="AU122" s="161">
        <v>0</v>
      </c>
      <c r="AV122" s="161">
        <v>0</v>
      </c>
      <c r="AW122" s="161">
        <v>0</v>
      </c>
      <c r="AX122" s="162">
        <v>0</v>
      </c>
      <c r="AY122" s="162">
        <v>0</v>
      </c>
      <c r="AZ122" s="162">
        <v>0</v>
      </c>
      <c r="BA122" s="162">
        <v>0</v>
      </c>
      <c r="BB122" s="32"/>
      <c r="BC122" s="63"/>
      <c r="BD122" s="63">
        <f t="shared" si="18"/>
        <v>0</v>
      </c>
      <c r="BE122" s="63"/>
      <c r="BF122" s="32"/>
      <c r="BG122" s="32"/>
      <c r="BH122" s="63"/>
      <c r="BI122" s="64">
        <f t="shared" si="19"/>
        <v>0</v>
      </c>
      <c r="BJ122" s="63"/>
      <c r="BK122" s="32"/>
      <c r="BL122" s="32"/>
      <c r="BM122" s="33"/>
      <c r="BN122" s="33">
        <f t="shared" si="20"/>
        <v>0</v>
      </c>
      <c r="BO122" s="33"/>
      <c r="BP122" s="32"/>
      <c r="BQ122" s="32"/>
      <c r="BR122" s="33"/>
      <c r="BS122" s="33">
        <f t="shared" si="21"/>
        <v>0</v>
      </c>
      <c r="BT122" s="33"/>
      <c r="BU122" s="32"/>
      <c r="BV122" s="32"/>
      <c r="BW122" s="63"/>
      <c r="BX122" s="63">
        <f t="shared" si="22"/>
        <v>0</v>
      </c>
      <c r="BY122" s="63"/>
      <c r="BZ122" s="32"/>
      <c r="CA122" s="32"/>
      <c r="CB122" s="33"/>
      <c r="CC122" s="33">
        <f t="shared" si="23"/>
        <v>0</v>
      </c>
      <c r="CD122" s="33"/>
      <c r="CE122" s="32"/>
      <c r="CF122" s="33"/>
      <c r="CG122" s="33">
        <f t="shared" si="24"/>
        <v>0</v>
      </c>
      <c r="CH122" s="33"/>
      <c r="CI122" s="32"/>
      <c r="CJ122" s="33"/>
      <c r="CK122" s="33">
        <f t="shared" si="25"/>
        <v>0</v>
      </c>
      <c r="CL122" s="33"/>
      <c r="CM122" s="32"/>
      <c r="CN122" s="23"/>
      <c r="CO122" s="5">
        <f t="shared" si="26"/>
        <v>0</v>
      </c>
      <c r="CP122" s="10"/>
      <c r="CQ122" s="6"/>
      <c r="CR122" s="31"/>
      <c r="CS122" s="124"/>
      <c r="CT122" s="124"/>
      <c r="CU122" s="31"/>
      <c r="CV122" s="124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</row>
    <row r="123" spans="1:126" ht="15" customHeight="1" x14ac:dyDescent="0.3">
      <c r="A123" s="43">
        <v>270</v>
      </c>
      <c r="B123" s="38" t="s">
        <v>521</v>
      </c>
      <c r="C123" s="36">
        <v>7402698</v>
      </c>
      <c r="D123" s="36" t="s">
        <v>507</v>
      </c>
      <c r="E123" s="137" t="s">
        <v>508</v>
      </c>
      <c r="F123" s="167">
        <v>1</v>
      </c>
      <c r="G123" s="25">
        <v>0</v>
      </c>
      <c r="H123" s="9">
        <v>0</v>
      </c>
      <c r="I123" s="26">
        <v>0</v>
      </c>
      <c r="J123" s="30">
        <v>0</v>
      </c>
      <c r="K123" s="29">
        <v>1</v>
      </c>
      <c r="L123" s="29">
        <v>0</v>
      </c>
      <c r="M123" s="29">
        <v>0</v>
      </c>
      <c r="N123" s="29">
        <v>0</v>
      </c>
      <c r="O123" s="29">
        <v>0</v>
      </c>
      <c r="P123" s="158">
        <v>0</v>
      </c>
      <c r="Q123" s="158">
        <v>1</v>
      </c>
      <c r="R123" s="158">
        <v>1</v>
      </c>
      <c r="S123" s="158">
        <v>0</v>
      </c>
      <c r="T123" s="158">
        <v>0</v>
      </c>
      <c r="U123" s="158">
        <v>0</v>
      </c>
      <c r="V123" s="29">
        <v>0</v>
      </c>
      <c r="W123" s="29">
        <v>0</v>
      </c>
      <c r="X123" s="159">
        <v>0</v>
      </c>
      <c r="Y123" s="159">
        <v>0</v>
      </c>
      <c r="Z123" s="29">
        <v>0</v>
      </c>
      <c r="AA123" s="29">
        <v>0</v>
      </c>
      <c r="AB123" s="29">
        <v>0</v>
      </c>
      <c r="AC123" s="29">
        <v>0</v>
      </c>
      <c r="AD123" s="29">
        <v>0</v>
      </c>
      <c r="AE123" s="159">
        <v>0</v>
      </c>
      <c r="AF123" s="159">
        <v>0</v>
      </c>
      <c r="AG123" s="160">
        <v>0</v>
      </c>
      <c r="AH123" s="160">
        <v>0</v>
      </c>
      <c r="AI123" s="160">
        <v>0</v>
      </c>
      <c r="AJ123" s="160">
        <v>0</v>
      </c>
      <c r="AK123" s="29">
        <v>0</v>
      </c>
      <c r="AL123" s="29">
        <v>0</v>
      </c>
      <c r="AM123" s="29">
        <v>0</v>
      </c>
      <c r="AN123" s="29">
        <v>0</v>
      </c>
      <c r="AO123" s="29">
        <v>0</v>
      </c>
      <c r="AP123" s="160">
        <v>0</v>
      </c>
      <c r="AQ123" s="161">
        <v>0</v>
      </c>
      <c r="AR123" s="161">
        <v>0</v>
      </c>
      <c r="AS123" s="161">
        <v>0</v>
      </c>
      <c r="AT123" s="161">
        <v>0</v>
      </c>
      <c r="AU123" s="161">
        <v>0</v>
      </c>
      <c r="AV123" s="161">
        <v>0</v>
      </c>
      <c r="AW123" s="161">
        <v>0</v>
      </c>
      <c r="AX123" s="162">
        <v>0</v>
      </c>
      <c r="AY123" s="162">
        <v>0</v>
      </c>
      <c r="AZ123" s="162">
        <v>0</v>
      </c>
      <c r="BA123" s="162">
        <v>1</v>
      </c>
      <c r="BB123" s="32"/>
      <c r="BC123" s="63"/>
      <c r="BD123" s="63">
        <f t="shared" si="18"/>
        <v>0</v>
      </c>
      <c r="BE123" s="63"/>
      <c r="BF123" s="32"/>
      <c r="BG123" s="32"/>
      <c r="BH123" s="63"/>
      <c r="BI123" s="64">
        <f t="shared" si="19"/>
        <v>0</v>
      </c>
      <c r="BJ123" s="63"/>
      <c r="BK123" s="32"/>
      <c r="BL123" s="32"/>
      <c r="BM123" s="33"/>
      <c r="BN123" s="33">
        <f t="shared" si="20"/>
        <v>0</v>
      </c>
      <c r="BO123" s="33"/>
      <c r="BP123" s="32"/>
      <c r="BQ123" s="32"/>
      <c r="BR123" s="33"/>
      <c r="BS123" s="33">
        <f t="shared" si="21"/>
        <v>0</v>
      </c>
      <c r="BT123" s="33"/>
      <c r="BU123" s="32"/>
      <c r="BV123" s="32"/>
      <c r="BW123" s="63"/>
      <c r="BX123" s="63">
        <f t="shared" si="22"/>
        <v>0</v>
      </c>
      <c r="BY123" s="63"/>
      <c r="BZ123" s="32"/>
      <c r="CA123" s="32"/>
      <c r="CB123" s="33"/>
      <c r="CC123" s="33">
        <f t="shared" si="23"/>
        <v>0</v>
      </c>
      <c r="CD123" s="33"/>
      <c r="CE123" s="32"/>
      <c r="CF123" s="33"/>
      <c r="CG123" s="33">
        <f t="shared" si="24"/>
        <v>0</v>
      </c>
      <c r="CH123" s="33"/>
      <c r="CI123" s="32"/>
      <c r="CJ123" s="33"/>
      <c r="CK123" s="33">
        <f t="shared" si="25"/>
        <v>0</v>
      </c>
      <c r="CL123" s="33"/>
      <c r="CM123" s="32"/>
      <c r="CN123" s="23"/>
      <c r="CO123" s="5">
        <f t="shared" si="26"/>
        <v>0</v>
      </c>
      <c r="CP123" s="10"/>
      <c r="CQ123" s="6"/>
      <c r="CR123" s="31"/>
      <c r="CS123" s="124"/>
      <c r="CT123" s="124"/>
      <c r="CU123" s="31"/>
      <c r="CV123" s="124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</row>
    <row r="124" spans="1:126" ht="15" customHeight="1" x14ac:dyDescent="0.3">
      <c r="A124" s="134">
        <v>18</v>
      </c>
      <c r="B124" s="35" t="s">
        <v>397</v>
      </c>
      <c r="C124" s="16">
        <v>7051890</v>
      </c>
      <c r="D124" s="14" t="s">
        <v>126</v>
      </c>
      <c r="E124" s="15" t="s">
        <v>127</v>
      </c>
      <c r="F124" s="167">
        <v>1</v>
      </c>
      <c r="G124" s="25">
        <v>0</v>
      </c>
      <c r="H124" s="9">
        <v>0</v>
      </c>
      <c r="I124" s="26">
        <v>0</v>
      </c>
      <c r="J124" s="30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158">
        <v>0</v>
      </c>
      <c r="Q124" s="158">
        <v>0</v>
      </c>
      <c r="R124" s="158">
        <v>0</v>
      </c>
      <c r="S124" s="158">
        <v>0</v>
      </c>
      <c r="T124" s="158">
        <v>0</v>
      </c>
      <c r="U124" s="158">
        <v>0</v>
      </c>
      <c r="V124" s="29">
        <v>0</v>
      </c>
      <c r="W124" s="29">
        <v>0</v>
      </c>
      <c r="X124" s="159">
        <v>0</v>
      </c>
      <c r="Y124" s="15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159">
        <v>1</v>
      </c>
      <c r="AF124" s="159">
        <v>1</v>
      </c>
      <c r="AG124" s="160">
        <v>1</v>
      </c>
      <c r="AH124" s="160">
        <v>0</v>
      </c>
      <c r="AI124" s="160">
        <v>0</v>
      </c>
      <c r="AJ124" s="160">
        <v>0</v>
      </c>
      <c r="AK124" s="29">
        <v>1</v>
      </c>
      <c r="AL124" s="29">
        <v>0</v>
      </c>
      <c r="AM124" s="29">
        <v>0</v>
      </c>
      <c r="AN124" s="29">
        <v>1</v>
      </c>
      <c r="AO124" s="29">
        <v>1</v>
      </c>
      <c r="AP124" s="160">
        <v>1</v>
      </c>
      <c r="AQ124" s="161">
        <v>0</v>
      </c>
      <c r="AR124" s="161">
        <v>0</v>
      </c>
      <c r="AS124" s="161">
        <v>0</v>
      </c>
      <c r="AT124" s="161">
        <v>0</v>
      </c>
      <c r="AU124" s="161">
        <v>0</v>
      </c>
      <c r="AV124" s="161">
        <v>0</v>
      </c>
      <c r="AW124" s="161">
        <v>0</v>
      </c>
      <c r="AX124" s="162">
        <v>0</v>
      </c>
      <c r="AY124" s="162">
        <v>0</v>
      </c>
      <c r="AZ124" s="162">
        <v>0</v>
      </c>
      <c r="BA124" s="162">
        <v>0</v>
      </c>
      <c r="BB124" s="32"/>
      <c r="BC124" s="63"/>
      <c r="BD124" s="63">
        <f t="shared" si="18"/>
        <v>0</v>
      </c>
      <c r="BE124" s="63"/>
      <c r="BF124" s="32"/>
      <c r="BG124" s="32"/>
      <c r="BH124" s="63"/>
      <c r="BI124" s="64">
        <f t="shared" si="19"/>
        <v>0</v>
      </c>
      <c r="BJ124" s="63"/>
      <c r="BK124" s="32"/>
      <c r="BL124" s="32"/>
      <c r="BM124" s="33"/>
      <c r="BN124" s="33">
        <f t="shared" si="20"/>
        <v>0</v>
      </c>
      <c r="BO124" s="33"/>
      <c r="BP124" s="32"/>
      <c r="BQ124" s="32"/>
      <c r="BR124" s="33"/>
      <c r="BS124" s="33">
        <f t="shared" si="21"/>
        <v>0</v>
      </c>
      <c r="BT124" s="33"/>
      <c r="BU124" s="32"/>
      <c r="BV124" s="32"/>
      <c r="BW124" s="63"/>
      <c r="BX124" s="63">
        <f t="shared" si="22"/>
        <v>0</v>
      </c>
      <c r="BY124" s="63"/>
      <c r="BZ124" s="32"/>
      <c r="CA124" s="32"/>
      <c r="CB124" s="33"/>
      <c r="CC124" s="33">
        <f t="shared" si="23"/>
        <v>0</v>
      </c>
      <c r="CD124" s="33"/>
      <c r="CE124" s="32"/>
      <c r="CF124" s="33"/>
      <c r="CG124" s="33">
        <f t="shared" si="24"/>
        <v>0</v>
      </c>
      <c r="CH124" s="33"/>
      <c r="CI124" s="32"/>
      <c r="CJ124" s="33"/>
      <c r="CK124" s="33">
        <f t="shared" si="25"/>
        <v>0</v>
      </c>
      <c r="CL124" s="33"/>
      <c r="CM124" s="32"/>
      <c r="CN124" s="23"/>
      <c r="CO124" s="5">
        <f t="shared" si="26"/>
        <v>0</v>
      </c>
      <c r="CP124" s="10"/>
      <c r="CQ124" s="6"/>
      <c r="CR124" s="31"/>
      <c r="CS124" s="124"/>
      <c r="CT124" s="124"/>
      <c r="CU124" s="31"/>
      <c r="CV124" s="124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</row>
    <row r="125" spans="1:126" ht="15" customHeight="1" x14ac:dyDescent="0.3">
      <c r="A125" s="134">
        <v>131</v>
      </c>
      <c r="B125" s="35" t="s">
        <v>200</v>
      </c>
      <c r="C125" s="14">
        <v>7403357</v>
      </c>
      <c r="D125" s="14" t="s">
        <v>448</v>
      </c>
      <c r="E125" s="163" t="s">
        <v>449</v>
      </c>
      <c r="F125" s="167">
        <v>1</v>
      </c>
      <c r="G125" s="25">
        <v>0</v>
      </c>
      <c r="H125" s="9">
        <v>0</v>
      </c>
      <c r="I125" s="26">
        <v>0</v>
      </c>
      <c r="J125" s="30">
        <v>0</v>
      </c>
      <c r="K125" s="29">
        <v>1</v>
      </c>
      <c r="L125" s="29">
        <v>0</v>
      </c>
      <c r="M125" s="29">
        <v>0</v>
      </c>
      <c r="N125" s="29">
        <v>1</v>
      </c>
      <c r="O125" s="29">
        <v>1</v>
      </c>
      <c r="P125" s="158">
        <v>1</v>
      </c>
      <c r="Q125" s="158">
        <v>1</v>
      </c>
      <c r="R125" s="158">
        <v>0</v>
      </c>
      <c r="S125" s="158">
        <v>0</v>
      </c>
      <c r="T125" s="158">
        <v>0</v>
      </c>
      <c r="U125" s="158">
        <v>0</v>
      </c>
      <c r="V125" s="29">
        <v>0</v>
      </c>
      <c r="W125" s="29">
        <v>0</v>
      </c>
      <c r="X125" s="159">
        <v>0</v>
      </c>
      <c r="Y125" s="159">
        <v>0</v>
      </c>
      <c r="Z125" s="29">
        <v>0</v>
      </c>
      <c r="AA125" s="29">
        <v>0</v>
      </c>
      <c r="AB125" s="29">
        <v>0</v>
      </c>
      <c r="AC125" s="29">
        <v>0</v>
      </c>
      <c r="AD125" s="29">
        <v>0</v>
      </c>
      <c r="AE125" s="159">
        <v>0</v>
      </c>
      <c r="AF125" s="159">
        <v>0</v>
      </c>
      <c r="AG125" s="160">
        <v>0</v>
      </c>
      <c r="AH125" s="160">
        <v>0</v>
      </c>
      <c r="AI125" s="160">
        <v>0</v>
      </c>
      <c r="AJ125" s="160">
        <v>0</v>
      </c>
      <c r="AK125" s="29">
        <v>0</v>
      </c>
      <c r="AL125" s="29">
        <v>0</v>
      </c>
      <c r="AM125" s="29">
        <v>0</v>
      </c>
      <c r="AN125" s="29">
        <v>0</v>
      </c>
      <c r="AO125" s="29">
        <v>0</v>
      </c>
      <c r="AP125" s="160">
        <v>0</v>
      </c>
      <c r="AQ125" s="161">
        <v>0</v>
      </c>
      <c r="AR125" s="161">
        <v>0</v>
      </c>
      <c r="AS125" s="161">
        <v>0</v>
      </c>
      <c r="AT125" s="161">
        <v>0</v>
      </c>
      <c r="AU125" s="161">
        <v>0</v>
      </c>
      <c r="AV125" s="161">
        <v>0</v>
      </c>
      <c r="AW125" s="161">
        <v>0</v>
      </c>
      <c r="AX125" s="162">
        <v>0</v>
      </c>
      <c r="AY125" s="162">
        <v>1</v>
      </c>
      <c r="AZ125" s="162">
        <v>1</v>
      </c>
      <c r="BA125" s="162">
        <v>0</v>
      </c>
      <c r="BB125" s="32"/>
      <c r="BC125" s="63"/>
      <c r="BD125" s="63">
        <f t="shared" si="18"/>
        <v>0</v>
      </c>
      <c r="BE125" s="63"/>
      <c r="BF125" s="32"/>
      <c r="BG125" s="32"/>
      <c r="BH125" s="63"/>
      <c r="BI125" s="64">
        <f t="shared" si="19"/>
        <v>0</v>
      </c>
      <c r="BJ125" s="63"/>
      <c r="BK125" s="32"/>
      <c r="BL125" s="32"/>
      <c r="BM125" s="33"/>
      <c r="BN125" s="33">
        <f t="shared" si="20"/>
        <v>0</v>
      </c>
      <c r="BO125" s="33"/>
      <c r="BP125" s="32"/>
      <c r="BQ125" s="32"/>
      <c r="BR125" s="33"/>
      <c r="BS125" s="33">
        <f t="shared" si="21"/>
        <v>0</v>
      </c>
      <c r="BT125" s="33"/>
      <c r="BU125" s="32"/>
      <c r="BV125" s="32"/>
      <c r="BW125" s="63"/>
      <c r="BX125" s="63">
        <f t="shared" si="22"/>
        <v>0</v>
      </c>
      <c r="BY125" s="63"/>
      <c r="BZ125" s="32"/>
      <c r="CA125" s="32"/>
      <c r="CB125" s="33"/>
      <c r="CC125" s="33">
        <f t="shared" si="23"/>
        <v>0</v>
      </c>
      <c r="CD125" s="33"/>
      <c r="CE125" s="32"/>
      <c r="CF125" s="33"/>
      <c r="CG125" s="33">
        <f t="shared" si="24"/>
        <v>0</v>
      </c>
      <c r="CH125" s="33"/>
      <c r="CI125" s="32"/>
      <c r="CJ125" s="33"/>
      <c r="CK125" s="33">
        <f t="shared" si="25"/>
        <v>0</v>
      </c>
      <c r="CL125" s="33"/>
      <c r="CM125" s="32"/>
      <c r="CN125" s="23"/>
      <c r="CO125" s="5">
        <f t="shared" si="26"/>
        <v>0</v>
      </c>
      <c r="CP125" s="10"/>
      <c r="CQ125" s="6"/>
      <c r="CR125" s="31"/>
      <c r="CS125" s="124"/>
      <c r="CT125" s="124"/>
      <c r="CU125" s="31"/>
      <c r="CV125" s="124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</row>
    <row r="126" spans="1:126" ht="15" customHeight="1" x14ac:dyDescent="0.3">
      <c r="A126" s="134">
        <v>72</v>
      </c>
      <c r="B126" s="34" t="s">
        <v>397</v>
      </c>
      <c r="C126" s="14">
        <v>7094183</v>
      </c>
      <c r="D126" s="14" t="s">
        <v>189</v>
      </c>
      <c r="E126" s="15" t="s">
        <v>118</v>
      </c>
      <c r="F126" s="167">
        <v>1</v>
      </c>
      <c r="G126" s="25">
        <v>0</v>
      </c>
      <c r="H126" s="9">
        <v>0</v>
      </c>
      <c r="I126" s="26">
        <v>0</v>
      </c>
      <c r="J126" s="30">
        <v>0</v>
      </c>
      <c r="K126" s="29">
        <v>1</v>
      </c>
      <c r="L126" s="29">
        <v>0</v>
      </c>
      <c r="M126" s="29">
        <v>0</v>
      </c>
      <c r="N126" s="29">
        <v>0</v>
      </c>
      <c r="O126" s="29">
        <v>0</v>
      </c>
      <c r="P126" s="158">
        <v>0</v>
      </c>
      <c r="Q126" s="158">
        <v>1</v>
      </c>
      <c r="R126" s="158">
        <v>0</v>
      </c>
      <c r="S126" s="158">
        <v>0</v>
      </c>
      <c r="T126" s="158">
        <v>0</v>
      </c>
      <c r="U126" s="158">
        <v>0</v>
      </c>
      <c r="V126" s="29">
        <v>0</v>
      </c>
      <c r="W126" s="29">
        <v>0</v>
      </c>
      <c r="X126" s="159">
        <v>0</v>
      </c>
      <c r="Y126" s="159">
        <v>1</v>
      </c>
      <c r="Z126" s="29">
        <v>0</v>
      </c>
      <c r="AA126" s="29">
        <v>0</v>
      </c>
      <c r="AB126" s="29">
        <v>0</v>
      </c>
      <c r="AC126" s="29">
        <v>0</v>
      </c>
      <c r="AD126" s="29">
        <v>1</v>
      </c>
      <c r="AE126" s="159">
        <v>1</v>
      </c>
      <c r="AF126" s="159">
        <v>1</v>
      </c>
      <c r="AG126" s="160">
        <v>0</v>
      </c>
      <c r="AH126" s="160">
        <v>0</v>
      </c>
      <c r="AI126" s="160">
        <v>0</v>
      </c>
      <c r="AJ126" s="160">
        <v>0</v>
      </c>
      <c r="AK126" s="29">
        <v>0</v>
      </c>
      <c r="AL126" s="29">
        <v>1</v>
      </c>
      <c r="AM126" s="29">
        <v>0</v>
      </c>
      <c r="AN126" s="29">
        <v>1</v>
      </c>
      <c r="AO126" s="29">
        <v>1</v>
      </c>
      <c r="AP126" s="160">
        <v>0</v>
      </c>
      <c r="AQ126" s="161">
        <v>0</v>
      </c>
      <c r="AR126" s="161">
        <v>0</v>
      </c>
      <c r="AS126" s="161">
        <v>0</v>
      </c>
      <c r="AT126" s="161">
        <v>0</v>
      </c>
      <c r="AU126" s="161">
        <v>0</v>
      </c>
      <c r="AV126" s="161">
        <v>0</v>
      </c>
      <c r="AW126" s="161">
        <v>0</v>
      </c>
      <c r="AX126" s="162">
        <v>0</v>
      </c>
      <c r="AY126" s="162">
        <v>0</v>
      </c>
      <c r="AZ126" s="162">
        <v>0</v>
      </c>
      <c r="BA126" s="162">
        <v>0</v>
      </c>
      <c r="BB126" s="32"/>
      <c r="BC126" s="63"/>
      <c r="BD126" s="63">
        <f t="shared" si="18"/>
        <v>0</v>
      </c>
      <c r="BE126" s="63"/>
      <c r="BF126" s="32"/>
      <c r="BG126" s="32"/>
      <c r="BH126" s="63"/>
      <c r="BI126" s="64">
        <f t="shared" si="19"/>
        <v>0</v>
      </c>
      <c r="BJ126" s="63"/>
      <c r="BK126" s="32"/>
      <c r="BL126" s="32"/>
      <c r="BM126" s="33"/>
      <c r="BN126" s="33">
        <f t="shared" si="20"/>
        <v>0</v>
      </c>
      <c r="BO126" s="33"/>
      <c r="BP126" s="32"/>
      <c r="BQ126" s="32"/>
      <c r="BR126" s="33"/>
      <c r="BS126" s="33">
        <f t="shared" si="21"/>
        <v>0</v>
      </c>
      <c r="BT126" s="33"/>
      <c r="BU126" s="32"/>
      <c r="BV126" s="32"/>
      <c r="BW126" s="63"/>
      <c r="BX126" s="63">
        <f t="shared" si="22"/>
        <v>0</v>
      </c>
      <c r="BY126" s="63"/>
      <c r="BZ126" s="32"/>
      <c r="CA126" s="32"/>
      <c r="CB126" s="33"/>
      <c r="CC126" s="33">
        <f t="shared" si="23"/>
        <v>0</v>
      </c>
      <c r="CD126" s="33"/>
      <c r="CE126" s="32"/>
      <c r="CF126" s="33"/>
      <c r="CG126" s="33">
        <f t="shared" si="24"/>
        <v>0</v>
      </c>
      <c r="CH126" s="33"/>
      <c r="CI126" s="32"/>
      <c r="CJ126" s="33"/>
      <c r="CK126" s="33">
        <f t="shared" si="25"/>
        <v>0</v>
      </c>
      <c r="CL126" s="33"/>
      <c r="CM126" s="32"/>
      <c r="CN126" s="23"/>
      <c r="CO126" s="5">
        <f t="shared" si="26"/>
        <v>0</v>
      </c>
      <c r="CP126" s="10"/>
      <c r="CQ126" s="6"/>
      <c r="CR126" s="31"/>
      <c r="CS126" s="124"/>
      <c r="CT126" s="124"/>
      <c r="CU126" s="31"/>
      <c r="CV126" s="124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</row>
    <row r="127" spans="1:126" ht="15" customHeight="1" x14ac:dyDescent="0.3">
      <c r="A127" s="134">
        <v>137</v>
      </c>
      <c r="B127" s="34" t="s">
        <v>455</v>
      </c>
      <c r="C127" s="14">
        <v>7095864</v>
      </c>
      <c r="D127" s="14" t="s">
        <v>469</v>
      </c>
      <c r="E127" s="14" t="s">
        <v>470</v>
      </c>
      <c r="F127" s="167">
        <v>1</v>
      </c>
      <c r="G127" s="25">
        <v>0</v>
      </c>
      <c r="H127" s="9">
        <v>0</v>
      </c>
      <c r="I127" s="26">
        <v>0</v>
      </c>
      <c r="J127" s="30">
        <v>0</v>
      </c>
      <c r="K127" s="29">
        <v>1</v>
      </c>
      <c r="L127" s="29">
        <v>0</v>
      </c>
      <c r="M127" s="29">
        <v>0</v>
      </c>
      <c r="N127" s="29">
        <v>0</v>
      </c>
      <c r="O127" s="29">
        <v>0</v>
      </c>
      <c r="P127" s="158">
        <v>0</v>
      </c>
      <c r="Q127" s="158">
        <v>0</v>
      </c>
      <c r="R127" s="158">
        <v>0</v>
      </c>
      <c r="S127" s="158">
        <v>0</v>
      </c>
      <c r="T127" s="158">
        <v>0</v>
      </c>
      <c r="U127" s="158">
        <v>0</v>
      </c>
      <c r="V127" s="29">
        <v>0</v>
      </c>
      <c r="W127" s="29">
        <v>0</v>
      </c>
      <c r="X127" s="159">
        <v>0</v>
      </c>
      <c r="Y127" s="159">
        <v>0</v>
      </c>
      <c r="Z127" s="29">
        <v>0</v>
      </c>
      <c r="AA127" s="29">
        <v>0</v>
      </c>
      <c r="AB127" s="29">
        <v>1</v>
      </c>
      <c r="AC127" s="29">
        <v>0</v>
      </c>
      <c r="AD127" s="29">
        <v>0</v>
      </c>
      <c r="AE127" s="159">
        <v>0</v>
      </c>
      <c r="AF127" s="159">
        <v>1</v>
      </c>
      <c r="AG127" s="160">
        <v>0</v>
      </c>
      <c r="AH127" s="160">
        <v>0</v>
      </c>
      <c r="AI127" s="160">
        <v>0</v>
      </c>
      <c r="AJ127" s="160">
        <v>0</v>
      </c>
      <c r="AK127" s="29">
        <v>0</v>
      </c>
      <c r="AL127" s="29">
        <v>0</v>
      </c>
      <c r="AM127" s="29">
        <v>0</v>
      </c>
      <c r="AN127" s="29">
        <v>0</v>
      </c>
      <c r="AO127" s="29">
        <v>0</v>
      </c>
      <c r="AP127" s="160">
        <v>0</v>
      </c>
      <c r="AQ127" s="161">
        <v>0</v>
      </c>
      <c r="AR127" s="161">
        <v>0</v>
      </c>
      <c r="AS127" s="161">
        <v>0</v>
      </c>
      <c r="AT127" s="161">
        <v>0</v>
      </c>
      <c r="AU127" s="161">
        <v>0</v>
      </c>
      <c r="AV127" s="161">
        <v>0</v>
      </c>
      <c r="AW127" s="161">
        <v>0</v>
      </c>
      <c r="AX127" s="162">
        <v>0</v>
      </c>
      <c r="AY127" s="162">
        <v>0</v>
      </c>
      <c r="AZ127" s="162">
        <v>0</v>
      </c>
      <c r="BA127" s="162">
        <v>0</v>
      </c>
      <c r="BB127" s="32"/>
      <c r="BC127" s="63"/>
      <c r="BD127" s="63">
        <f t="shared" si="18"/>
        <v>0</v>
      </c>
      <c r="BE127" s="63"/>
      <c r="BF127" s="32"/>
      <c r="BG127" s="32"/>
      <c r="BH127" s="63"/>
      <c r="BI127" s="64">
        <f t="shared" si="19"/>
        <v>0</v>
      </c>
      <c r="BJ127" s="63"/>
      <c r="BK127" s="32"/>
      <c r="BL127" s="32"/>
      <c r="BM127" s="33"/>
      <c r="BN127" s="33">
        <f t="shared" si="20"/>
        <v>0</v>
      </c>
      <c r="BO127" s="33"/>
      <c r="BP127" s="32"/>
      <c r="BQ127" s="32"/>
      <c r="BR127" s="33"/>
      <c r="BS127" s="33">
        <f t="shared" si="21"/>
        <v>0</v>
      </c>
      <c r="BT127" s="33"/>
      <c r="BU127" s="32"/>
      <c r="BV127" s="32"/>
      <c r="BW127" s="63"/>
      <c r="BX127" s="63">
        <f t="shared" si="22"/>
        <v>0</v>
      </c>
      <c r="BY127" s="63"/>
      <c r="BZ127" s="32"/>
      <c r="CA127" s="32"/>
      <c r="CB127" s="33"/>
      <c r="CC127" s="33">
        <f t="shared" si="23"/>
        <v>0</v>
      </c>
      <c r="CD127" s="33"/>
      <c r="CE127" s="32"/>
      <c r="CF127" s="33"/>
      <c r="CG127" s="33">
        <f t="shared" si="24"/>
        <v>0</v>
      </c>
      <c r="CH127" s="33"/>
      <c r="CI127" s="32"/>
      <c r="CJ127" s="33"/>
      <c r="CK127" s="33">
        <f t="shared" si="25"/>
        <v>0</v>
      </c>
      <c r="CL127" s="33"/>
      <c r="CM127" s="32"/>
      <c r="CN127" s="23"/>
      <c r="CO127" s="5">
        <f t="shared" si="26"/>
        <v>0</v>
      </c>
      <c r="CP127" s="10"/>
      <c r="CQ127" s="6"/>
      <c r="CR127" s="31"/>
      <c r="CS127" s="124"/>
      <c r="CT127" s="124"/>
      <c r="CU127" s="31"/>
      <c r="CV127" s="124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</row>
    <row r="128" spans="1:126" ht="15" customHeight="1" x14ac:dyDescent="0.3">
      <c r="A128" s="134">
        <v>19</v>
      </c>
      <c r="B128" s="123" t="s">
        <v>43</v>
      </c>
      <c r="C128" s="14">
        <v>7045037</v>
      </c>
      <c r="D128" s="14" t="s">
        <v>128</v>
      </c>
      <c r="E128" s="15" t="s">
        <v>129</v>
      </c>
      <c r="F128" s="167">
        <v>1</v>
      </c>
      <c r="G128" s="25">
        <v>0</v>
      </c>
      <c r="H128" s="9">
        <v>0</v>
      </c>
      <c r="I128" s="26">
        <v>0</v>
      </c>
      <c r="J128" s="30">
        <v>0</v>
      </c>
      <c r="K128" s="29">
        <v>1</v>
      </c>
      <c r="L128" s="29">
        <v>0</v>
      </c>
      <c r="M128" s="29">
        <v>0</v>
      </c>
      <c r="N128" s="29">
        <v>0</v>
      </c>
      <c r="O128" s="29">
        <v>0</v>
      </c>
      <c r="P128" s="158">
        <v>0</v>
      </c>
      <c r="Q128" s="158">
        <v>1</v>
      </c>
      <c r="R128" s="158">
        <v>0</v>
      </c>
      <c r="S128" s="158">
        <v>0</v>
      </c>
      <c r="T128" s="158">
        <v>0</v>
      </c>
      <c r="U128" s="158">
        <v>0</v>
      </c>
      <c r="V128" s="29">
        <v>0</v>
      </c>
      <c r="W128" s="29">
        <v>0</v>
      </c>
      <c r="X128" s="159">
        <v>1</v>
      </c>
      <c r="Y128" s="159">
        <v>1</v>
      </c>
      <c r="Z128" s="29">
        <v>0</v>
      </c>
      <c r="AA128" s="29">
        <v>0</v>
      </c>
      <c r="AB128" s="29">
        <v>0</v>
      </c>
      <c r="AC128" s="29">
        <v>1</v>
      </c>
      <c r="AD128" s="29">
        <v>0</v>
      </c>
      <c r="AE128" s="159">
        <v>1</v>
      </c>
      <c r="AF128" s="159">
        <v>1</v>
      </c>
      <c r="AG128" s="160">
        <v>0</v>
      </c>
      <c r="AH128" s="160">
        <v>0</v>
      </c>
      <c r="AI128" s="160">
        <v>0</v>
      </c>
      <c r="AJ128" s="160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160">
        <v>0</v>
      </c>
      <c r="AQ128" s="161">
        <v>0</v>
      </c>
      <c r="AR128" s="161">
        <v>0</v>
      </c>
      <c r="AS128" s="161">
        <v>0</v>
      </c>
      <c r="AT128" s="161">
        <v>0</v>
      </c>
      <c r="AU128" s="161">
        <v>0</v>
      </c>
      <c r="AV128" s="161">
        <v>0</v>
      </c>
      <c r="AW128" s="161">
        <v>0</v>
      </c>
      <c r="AX128" s="162">
        <v>0</v>
      </c>
      <c r="AY128" s="162">
        <v>0</v>
      </c>
      <c r="AZ128" s="162">
        <v>0</v>
      </c>
      <c r="BA128" s="162">
        <v>1</v>
      </c>
      <c r="BB128" s="32"/>
      <c r="BC128" s="63"/>
      <c r="BD128" s="63">
        <f t="shared" si="18"/>
        <v>0</v>
      </c>
      <c r="BE128" s="63"/>
      <c r="BF128" s="32"/>
      <c r="BG128" s="32"/>
      <c r="BH128" s="63"/>
      <c r="BI128" s="64">
        <f t="shared" si="19"/>
        <v>0</v>
      </c>
      <c r="BJ128" s="63"/>
      <c r="BK128" s="32"/>
      <c r="BL128" s="32"/>
      <c r="BM128" s="33"/>
      <c r="BN128" s="33">
        <f t="shared" si="20"/>
        <v>0</v>
      </c>
      <c r="BO128" s="33"/>
      <c r="BP128" s="32"/>
      <c r="BQ128" s="32"/>
      <c r="BR128" s="33"/>
      <c r="BS128" s="33">
        <f t="shared" si="21"/>
        <v>0</v>
      </c>
      <c r="BT128" s="33"/>
      <c r="BU128" s="32"/>
      <c r="BV128" s="32"/>
      <c r="BW128" s="63"/>
      <c r="BX128" s="63">
        <f t="shared" si="22"/>
        <v>0</v>
      </c>
      <c r="BY128" s="63"/>
      <c r="BZ128" s="32"/>
      <c r="CA128" s="32"/>
      <c r="CB128" s="33"/>
      <c r="CC128" s="33">
        <f t="shared" si="23"/>
        <v>0</v>
      </c>
      <c r="CD128" s="33"/>
      <c r="CE128" s="32"/>
      <c r="CF128" s="33"/>
      <c r="CG128" s="33">
        <f t="shared" si="24"/>
        <v>0</v>
      </c>
      <c r="CH128" s="33"/>
      <c r="CI128" s="32"/>
      <c r="CJ128" s="33"/>
      <c r="CK128" s="33">
        <f t="shared" si="25"/>
        <v>0</v>
      </c>
      <c r="CL128" s="33"/>
      <c r="CM128" s="32"/>
      <c r="CN128" s="23"/>
      <c r="CO128" s="5">
        <f t="shared" si="26"/>
        <v>0</v>
      </c>
      <c r="CP128" s="10"/>
      <c r="CQ128" s="6"/>
      <c r="CR128" s="31"/>
      <c r="CS128" s="124"/>
      <c r="CT128" s="124"/>
      <c r="CU128" s="31"/>
      <c r="CV128" s="124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</row>
    <row r="129" spans="1:126" ht="15" customHeight="1" x14ac:dyDescent="0.3">
      <c r="A129" s="134">
        <v>69</v>
      </c>
      <c r="B129" s="34" t="s">
        <v>397</v>
      </c>
      <c r="C129" s="11">
        <v>7095136</v>
      </c>
      <c r="D129" s="11" t="s">
        <v>190</v>
      </c>
      <c r="E129" s="27" t="s">
        <v>358</v>
      </c>
      <c r="F129" s="167">
        <v>1</v>
      </c>
      <c r="G129" s="25">
        <v>0</v>
      </c>
      <c r="H129" s="9">
        <v>0</v>
      </c>
      <c r="I129" s="26">
        <v>0</v>
      </c>
      <c r="J129" s="30">
        <v>0</v>
      </c>
      <c r="K129" s="29">
        <v>0</v>
      </c>
      <c r="L129" s="29">
        <v>0</v>
      </c>
      <c r="M129" s="29">
        <v>0</v>
      </c>
      <c r="N129" s="29">
        <v>1</v>
      </c>
      <c r="O129" s="29">
        <v>1</v>
      </c>
      <c r="P129" s="158">
        <v>1</v>
      </c>
      <c r="Q129" s="158">
        <v>1</v>
      </c>
      <c r="R129" s="158">
        <v>0</v>
      </c>
      <c r="S129" s="158">
        <v>0</v>
      </c>
      <c r="T129" s="158">
        <v>0</v>
      </c>
      <c r="U129" s="158">
        <v>1</v>
      </c>
      <c r="V129" s="29">
        <v>0</v>
      </c>
      <c r="W129" s="29">
        <v>0</v>
      </c>
      <c r="X129" s="159">
        <v>0</v>
      </c>
      <c r="Y129" s="159">
        <v>0</v>
      </c>
      <c r="Z129" s="29">
        <v>0</v>
      </c>
      <c r="AA129" s="29">
        <v>0</v>
      </c>
      <c r="AB129" s="29">
        <v>0</v>
      </c>
      <c r="AC129" s="29">
        <v>0</v>
      </c>
      <c r="AD129" s="29">
        <v>0</v>
      </c>
      <c r="AE129" s="159">
        <v>1</v>
      </c>
      <c r="AF129" s="159">
        <v>1</v>
      </c>
      <c r="AG129" s="160">
        <v>0</v>
      </c>
      <c r="AH129" s="160">
        <v>0</v>
      </c>
      <c r="AI129" s="160">
        <v>0</v>
      </c>
      <c r="AJ129" s="160">
        <v>0</v>
      </c>
      <c r="AK129" s="29">
        <v>0</v>
      </c>
      <c r="AL129" s="29">
        <v>0</v>
      </c>
      <c r="AM129" s="29">
        <v>0</v>
      </c>
      <c r="AN129" s="29">
        <v>0</v>
      </c>
      <c r="AO129" s="29">
        <v>0</v>
      </c>
      <c r="AP129" s="160">
        <v>0</v>
      </c>
      <c r="AQ129" s="161">
        <v>0</v>
      </c>
      <c r="AR129" s="161">
        <v>0</v>
      </c>
      <c r="AS129" s="161">
        <v>0</v>
      </c>
      <c r="AT129" s="161">
        <v>0</v>
      </c>
      <c r="AU129" s="161">
        <v>0</v>
      </c>
      <c r="AV129" s="161">
        <v>0</v>
      </c>
      <c r="AW129" s="161">
        <v>0</v>
      </c>
      <c r="AX129" s="162">
        <v>0</v>
      </c>
      <c r="AY129" s="162">
        <v>0</v>
      </c>
      <c r="AZ129" s="162">
        <v>0</v>
      </c>
      <c r="BA129" s="162">
        <v>0</v>
      </c>
      <c r="BB129" s="32"/>
      <c r="BC129" s="63"/>
      <c r="BD129" s="63">
        <f t="shared" si="18"/>
        <v>0</v>
      </c>
      <c r="BE129" s="63"/>
      <c r="BF129" s="32"/>
      <c r="BG129" s="32"/>
      <c r="BH129" s="63"/>
      <c r="BI129" s="64">
        <f t="shared" si="19"/>
        <v>0</v>
      </c>
      <c r="BJ129" s="63"/>
      <c r="BK129" s="32"/>
      <c r="BL129" s="32"/>
      <c r="BM129" s="33"/>
      <c r="BN129" s="33">
        <f t="shared" si="20"/>
        <v>0</v>
      </c>
      <c r="BO129" s="33"/>
      <c r="BP129" s="32"/>
      <c r="BQ129" s="32"/>
      <c r="BR129" s="33"/>
      <c r="BS129" s="33">
        <f t="shared" si="21"/>
        <v>0</v>
      </c>
      <c r="BT129" s="33"/>
      <c r="BU129" s="32"/>
      <c r="BV129" s="32"/>
      <c r="BW129" s="63"/>
      <c r="BX129" s="63">
        <f t="shared" si="22"/>
        <v>0</v>
      </c>
      <c r="BY129" s="63"/>
      <c r="BZ129" s="32"/>
      <c r="CA129" s="32"/>
      <c r="CB129" s="33"/>
      <c r="CC129" s="33">
        <f t="shared" si="23"/>
        <v>0</v>
      </c>
      <c r="CD129" s="33"/>
      <c r="CE129" s="32"/>
      <c r="CF129" s="33"/>
      <c r="CG129" s="33">
        <f t="shared" si="24"/>
        <v>0</v>
      </c>
      <c r="CH129" s="33"/>
      <c r="CI129" s="32"/>
      <c r="CJ129" s="33"/>
      <c r="CK129" s="33">
        <f t="shared" si="25"/>
        <v>0</v>
      </c>
      <c r="CL129" s="33"/>
      <c r="CM129" s="32"/>
      <c r="CN129" s="23"/>
      <c r="CO129" s="5">
        <f t="shared" si="26"/>
        <v>0</v>
      </c>
      <c r="CP129" s="10"/>
      <c r="CQ129" s="6"/>
      <c r="CR129" s="31"/>
      <c r="CS129" s="124"/>
      <c r="CT129" s="124"/>
      <c r="CU129" s="31"/>
      <c r="CV129" s="124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</row>
    <row r="130" spans="1:126" ht="15" customHeight="1" x14ac:dyDescent="0.3">
      <c r="A130" s="43">
        <v>273</v>
      </c>
      <c r="B130" s="38" t="s">
        <v>521</v>
      </c>
      <c r="C130" s="36">
        <v>7403653</v>
      </c>
      <c r="D130" s="36" t="s">
        <v>513</v>
      </c>
      <c r="E130" s="137" t="s">
        <v>514</v>
      </c>
      <c r="F130" s="167">
        <v>1</v>
      </c>
      <c r="G130" s="25">
        <v>0</v>
      </c>
      <c r="H130" s="9">
        <v>0</v>
      </c>
      <c r="I130" s="26">
        <v>0</v>
      </c>
      <c r="J130" s="30">
        <v>0</v>
      </c>
      <c r="K130" s="29">
        <v>1</v>
      </c>
      <c r="L130" s="29">
        <v>0</v>
      </c>
      <c r="M130" s="29">
        <v>1</v>
      </c>
      <c r="N130" s="29">
        <v>0</v>
      </c>
      <c r="O130" s="29">
        <v>0</v>
      </c>
      <c r="P130" s="158">
        <v>1</v>
      </c>
      <c r="Q130" s="158">
        <v>0</v>
      </c>
      <c r="R130" s="158">
        <v>0</v>
      </c>
      <c r="S130" s="158">
        <v>0</v>
      </c>
      <c r="T130" s="158">
        <v>0</v>
      </c>
      <c r="U130" s="158">
        <v>0</v>
      </c>
      <c r="V130" s="29">
        <v>0</v>
      </c>
      <c r="W130" s="29">
        <v>0</v>
      </c>
      <c r="X130" s="159">
        <v>0</v>
      </c>
      <c r="Y130" s="159">
        <v>1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159">
        <v>0</v>
      </c>
      <c r="AF130" s="159">
        <v>0</v>
      </c>
      <c r="AG130" s="160">
        <v>0</v>
      </c>
      <c r="AH130" s="160">
        <v>0</v>
      </c>
      <c r="AI130" s="160">
        <v>0</v>
      </c>
      <c r="AJ130" s="160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160">
        <v>0</v>
      </c>
      <c r="AQ130" s="161">
        <v>0</v>
      </c>
      <c r="AR130" s="161">
        <v>0</v>
      </c>
      <c r="AS130" s="161">
        <v>0</v>
      </c>
      <c r="AT130" s="161">
        <v>0</v>
      </c>
      <c r="AU130" s="161">
        <v>0</v>
      </c>
      <c r="AV130" s="161">
        <v>0</v>
      </c>
      <c r="AW130" s="161">
        <v>0</v>
      </c>
      <c r="AX130" s="162">
        <v>0</v>
      </c>
      <c r="AY130" s="162">
        <v>0</v>
      </c>
      <c r="AZ130" s="162">
        <v>0</v>
      </c>
      <c r="BA130" s="162">
        <v>0</v>
      </c>
      <c r="BB130" s="32"/>
      <c r="BC130" s="63"/>
      <c r="BD130" s="63">
        <f t="shared" si="18"/>
        <v>0</v>
      </c>
      <c r="BE130" s="63"/>
      <c r="BF130" s="32"/>
      <c r="BG130" s="32"/>
      <c r="BH130" s="63"/>
      <c r="BI130" s="64">
        <f t="shared" si="19"/>
        <v>0</v>
      </c>
      <c r="BJ130" s="63"/>
      <c r="BK130" s="32"/>
      <c r="BL130" s="32"/>
      <c r="BM130" s="33"/>
      <c r="BN130" s="33">
        <f t="shared" si="20"/>
        <v>0</v>
      </c>
      <c r="BO130" s="33"/>
      <c r="BP130" s="32"/>
      <c r="BQ130" s="32"/>
      <c r="BR130" s="33"/>
      <c r="BS130" s="33">
        <f t="shared" si="21"/>
        <v>0</v>
      </c>
      <c r="BT130" s="33"/>
      <c r="BU130" s="32"/>
      <c r="BV130" s="32"/>
      <c r="BW130" s="63"/>
      <c r="BX130" s="63">
        <f t="shared" si="22"/>
        <v>0</v>
      </c>
      <c r="BY130" s="63"/>
      <c r="BZ130" s="32"/>
      <c r="CA130" s="32"/>
      <c r="CB130" s="33"/>
      <c r="CC130" s="33">
        <f t="shared" si="23"/>
        <v>0</v>
      </c>
      <c r="CD130" s="33"/>
      <c r="CE130" s="32"/>
      <c r="CF130" s="33"/>
      <c r="CG130" s="33">
        <f t="shared" si="24"/>
        <v>0</v>
      </c>
      <c r="CH130" s="33"/>
      <c r="CI130" s="32"/>
      <c r="CJ130" s="33"/>
      <c r="CK130" s="33">
        <f t="shared" si="25"/>
        <v>0</v>
      </c>
      <c r="CL130" s="33"/>
      <c r="CM130" s="32"/>
      <c r="CN130" s="23"/>
      <c r="CO130" s="5">
        <f t="shared" si="26"/>
        <v>0</v>
      </c>
      <c r="CP130" s="10"/>
      <c r="CQ130" s="6"/>
      <c r="CR130" s="31"/>
      <c r="CS130" s="124"/>
      <c r="CT130" s="124"/>
      <c r="CU130" s="31"/>
      <c r="CV130" s="124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</row>
    <row r="131" spans="1:126" ht="15" customHeight="1" x14ac:dyDescent="0.3">
      <c r="A131" s="138">
        <v>121</v>
      </c>
      <c r="B131" s="35" t="s">
        <v>200</v>
      </c>
      <c r="C131" s="14">
        <v>7402480</v>
      </c>
      <c r="D131" s="14" t="s">
        <v>431</v>
      </c>
      <c r="E131" s="163" t="s">
        <v>432</v>
      </c>
      <c r="F131" s="167">
        <v>1</v>
      </c>
      <c r="G131" s="25">
        <v>0</v>
      </c>
      <c r="H131" s="9">
        <v>0</v>
      </c>
      <c r="I131" s="26">
        <v>0</v>
      </c>
      <c r="J131" s="30">
        <v>0</v>
      </c>
      <c r="K131" s="29">
        <v>1</v>
      </c>
      <c r="L131" s="29">
        <v>0</v>
      </c>
      <c r="M131" s="29">
        <v>0</v>
      </c>
      <c r="N131" s="29">
        <v>0</v>
      </c>
      <c r="O131" s="29">
        <v>0</v>
      </c>
      <c r="P131" s="158">
        <v>0</v>
      </c>
      <c r="Q131" s="158">
        <v>0</v>
      </c>
      <c r="R131" s="158">
        <v>0</v>
      </c>
      <c r="S131" s="158">
        <v>0</v>
      </c>
      <c r="T131" s="158">
        <v>0</v>
      </c>
      <c r="U131" s="158">
        <v>0</v>
      </c>
      <c r="V131" s="29">
        <v>0</v>
      </c>
      <c r="W131" s="29">
        <v>0</v>
      </c>
      <c r="X131" s="159">
        <v>0</v>
      </c>
      <c r="Y131" s="159">
        <v>0</v>
      </c>
      <c r="Z131" s="29">
        <v>0</v>
      </c>
      <c r="AA131" s="29">
        <v>0</v>
      </c>
      <c r="AB131" s="29">
        <v>0</v>
      </c>
      <c r="AC131" s="29">
        <v>0</v>
      </c>
      <c r="AD131" s="29">
        <v>0</v>
      </c>
      <c r="AE131" s="159">
        <v>1</v>
      </c>
      <c r="AF131" s="159">
        <v>1</v>
      </c>
      <c r="AG131" s="160">
        <v>0</v>
      </c>
      <c r="AH131" s="160">
        <v>0</v>
      </c>
      <c r="AI131" s="160">
        <v>0</v>
      </c>
      <c r="AJ131" s="160">
        <v>0</v>
      </c>
      <c r="AK131" s="29">
        <v>0</v>
      </c>
      <c r="AL131" s="29">
        <v>0</v>
      </c>
      <c r="AM131" s="29">
        <v>0</v>
      </c>
      <c r="AN131" s="29">
        <v>0</v>
      </c>
      <c r="AO131" s="29">
        <v>0</v>
      </c>
      <c r="AP131" s="160">
        <v>0</v>
      </c>
      <c r="AQ131" s="161">
        <v>1</v>
      </c>
      <c r="AR131" s="161">
        <v>1</v>
      </c>
      <c r="AS131" s="161">
        <v>0</v>
      </c>
      <c r="AT131" s="161">
        <v>0</v>
      </c>
      <c r="AU131" s="161">
        <v>0</v>
      </c>
      <c r="AV131" s="161">
        <v>0</v>
      </c>
      <c r="AW131" s="161">
        <v>0</v>
      </c>
      <c r="AX131" s="162">
        <v>0</v>
      </c>
      <c r="AY131" s="162">
        <v>0</v>
      </c>
      <c r="AZ131" s="162">
        <v>0</v>
      </c>
      <c r="BA131" s="162">
        <v>1</v>
      </c>
      <c r="BB131" s="32"/>
      <c r="BC131" s="63"/>
      <c r="BD131" s="63">
        <f t="shared" si="18"/>
        <v>0</v>
      </c>
      <c r="BE131" s="63"/>
      <c r="BF131" s="32"/>
      <c r="BG131" s="32"/>
      <c r="BH131" s="63"/>
      <c r="BI131" s="64">
        <f t="shared" si="19"/>
        <v>0</v>
      </c>
      <c r="BJ131" s="63"/>
      <c r="BK131" s="32"/>
      <c r="BL131" s="32"/>
      <c r="BM131" s="33"/>
      <c r="BN131" s="33">
        <f t="shared" si="20"/>
        <v>0</v>
      </c>
      <c r="BO131" s="33"/>
      <c r="BP131" s="32"/>
      <c r="BQ131" s="32"/>
      <c r="BR131" s="33"/>
      <c r="BS131" s="33">
        <f t="shared" si="21"/>
        <v>0</v>
      </c>
      <c r="BT131" s="33"/>
      <c r="BU131" s="32"/>
      <c r="BV131" s="32"/>
      <c r="BW131" s="63"/>
      <c r="BX131" s="63">
        <f t="shared" si="22"/>
        <v>0</v>
      </c>
      <c r="BY131" s="63"/>
      <c r="BZ131" s="32"/>
      <c r="CA131" s="32"/>
      <c r="CB131" s="33"/>
      <c r="CC131" s="33">
        <f t="shared" si="23"/>
        <v>0</v>
      </c>
      <c r="CD131" s="33"/>
      <c r="CE131" s="32"/>
      <c r="CF131" s="33"/>
      <c r="CG131" s="33">
        <f t="shared" si="24"/>
        <v>0</v>
      </c>
      <c r="CH131" s="33"/>
      <c r="CI131" s="32"/>
      <c r="CJ131" s="33"/>
      <c r="CK131" s="33">
        <f t="shared" si="25"/>
        <v>0</v>
      </c>
      <c r="CL131" s="33"/>
      <c r="CM131" s="32"/>
      <c r="CN131" s="23"/>
      <c r="CO131" s="5">
        <f t="shared" si="26"/>
        <v>0</v>
      </c>
      <c r="CP131" s="10"/>
      <c r="CQ131" s="6"/>
      <c r="CR131" s="31"/>
      <c r="CS131" s="124"/>
      <c r="CT131" s="124"/>
      <c r="CU131" s="31"/>
      <c r="CV131" s="124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</row>
    <row r="132" spans="1:126" ht="15" customHeight="1" x14ac:dyDescent="0.3">
      <c r="A132" s="134">
        <v>45</v>
      </c>
      <c r="B132" s="101" t="s">
        <v>49</v>
      </c>
      <c r="C132" s="14">
        <v>7092904</v>
      </c>
      <c r="D132" s="14" t="s">
        <v>130</v>
      </c>
      <c r="E132" s="14" t="s">
        <v>131</v>
      </c>
      <c r="F132" s="167">
        <v>1</v>
      </c>
      <c r="G132" s="25">
        <v>0</v>
      </c>
      <c r="H132" s="9">
        <v>0</v>
      </c>
      <c r="I132" s="26">
        <v>0</v>
      </c>
      <c r="J132" s="30">
        <v>0</v>
      </c>
      <c r="K132" s="29">
        <v>1</v>
      </c>
      <c r="L132" s="29">
        <v>0</v>
      </c>
      <c r="M132" s="29">
        <v>1</v>
      </c>
      <c r="N132" s="29">
        <v>0</v>
      </c>
      <c r="O132" s="29">
        <v>0</v>
      </c>
      <c r="P132" s="158">
        <v>0</v>
      </c>
      <c r="Q132" s="158">
        <v>1</v>
      </c>
      <c r="R132" s="158">
        <v>0</v>
      </c>
      <c r="S132" s="158">
        <v>0</v>
      </c>
      <c r="T132" s="158">
        <v>0</v>
      </c>
      <c r="U132" s="158">
        <v>0</v>
      </c>
      <c r="V132" s="29">
        <v>0</v>
      </c>
      <c r="W132" s="29">
        <v>0</v>
      </c>
      <c r="X132" s="159">
        <v>0</v>
      </c>
      <c r="Y132" s="159">
        <v>0</v>
      </c>
      <c r="Z132" s="29">
        <v>0</v>
      </c>
      <c r="AA132" s="29">
        <v>0</v>
      </c>
      <c r="AB132" s="29">
        <v>1</v>
      </c>
      <c r="AC132" s="29">
        <v>0</v>
      </c>
      <c r="AD132" s="29">
        <v>0</v>
      </c>
      <c r="AE132" s="159">
        <v>1</v>
      </c>
      <c r="AF132" s="159">
        <v>1</v>
      </c>
      <c r="AG132" s="160">
        <v>0</v>
      </c>
      <c r="AH132" s="160">
        <v>0</v>
      </c>
      <c r="AI132" s="160">
        <v>0</v>
      </c>
      <c r="AJ132" s="160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160">
        <v>0</v>
      </c>
      <c r="AQ132" s="161">
        <v>0</v>
      </c>
      <c r="AR132" s="161">
        <v>0</v>
      </c>
      <c r="AS132" s="161">
        <v>0</v>
      </c>
      <c r="AT132" s="161">
        <v>0</v>
      </c>
      <c r="AU132" s="161">
        <v>0</v>
      </c>
      <c r="AV132" s="161">
        <v>0</v>
      </c>
      <c r="AW132" s="161">
        <v>0</v>
      </c>
      <c r="AX132" s="162">
        <v>0</v>
      </c>
      <c r="AY132" s="162">
        <v>0</v>
      </c>
      <c r="AZ132" s="162">
        <v>0</v>
      </c>
      <c r="BA132" s="162">
        <v>0</v>
      </c>
      <c r="BB132" s="32"/>
      <c r="BC132" s="63"/>
      <c r="BD132" s="63">
        <f t="shared" si="18"/>
        <v>0</v>
      </c>
      <c r="BE132" s="63"/>
      <c r="BF132" s="32"/>
      <c r="BG132" s="32"/>
      <c r="BH132" s="63"/>
      <c r="BI132" s="64">
        <f t="shared" si="19"/>
        <v>0</v>
      </c>
      <c r="BJ132" s="63"/>
      <c r="BK132" s="32"/>
      <c r="BL132" s="32"/>
      <c r="BM132" s="33"/>
      <c r="BN132" s="33">
        <f t="shared" si="20"/>
        <v>0</v>
      </c>
      <c r="BO132" s="33"/>
      <c r="BP132" s="32"/>
      <c r="BQ132" s="32"/>
      <c r="BR132" s="33"/>
      <c r="BS132" s="33">
        <f t="shared" si="21"/>
        <v>0</v>
      </c>
      <c r="BT132" s="33"/>
      <c r="BU132" s="32"/>
      <c r="BV132" s="32"/>
      <c r="BW132" s="63"/>
      <c r="BX132" s="63">
        <f t="shared" si="22"/>
        <v>0</v>
      </c>
      <c r="BY132" s="63"/>
      <c r="BZ132" s="32"/>
      <c r="CA132" s="32"/>
      <c r="CB132" s="33"/>
      <c r="CC132" s="33">
        <f t="shared" si="23"/>
        <v>0</v>
      </c>
      <c r="CD132" s="33"/>
      <c r="CE132" s="32"/>
      <c r="CF132" s="33"/>
      <c r="CG132" s="33">
        <f t="shared" si="24"/>
        <v>0</v>
      </c>
      <c r="CH132" s="33"/>
      <c r="CI132" s="32"/>
      <c r="CJ132" s="33"/>
      <c r="CK132" s="33">
        <f t="shared" si="25"/>
        <v>0</v>
      </c>
      <c r="CL132" s="33"/>
      <c r="CM132" s="32"/>
      <c r="CN132" s="23"/>
      <c r="CO132" s="5">
        <f t="shared" si="26"/>
        <v>0</v>
      </c>
      <c r="CP132" s="10"/>
      <c r="CQ132" s="6"/>
      <c r="CR132" s="31"/>
      <c r="CS132" s="124"/>
      <c r="CT132" s="124"/>
      <c r="CU132" s="31"/>
      <c r="CV132" s="124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</row>
    <row r="133" spans="1:126" ht="16.2" x14ac:dyDescent="0.3">
      <c r="A133" s="134">
        <v>2</v>
      </c>
      <c r="B133" s="35" t="s">
        <v>46</v>
      </c>
      <c r="C133" s="16">
        <v>26804</v>
      </c>
      <c r="D133" s="14" t="s">
        <v>132</v>
      </c>
      <c r="E133" s="15" t="s">
        <v>133</v>
      </c>
      <c r="F133" s="167">
        <v>1</v>
      </c>
      <c r="G133" s="25">
        <v>0</v>
      </c>
      <c r="H133" s="9">
        <v>0</v>
      </c>
      <c r="I133" s="26">
        <v>0</v>
      </c>
      <c r="J133" s="30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  <c r="P133" s="158">
        <v>0</v>
      </c>
      <c r="Q133" s="158">
        <v>0</v>
      </c>
      <c r="R133" s="158">
        <v>0</v>
      </c>
      <c r="S133" s="158">
        <v>0</v>
      </c>
      <c r="T133" s="158">
        <v>0</v>
      </c>
      <c r="U133" s="158">
        <v>0</v>
      </c>
      <c r="V133" s="29">
        <v>0</v>
      </c>
      <c r="W133" s="29">
        <v>0</v>
      </c>
      <c r="X133" s="159">
        <v>0</v>
      </c>
      <c r="Y133" s="159">
        <v>0</v>
      </c>
      <c r="Z133" s="29">
        <v>0</v>
      </c>
      <c r="AA133" s="29">
        <v>0</v>
      </c>
      <c r="AB133" s="29">
        <v>0</v>
      </c>
      <c r="AC133" s="29">
        <v>0</v>
      </c>
      <c r="AD133" s="29">
        <v>0</v>
      </c>
      <c r="AE133" s="159">
        <v>0</v>
      </c>
      <c r="AF133" s="159">
        <v>0</v>
      </c>
      <c r="AG133" s="160">
        <v>0</v>
      </c>
      <c r="AH133" s="160">
        <v>0</v>
      </c>
      <c r="AI133" s="160">
        <v>0</v>
      </c>
      <c r="AJ133" s="160">
        <v>0</v>
      </c>
      <c r="AK133" s="29">
        <v>0</v>
      </c>
      <c r="AL133" s="29">
        <v>0</v>
      </c>
      <c r="AM133" s="29">
        <v>0</v>
      </c>
      <c r="AN133" s="29">
        <v>0</v>
      </c>
      <c r="AO133" s="29">
        <v>0</v>
      </c>
      <c r="AP133" s="160">
        <v>0</v>
      </c>
      <c r="AQ133" s="161">
        <v>0</v>
      </c>
      <c r="AR133" s="161">
        <v>0</v>
      </c>
      <c r="AS133" s="161">
        <v>0</v>
      </c>
      <c r="AT133" s="161">
        <v>0</v>
      </c>
      <c r="AU133" s="161">
        <v>0</v>
      </c>
      <c r="AV133" s="161">
        <v>0</v>
      </c>
      <c r="AW133" s="161">
        <v>0</v>
      </c>
      <c r="AX133" s="162">
        <v>0</v>
      </c>
      <c r="AY133" s="162">
        <v>0</v>
      </c>
      <c r="AZ133" s="162">
        <v>0</v>
      </c>
      <c r="BA133" s="162">
        <v>0</v>
      </c>
      <c r="BB133" s="32"/>
      <c r="BC133" s="63"/>
      <c r="BD133" s="63">
        <f t="shared" si="18"/>
        <v>0</v>
      </c>
      <c r="BE133" s="63"/>
      <c r="BF133" s="32"/>
      <c r="BG133" s="32"/>
      <c r="BH133" s="63"/>
      <c r="BI133" s="64">
        <f t="shared" si="19"/>
        <v>0</v>
      </c>
      <c r="BJ133" s="63"/>
      <c r="BK133" s="32"/>
      <c r="BL133" s="32"/>
      <c r="BM133" s="33"/>
      <c r="BN133" s="33">
        <f t="shared" si="20"/>
        <v>0</v>
      </c>
      <c r="BO133" s="33"/>
      <c r="BP133" s="32"/>
      <c r="BQ133" s="32"/>
      <c r="BR133" s="33"/>
      <c r="BS133" s="33">
        <f t="shared" si="21"/>
        <v>0</v>
      </c>
      <c r="BT133" s="33"/>
      <c r="BU133" s="32"/>
      <c r="BV133" s="32"/>
      <c r="BW133" s="63"/>
      <c r="BX133" s="63">
        <f t="shared" si="22"/>
        <v>0</v>
      </c>
      <c r="BY133" s="63"/>
      <c r="BZ133" s="32"/>
      <c r="CA133" s="32"/>
      <c r="CB133" s="33"/>
      <c r="CC133" s="33">
        <f t="shared" si="23"/>
        <v>0</v>
      </c>
      <c r="CD133" s="33"/>
      <c r="CE133" s="32"/>
      <c r="CF133" s="33"/>
      <c r="CG133" s="33">
        <f t="shared" si="24"/>
        <v>0</v>
      </c>
      <c r="CH133" s="33"/>
      <c r="CI133" s="32"/>
      <c r="CJ133" s="33"/>
      <c r="CK133" s="33">
        <f t="shared" si="25"/>
        <v>0</v>
      </c>
      <c r="CL133" s="33"/>
      <c r="CM133" s="32"/>
      <c r="CN133" s="23"/>
      <c r="CO133" s="5">
        <f t="shared" si="26"/>
        <v>0</v>
      </c>
      <c r="CP133" s="10"/>
      <c r="CQ133" s="6"/>
      <c r="CS133" s="126"/>
      <c r="CT133" s="126"/>
      <c r="CV133" s="126"/>
    </row>
    <row r="134" spans="1:126" ht="16.2" x14ac:dyDescent="0.3">
      <c r="A134" s="134">
        <v>108</v>
      </c>
      <c r="B134" s="123" t="s">
        <v>43</v>
      </c>
      <c r="C134" s="16">
        <v>7401055</v>
      </c>
      <c r="D134" s="14" t="s">
        <v>421</v>
      </c>
      <c r="E134" s="15" t="s">
        <v>422</v>
      </c>
      <c r="F134" s="167">
        <v>1</v>
      </c>
      <c r="G134" s="25">
        <v>0</v>
      </c>
      <c r="H134" s="9">
        <v>0</v>
      </c>
      <c r="I134" s="26">
        <v>0</v>
      </c>
      <c r="J134" s="30">
        <v>0</v>
      </c>
      <c r="K134" s="29">
        <v>1</v>
      </c>
      <c r="L134" s="29">
        <v>0</v>
      </c>
      <c r="M134" s="29">
        <v>0</v>
      </c>
      <c r="N134" s="29">
        <v>1</v>
      </c>
      <c r="O134" s="29">
        <v>1</v>
      </c>
      <c r="P134" s="158">
        <v>1</v>
      </c>
      <c r="Q134" s="158">
        <v>1</v>
      </c>
      <c r="R134" s="158">
        <v>1</v>
      </c>
      <c r="S134" s="158">
        <v>1</v>
      </c>
      <c r="T134" s="158">
        <v>0</v>
      </c>
      <c r="U134" s="158">
        <v>0</v>
      </c>
      <c r="V134" s="29">
        <v>0</v>
      </c>
      <c r="W134" s="29">
        <v>1</v>
      </c>
      <c r="X134" s="159">
        <v>0</v>
      </c>
      <c r="Y134" s="15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159">
        <v>1</v>
      </c>
      <c r="AF134" s="159">
        <v>1</v>
      </c>
      <c r="AG134" s="160">
        <v>0</v>
      </c>
      <c r="AH134" s="160">
        <v>0</v>
      </c>
      <c r="AI134" s="160">
        <v>0</v>
      </c>
      <c r="AJ134" s="160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160">
        <v>0</v>
      </c>
      <c r="AQ134" s="161">
        <v>0</v>
      </c>
      <c r="AR134" s="161">
        <v>0</v>
      </c>
      <c r="AS134" s="161">
        <v>0</v>
      </c>
      <c r="AT134" s="161">
        <v>0</v>
      </c>
      <c r="AU134" s="161">
        <v>0</v>
      </c>
      <c r="AV134" s="161">
        <v>0</v>
      </c>
      <c r="AW134" s="161">
        <v>0</v>
      </c>
      <c r="AX134" s="162">
        <v>0</v>
      </c>
      <c r="AY134" s="162">
        <v>0</v>
      </c>
      <c r="AZ134" s="162">
        <v>0</v>
      </c>
      <c r="BA134" s="162">
        <v>1</v>
      </c>
      <c r="BB134" s="32"/>
      <c r="BC134" s="63"/>
      <c r="BD134" s="63">
        <f t="shared" ref="BD134:BD146" si="27">BC134*2.5</f>
        <v>0</v>
      </c>
      <c r="BE134" s="63"/>
      <c r="BF134" s="32"/>
      <c r="BG134" s="32"/>
      <c r="BH134" s="63"/>
      <c r="BI134" s="64">
        <f t="shared" ref="BI134:BI146" si="28">IF(BH134&lt;4,BH134*1.5,BH134*1.625)</f>
        <v>0</v>
      </c>
      <c r="BJ134" s="63"/>
      <c r="BK134" s="32"/>
      <c r="BL134" s="32"/>
      <c r="BM134" s="33"/>
      <c r="BN134" s="33">
        <f t="shared" ref="BN134:BN146" si="29">IF(BM134&lt;4,BM134*1.5,BM134*1.625)</f>
        <v>0</v>
      </c>
      <c r="BO134" s="33"/>
      <c r="BP134" s="32"/>
      <c r="BQ134" s="32"/>
      <c r="BR134" s="33"/>
      <c r="BS134" s="33">
        <f t="shared" ref="BS134:BS146" si="30">IF(BR134&lt;4,BR134*1.5,BR134*1.625)</f>
        <v>0</v>
      </c>
      <c r="BT134" s="33"/>
      <c r="BU134" s="32"/>
      <c r="BV134" s="32"/>
      <c r="BW134" s="63"/>
      <c r="BX134" s="63">
        <f t="shared" ref="BX134:BX146" si="31">IF(BW134&lt;4,BW134*1.5,BW134*1.625)</f>
        <v>0</v>
      </c>
      <c r="BY134" s="63"/>
      <c r="BZ134" s="32"/>
      <c r="CA134" s="32"/>
      <c r="CB134" s="33"/>
      <c r="CC134" s="33">
        <f t="shared" ref="CC134:CC146" si="32">IF(CB134&lt;4,CB134*1.5,CB134*1.625)</f>
        <v>0</v>
      </c>
      <c r="CD134" s="33"/>
      <c r="CE134" s="32"/>
      <c r="CF134" s="33"/>
      <c r="CG134" s="33">
        <f t="shared" ref="CG134:CG146" si="33">IF(CF134&lt;4,CF134*1.5,CF134*1.625)</f>
        <v>0</v>
      </c>
      <c r="CH134" s="33"/>
      <c r="CI134" s="32"/>
      <c r="CJ134" s="33"/>
      <c r="CK134" s="33">
        <f t="shared" ref="CK134:CK146" si="34">IF(CJ134&gt;4,CJ134*1.5,CJ134*1.625)</f>
        <v>0</v>
      </c>
      <c r="CL134" s="33"/>
      <c r="CM134" s="32"/>
      <c r="CN134" s="23"/>
      <c r="CO134" s="5">
        <f t="shared" ref="CO134:CO146" si="35">CN134*2.5</f>
        <v>0</v>
      </c>
      <c r="CP134" s="10"/>
      <c r="CQ134" s="6"/>
      <c r="CS134" s="126"/>
      <c r="CT134" s="126"/>
      <c r="CV134" s="126"/>
    </row>
    <row r="135" spans="1:126" ht="16.2" x14ac:dyDescent="0.3">
      <c r="A135" s="134">
        <v>94</v>
      </c>
      <c r="B135" s="34" t="s">
        <v>397</v>
      </c>
      <c r="C135" s="14">
        <v>7400954</v>
      </c>
      <c r="D135" s="14" t="s">
        <v>375</v>
      </c>
      <c r="E135" s="15" t="s">
        <v>376</v>
      </c>
      <c r="F135" s="167">
        <v>1</v>
      </c>
      <c r="G135" s="25">
        <v>0</v>
      </c>
      <c r="H135" s="9">
        <v>0</v>
      </c>
      <c r="I135" s="26">
        <v>0</v>
      </c>
      <c r="J135" s="30">
        <v>0</v>
      </c>
      <c r="K135" s="29">
        <v>1</v>
      </c>
      <c r="L135" s="29">
        <v>0</v>
      </c>
      <c r="M135" s="29">
        <v>0</v>
      </c>
      <c r="N135" s="29">
        <v>0</v>
      </c>
      <c r="O135" s="29">
        <v>0</v>
      </c>
      <c r="P135" s="158">
        <v>0</v>
      </c>
      <c r="Q135" s="158">
        <v>0</v>
      </c>
      <c r="R135" s="158">
        <v>0</v>
      </c>
      <c r="S135" s="158">
        <v>0</v>
      </c>
      <c r="T135" s="158">
        <v>0</v>
      </c>
      <c r="U135" s="158">
        <v>0</v>
      </c>
      <c r="V135" s="29">
        <v>0</v>
      </c>
      <c r="W135" s="29">
        <v>0</v>
      </c>
      <c r="X135" s="159">
        <v>0</v>
      </c>
      <c r="Y135" s="159">
        <v>0</v>
      </c>
      <c r="Z135" s="29">
        <v>0</v>
      </c>
      <c r="AA135" s="29">
        <v>0</v>
      </c>
      <c r="AB135" s="29">
        <v>0</v>
      </c>
      <c r="AC135" s="29">
        <v>0</v>
      </c>
      <c r="AD135" s="29">
        <v>0</v>
      </c>
      <c r="AE135" s="159">
        <v>1</v>
      </c>
      <c r="AF135" s="159">
        <v>1</v>
      </c>
      <c r="AG135" s="160">
        <v>0</v>
      </c>
      <c r="AH135" s="160">
        <v>0</v>
      </c>
      <c r="AI135" s="160">
        <v>0</v>
      </c>
      <c r="AJ135" s="160">
        <v>0</v>
      </c>
      <c r="AK135" s="29">
        <v>1</v>
      </c>
      <c r="AL135" s="29">
        <v>0</v>
      </c>
      <c r="AM135" s="29">
        <v>0</v>
      </c>
      <c r="AN135" s="29">
        <v>1</v>
      </c>
      <c r="AO135" s="29">
        <v>1</v>
      </c>
      <c r="AP135" s="160">
        <v>0</v>
      </c>
      <c r="AQ135" s="161">
        <v>0</v>
      </c>
      <c r="AR135" s="161">
        <v>0</v>
      </c>
      <c r="AS135" s="161">
        <v>0</v>
      </c>
      <c r="AT135" s="161">
        <v>0</v>
      </c>
      <c r="AU135" s="161">
        <v>0</v>
      </c>
      <c r="AV135" s="161">
        <v>0</v>
      </c>
      <c r="AW135" s="161">
        <v>0</v>
      </c>
      <c r="AX135" s="162">
        <v>0</v>
      </c>
      <c r="AY135" s="162">
        <v>0</v>
      </c>
      <c r="AZ135" s="162">
        <v>0</v>
      </c>
      <c r="BA135" s="162">
        <v>0</v>
      </c>
      <c r="BB135" s="32"/>
      <c r="BC135" s="63"/>
      <c r="BD135" s="63">
        <f t="shared" si="27"/>
        <v>0</v>
      </c>
      <c r="BE135" s="63"/>
      <c r="BF135" s="32"/>
      <c r="BG135" s="32"/>
      <c r="BH135" s="63"/>
      <c r="BI135" s="64">
        <f t="shared" si="28"/>
        <v>0</v>
      </c>
      <c r="BJ135" s="63"/>
      <c r="BK135" s="32"/>
      <c r="BL135" s="32"/>
      <c r="BM135" s="33"/>
      <c r="BN135" s="33">
        <f t="shared" si="29"/>
        <v>0</v>
      </c>
      <c r="BO135" s="33"/>
      <c r="BP135" s="32"/>
      <c r="BQ135" s="32"/>
      <c r="BR135" s="33"/>
      <c r="BS135" s="33">
        <f t="shared" si="30"/>
        <v>0</v>
      </c>
      <c r="BT135" s="33"/>
      <c r="BU135" s="32"/>
      <c r="BV135" s="32"/>
      <c r="BW135" s="63"/>
      <c r="BX135" s="63">
        <f t="shared" si="31"/>
        <v>0</v>
      </c>
      <c r="BY135" s="63"/>
      <c r="BZ135" s="32"/>
      <c r="CA135" s="32"/>
      <c r="CB135" s="33"/>
      <c r="CC135" s="33">
        <f t="shared" si="32"/>
        <v>0</v>
      </c>
      <c r="CD135" s="33"/>
      <c r="CE135" s="32"/>
      <c r="CF135" s="33"/>
      <c r="CG135" s="33">
        <f t="shared" si="33"/>
        <v>0</v>
      </c>
      <c r="CH135" s="33"/>
      <c r="CI135" s="32"/>
      <c r="CJ135" s="33"/>
      <c r="CK135" s="33">
        <f t="shared" si="34"/>
        <v>0</v>
      </c>
      <c r="CL135" s="33"/>
      <c r="CM135" s="32"/>
      <c r="CN135" s="23"/>
      <c r="CO135" s="5">
        <f t="shared" si="35"/>
        <v>0</v>
      </c>
      <c r="CP135" s="10"/>
      <c r="CQ135" s="6"/>
      <c r="CS135" s="126"/>
      <c r="CT135" s="126"/>
      <c r="CV135" s="126"/>
    </row>
    <row r="136" spans="1:126" ht="16.2" x14ac:dyDescent="0.3">
      <c r="A136" s="43">
        <v>271</v>
      </c>
      <c r="B136" s="38" t="s">
        <v>521</v>
      </c>
      <c r="C136" s="36">
        <v>7403383</v>
      </c>
      <c r="D136" s="36" t="s">
        <v>509</v>
      </c>
      <c r="E136" s="137" t="s">
        <v>510</v>
      </c>
      <c r="F136" s="167">
        <v>1</v>
      </c>
      <c r="G136" s="25">
        <v>0</v>
      </c>
      <c r="H136" s="9">
        <v>0</v>
      </c>
      <c r="I136" s="26">
        <v>0</v>
      </c>
      <c r="J136" s="30">
        <v>0</v>
      </c>
      <c r="K136" s="29">
        <v>1</v>
      </c>
      <c r="L136" s="29">
        <v>0</v>
      </c>
      <c r="M136" s="29">
        <v>1</v>
      </c>
      <c r="N136" s="29">
        <v>0</v>
      </c>
      <c r="O136" s="29">
        <v>0</v>
      </c>
      <c r="P136" s="158">
        <v>0</v>
      </c>
      <c r="Q136" s="158">
        <v>0</v>
      </c>
      <c r="R136" s="158">
        <v>0</v>
      </c>
      <c r="S136" s="158">
        <v>0</v>
      </c>
      <c r="T136" s="158">
        <v>0</v>
      </c>
      <c r="U136" s="158">
        <v>0</v>
      </c>
      <c r="V136" s="29">
        <v>0</v>
      </c>
      <c r="W136" s="29">
        <v>0</v>
      </c>
      <c r="X136" s="159">
        <v>0</v>
      </c>
      <c r="Y136" s="159">
        <v>0</v>
      </c>
      <c r="Z136" s="29">
        <v>1</v>
      </c>
      <c r="AA136" s="29">
        <v>0</v>
      </c>
      <c r="AB136" s="29">
        <v>0</v>
      </c>
      <c r="AC136" s="29">
        <v>0</v>
      </c>
      <c r="AD136" s="29">
        <v>1</v>
      </c>
      <c r="AE136" s="159">
        <v>0</v>
      </c>
      <c r="AF136" s="159">
        <v>0</v>
      </c>
      <c r="AG136" s="160">
        <v>0</v>
      </c>
      <c r="AH136" s="160">
        <v>0</v>
      </c>
      <c r="AI136" s="160">
        <v>0</v>
      </c>
      <c r="AJ136" s="160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160">
        <v>0</v>
      </c>
      <c r="AQ136" s="161">
        <v>0</v>
      </c>
      <c r="AR136" s="161">
        <v>0</v>
      </c>
      <c r="AS136" s="161">
        <v>0</v>
      </c>
      <c r="AT136" s="161">
        <v>0</v>
      </c>
      <c r="AU136" s="161">
        <v>0</v>
      </c>
      <c r="AV136" s="161">
        <v>0</v>
      </c>
      <c r="AW136" s="161">
        <v>0</v>
      </c>
      <c r="AX136" s="162">
        <v>0</v>
      </c>
      <c r="AY136" s="162">
        <v>0</v>
      </c>
      <c r="AZ136" s="162">
        <v>0</v>
      </c>
      <c r="BA136" s="162">
        <v>0</v>
      </c>
      <c r="BB136" s="32"/>
      <c r="BC136" s="63"/>
      <c r="BD136" s="63">
        <f t="shared" si="27"/>
        <v>0</v>
      </c>
      <c r="BE136" s="63"/>
      <c r="BF136" s="32"/>
      <c r="BG136" s="32"/>
      <c r="BH136" s="63"/>
      <c r="BI136" s="64">
        <f t="shared" si="28"/>
        <v>0</v>
      </c>
      <c r="BJ136" s="63"/>
      <c r="BK136" s="32"/>
      <c r="BL136" s="32"/>
      <c r="BM136" s="33"/>
      <c r="BN136" s="33">
        <f t="shared" si="29"/>
        <v>0</v>
      </c>
      <c r="BO136" s="33"/>
      <c r="BP136" s="32"/>
      <c r="BQ136" s="32"/>
      <c r="BR136" s="33"/>
      <c r="BS136" s="33">
        <f t="shared" si="30"/>
        <v>0</v>
      </c>
      <c r="BT136" s="33"/>
      <c r="BU136" s="32"/>
      <c r="BV136" s="32"/>
      <c r="BW136" s="63"/>
      <c r="BX136" s="63">
        <f t="shared" si="31"/>
        <v>0</v>
      </c>
      <c r="BY136" s="63"/>
      <c r="BZ136" s="32"/>
      <c r="CA136" s="32"/>
      <c r="CB136" s="33"/>
      <c r="CC136" s="33">
        <f t="shared" si="32"/>
        <v>0</v>
      </c>
      <c r="CD136" s="33"/>
      <c r="CE136" s="32"/>
      <c r="CF136" s="33"/>
      <c r="CG136" s="33">
        <f t="shared" si="33"/>
        <v>0</v>
      </c>
      <c r="CH136" s="33"/>
      <c r="CI136" s="32"/>
      <c r="CJ136" s="33"/>
      <c r="CK136" s="33">
        <f t="shared" si="34"/>
        <v>0</v>
      </c>
      <c r="CL136" s="33"/>
      <c r="CM136" s="32"/>
      <c r="CN136" s="23"/>
      <c r="CO136" s="5">
        <f t="shared" si="35"/>
        <v>0</v>
      </c>
      <c r="CP136" s="10"/>
      <c r="CQ136" s="6"/>
      <c r="CS136" s="126"/>
      <c r="CT136" s="126"/>
      <c r="CV136" s="126"/>
    </row>
    <row r="137" spans="1:126" ht="15" customHeight="1" x14ac:dyDescent="0.3">
      <c r="A137" s="134">
        <v>200</v>
      </c>
      <c r="B137" s="123" t="s">
        <v>398</v>
      </c>
      <c r="C137" s="16">
        <v>7026786</v>
      </c>
      <c r="D137" s="14" t="s">
        <v>135</v>
      </c>
      <c r="E137" s="15" t="s">
        <v>101</v>
      </c>
      <c r="F137" s="167">
        <v>1</v>
      </c>
      <c r="G137" s="25">
        <v>0</v>
      </c>
      <c r="H137" s="9">
        <v>0</v>
      </c>
      <c r="I137" s="26">
        <v>0</v>
      </c>
      <c r="J137" s="30">
        <v>0</v>
      </c>
      <c r="K137" s="29">
        <v>0</v>
      </c>
      <c r="L137" s="29">
        <v>0</v>
      </c>
      <c r="M137" s="29">
        <v>0</v>
      </c>
      <c r="N137" s="29">
        <v>0</v>
      </c>
      <c r="O137" s="29">
        <v>0</v>
      </c>
      <c r="P137" s="158">
        <v>0</v>
      </c>
      <c r="Q137" s="158">
        <v>0</v>
      </c>
      <c r="R137" s="158">
        <v>0</v>
      </c>
      <c r="S137" s="158">
        <v>0</v>
      </c>
      <c r="T137" s="158">
        <v>0</v>
      </c>
      <c r="U137" s="158">
        <v>0</v>
      </c>
      <c r="V137" s="29">
        <v>0</v>
      </c>
      <c r="W137" s="29">
        <v>0</v>
      </c>
      <c r="X137" s="159">
        <v>0</v>
      </c>
      <c r="Y137" s="159">
        <v>0</v>
      </c>
      <c r="Z137" s="29">
        <v>0</v>
      </c>
      <c r="AA137" s="29">
        <v>0</v>
      </c>
      <c r="AB137" s="29">
        <v>0</v>
      </c>
      <c r="AC137" s="29">
        <v>0</v>
      </c>
      <c r="AD137" s="29">
        <v>0</v>
      </c>
      <c r="AE137" s="159">
        <v>0</v>
      </c>
      <c r="AF137" s="159">
        <v>0</v>
      </c>
      <c r="AG137" s="160">
        <v>0</v>
      </c>
      <c r="AH137" s="160">
        <v>0</v>
      </c>
      <c r="AI137" s="160">
        <v>0</v>
      </c>
      <c r="AJ137" s="160">
        <v>0</v>
      </c>
      <c r="AK137" s="29">
        <v>0</v>
      </c>
      <c r="AL137" s="29">
        <v>0</v>
      </c>
      <c r="AM137" s="29">
        <v>0</v>
      </c>
      <c r="AN137" s="29">
        <v>0</v>
      </c>
      <c r="AO137" s="29">
        <v>0</v>
      </c>
      <c r="AP137" s="160">
        <v>0</v>
      </c>
      <c r="AQ137" s="161">
        <v>0</v>
      </c>
      <c r="AR137" s="161">
        <v>0</v>
      </c>
      <c r="AS137" s="161">
        <v>0</v>
      </c>
      <c r="AT137" s="161">
        <v>0</v>
      </c>
      <c r="AU137" s="161">
        <v>0</v>
      </c>
      <c r="AV137" s="161">
        <v>0</v>
      </c>
      <c r="AW137" s="161">
        <v>0</v>
      </c>
      <c r="AX137" s="162">
        <v>0</v>
      </c>
      <c r="AY137" s="162">
        <v>0</v>
      </c>
      <c r="AZ137" s="162">
        <v>0</v>
      </c>
      <c r="BA137" s="162">
        <v>0</v>
      </c>
      <c r="BB137" s="32"/>
      <c r="BC137" s="63"/>
      <c r="BD137" s="63">
        <f t="shared" si="27"/>
        <v>0</v>
      </c>
      <c r="BE137" s="63"/>
      <c r="BF137" s="32"/>
      <c r="BG137" s="32"/>
      <c r="BH137" s="63"/>
      <c r="BI137" s="64">
        <f t="shared" si="28"/>
        <v>0</v>
      </c>
      <c r="BJ137" s="63"/>
      <c r="BK137" s="32"/>
      <c r="BL137" s="32"/>
      <c r="BM137" s="33"/>
      <c r="BN137" s="33">
        <f t="shared" si="29"/>
        <v>0</v>
      </c>
      <c r="BO137" s="33"/>
      <c r="BP137" s="32"/>
      <c r="BQ137" s="32"/>
      <c r="BR137" s="33"/>
      <c r="BS137" s="33">
        <f t="shared" si="30"/>
        <v>0</v>
      </c>
      <c r="BT137" s="33"/>
      <c r="BU137" s="32"/>
      <c r="BV137" s="32"/>
      <c r="BW137" s="63"/>
      <c r="BX137" s="63">
        <f t="shared" si="31"/>
        <v>0</v>
      </c>
      <c r="BY137" s="63"/>
      <c r="BZ137" s="32"/>
      <c r="CA137" s="32"/>
      <c r="CB137" s="33"/>
      <c r="CC137" s="33">
        <f t="shared" si="32"/>
        <v>0</v>
      </c>
      <c r="CD137" s="33"/>
      <c r="CE137" s="32"/>
      <c r="CF137" s="33"/>
      <c r="CG137" s="33">
        <f t="shared" si="33"/>
        <v>0</v>
      </c>
      <c r="CH137" s="33"/>
      <c r="CI137" s="32"/>
      <c r="CJ137" s="33"/>
      <c r="CK137" s="33">
        <f t="shared" si="34"/>
        <v>0</v>
      </c>
      <c r="CL137" s="33"/>
      <c r="CM137" s="32"/>
      <c r="CN137" s="23"/>
      <c r="CO137" s="5">
        <f t="shared" si="35"/>
        <v>0</v>
      </c>
      <c r="CP137" s="10"/>
      <c r="CQ137" s="6"/>
      <c r="CS137" s="126"/>
      <c r="CT137" s="126"/>
      <c r="CV137" s="126"/>
    </row>
    <row r="138" spans="1:126" ht="16.2" x14ac:dyDescent="0.3">
      <c r="A138" s="134">
        <v>49</v>
      </c>
      <c r="B138" s="35" t="s">
        <v>42</v>
      </c>
      <c r="C138" s="12">
        <v>7093554</v>
      </c>
      <c r="D138" s="13" t="s">
        <v>136</v>
      </c>
      <c r="E138" s="13" t="s">
        <v>137</v>
      </c>
      <c r="F138" s="167">
        <v>1</v>
      </c>
      <c r="G138" s="25">
        <v>0</v>
      </c>
      <c r="H138" s="9">
        <v>0</v>
      </c>
      <c r="I138" s="26">
        <v>0</v>
      </c>
      <c r="J138" s="30">
        <v>0</v>
      </c>
      <c r="K138" s="29">
        <v>1</v>
      </c>
      <c r="L138" s="29">
        <v>0</v>
      </c>
      <c r="M138" s="29">
        <v>1</v>
      </c>
      <c r="N138" s="29">
        <v>0</v>
      </c>
      <c r="O138" s="29">
        <v>0</v>
      </c>
      <c r="P138" s="158">
        <v>1</v>
      </c>
      <c r="Q138" s="158">
        <v>0</v>
      </c>
      <c r="R138" s="158">
        <v>0</v>
      </c>
      <c r="S138" s="158">
        <v>0</v>
      </c>
      <c r="T138" s="158">
        <v>0</v>
      </c>
      <c r="U138" s="158">
        <v>0</v>
      </c>
      <c r="V138" s="29">
        <v>0</v>
      </c>
      <c r="W138" s="29">
        <v>0</v>
      </c>
      <c r="X138" s="159">
        <v>0</v>
      </c>
      <c r="Y138" s="159">
        <v>0</v>
      </c>
      <c r="Z138" s="29">
        <v>1</v>
      </c>
      <c r="AA138" s="29">
        <v>1</v>
      </c>
      <c r="AB138" s="29">
        <v>1</v>
      </c>
      <c r="AC138" s="29">
        <v>0</v>
      </c>
      <c r="AD138" s="29">
        <v>0</v>
      </c>
      <c r="AE138" s="159">
        <v>1</v>
      </c>
      <c r="AF138" s="159">
        <v>1</v>
      </c>
      <c r="AG138" s="160">
        <v>1</v>
      </c>
      <c r="AH138" s="160">
        <v>0</v>
      </c>
      <c r="AI138" s="160">
        <v>0</v>
      </c>
      <c r="AJ138" s="160">
        <v>1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160">
        <v>0</v>
      </c>
      <c r="AQ138" s="161">
        <v>0</v>
      </c>
      <c r="AR138" s="161">
        <v>0</v>
      </c>
      <c r="AS138" s="161">
        <v>0</v>
      </c>
      <c r="AT138" s="161">
        <v>0</v>
      </c>
      <c r="AU138" s="161">
        <v>0</v>
      </c>
      <c r="AV138" s="161">
        <v>0</v>
      </c>
      <c r="AW138" s="161">
        <v>0</v>
      </c>
      <c r="AX138" s="162">
        <v>0</v>
      </c>
      <c r="AY138" s="162">
        <v>0</v>
      </c>
      <c r="AZ138" s="162">
        <v>0</v>
      </c>
      <c r="BA138" s="162">
        <v>1</v>
      </c>
      <c r="BB138" s="32"/>
      <c r="BC138" s="63"/>
      <c r="BD138" s="63">
        <f t="shared" si="27"/>
        <v>0</v>
      </c>
      <c r="BE138" s="63"/>
      <c r="BF138" s="32"/>
      <c r="BG138" s="32"/>
      <c r="BH138" s="63"/>
      <c r="BI138" s="64">
        <f t="shared" si="28"/>
        <v>0</v>
      </c>
      <c r="BJ138" s="63"/>
      <c r="BK138" s="32"/>
      <c r="BL138" s="32"/>
      <c r="BM138" s="33"/>
      <c r="BN138" s="33">
        <f t="shared" si="29"/>
        <v>0</v>
      </c>
      <c r="BO138" s="33"/>
      <c r="BP138" s="32"/>
      <c r="BQ138" s="32"/>
      <c r="BR138" s="33"/>
      <c r="BS138" s="33">
        <f t="shared" si="30"/>
        <v>0</v>
      </c>
      <c r="BT138" s="33"/>
      <c r="BU138" s="32"/>
      <c r="BV138" s="32"/>
      <c r="BW138" s="63"/>
      <c r="BX138" s="63">
        <f t="shared" si="31"/>
        <v>0</v>
      </c>
      <c r="BY138" s="63"/>
      <c r="BZ138" s="32"/>
      <c r="CA138" s="32"/>
      <c r="CB138" s="33"/>
      <c r="CC138" s="33">
        <f t="shared" si="32"/>
        <v>0</v>
      </c>
      <c r="CD138" s="33"/>
      <c r="CE138" s="32"/>
      <c r="CF138" s="33"/>
      <c r="CG138" s="33">
        <f t="shared" si="33"/>
        <v>0</v>
      </c>
      <c r="CH138" s="33"/>
      <c r="CI138" s="32"/>
      <c r="CJ138" s="33"/>
      <c r="CK138" s="33">
        <f t="shared" si="34"/>
        <v>0</v>
      </c>
      <c r="CL138" s="33"/>
      <c r="CM138" s="32"/>
      <c r="CN138" s="23"/>
      <c r="CO138" s="5">
        <f t="shared" si="35"/>
        <v>0</v>
      </c>
      <c r="CP138" s="10"/>
      <c r="CQ138" s="6"/>
      <c r="CS138" s="126"/>
      <c r="CT138" s="126"/>
      <c r="CV138" s="126"/>
    </row>
    <row r="139" spans="1:126" ht="16.2" x14ac:dyDescent="0.3">
      <c r="A139" s="134">
        <v>100</v>
      </c>
      <c r="B139" s="123" t="s">
        <v>397</v>
      </c>
      <c r="C139" s="12">
        <v>7096593</v>
      </c>
      <c r="D139" s="13" t="s">
        <v>386</v>
      </c>
      <c r="E139" s="13" t="s">
        <v>196</v>
      </c>
      <c r="F139" s="167">
        <v>1</v>
      </c>
      <c r="G139" s="25">
        <v>0</v>
      </c>
      <c r="H139" s="9">
        <v>0</v>
      </c>
      <c r="I139" s="26">
        <v>0</v>
      </c>
      <c r="J139" s="30">
        <v>0</v>
      </c>
      <c r="K139" s="29">
        <v>1</v>
      </c>
      <c r="L139" s="29">
        <v>0</v>
      </c>
      <c r="M139" s="29">
        <v>0</v>
      </c>
      <c r="N139" s="29">
        <v>0</v>
      </c>
      <c r="O139" s="29">
        <v>0</v>
      </c>
      <c r="P139" s="158">
        <v>0</v>
      </c>
      <c r="Q139" s="158">
        <v>1</v>
      </c>
      <c r="R139" s="158">
        <v>0</v>
      </c>
      <c r="S139" s="158">
        <v>0</v>
      </c>
      <c r="T139" s="158">
        <v>0</v>
      </c>
      <c r="U139" s="158">
        <v>1</v>
      </c>
      <c r="V139" s="29">
        <v>0</v>
      </c>
      <c r="W139" s="29">
        <v>0</v>
      </c>
      <c r="X139" s="159">
        <v>0</v>
      </c>
      <c r="Y139" s="159">
        <v>0</v>
      </c>
      <c r="Z139" s="29">
        <v>0</v>
      </c>
      <c r="AA139" s="29">
        <v>0</v>
      </c>
      <c r="AB139" s="29">
        <v>0</v>
      </c>
      <c r="AC139" s="29">
        <v>0</v>
      </c>
      <c r="AD139" s="29">
        <v>0</v>
      </c>
      <c r="AE139" s="159">
        <v>1</v>
      </c>
      <c r="AF139" s="159">
        <v>1</v>
      </c>
      <c r="AG139" s="160">
        <v>0</v>
      </c>
      <c r="AH139" s="160">
        <v>0</v>
      </c>
      <c r="AI139" s="160">
        <v>0</v>
      </c>
      <c r="AJ139" s="160">
        <v>0</v>
      </c>
      <c r="AK139" s="29">
        <v>0</v>
      </c>
      <c r="AL139" s="29">
        <v>0</v>
      </c>
      <c r="AM139" s="29">
        <v>0</v>
      </c>
      <c r="AN139" s="29">
        <v>0</v>
      </c>
      <c r="AO139" s="29">
        <v>0</v>
      </c>
      <c r="AP139" s="160">
        <v>0</v>
      </c>
      <c r="AQ139" s="161">
        <v>0</v>
      </c>
      <c r="AR139" s="161">
        <v>0</v>
      </c>
      <c r="AS139" s="161">
        <v>0</v>
      </c>
      <c r="AT139" s="161">
        <v>0</v>
      </c>
      <c r="AU139" s="161">
        <v>0</v>
      </c>
      <c r="AV139" s="161">
        <v>0</v>
      </c>
      <c r="AW139" s="161">
        <v>0</v>
      </c>
      <c r="AX139" s="162">
        <v>0</v>
      </c>
      <c r="AY139" s="162">
        <v>0</v>
      </c>
      <c r="AZ139" s="162">
        <v>0</v>
      </c>
      <c r="BA139" s="162">
        <v>1</v>
      </c>
      <c r="BB139" s="32"/>
      <c r="BC139" s="63"/>
      <c r="BD139" s="63">
        <f t="shared" si="27"/>
        <v>0</v>
      </c>
      <c r="BE139" s="63"/>
      <c r="BF139" s="32"/>
      <c r="BG139" s="32"/>
      <c r="BH139" s="63"/>
      <c r="BI139" s="64">
        <f t="shared" si="28"/>
        <v>0</v>
      </c>
      <c r="BJ139" s="63"/>
      <c r="BK139" s="32"/>
      <c r="BL139" s="32"/>
      <c r="BM139" s="33"/>
      <c r="BN139" s="33">
        <f t="shared" si="29"/>
        <v>0</v>
      </c>
      <c r="BO139" s="33"/>
      <c r="BP139" s="32"/>
      <c r="BQ139" s="32"/>
      <c r="BR139" s="33"/>
      <c r="BS139" s="33">
        <f t="shared" si="30"/>
        <v>0</v>
      </c>
      <c r="BT139" s="33"/>
      <c r="BU139" s="32"/>
      <c r="BV139" s="32"/>
      <c r="BW139" s="63"/>
      <c r="BX139" s="63">
        <f t="shared" si="31"/>
        <v>0</v>
      </c>
      <c r="BY139" s="63"/>
      <c r="BZ139" s="32"/>
      <c r="CA139" s="32"/>
      <c r="CB139" s="33"/>
      <c r="CC139" s="33">
        <f t="shared" si="32"/>
        <v>0</v>
      </c>
      <c r="CD139" s="33"/>
      <c r="CE139" s="32"/>
      <c r="CF139" s="33"/>
      <c r="CG139" s="33">
        <f t="shared" si="33"/>
        <v>0</v>
      </c>
      <c r="CH139" s="33"/>
      <c r="CI139" s="32"/>
      <c r="CJ139" s="33"/>
      <c r="CK139" s="33">
        <f t="shared" si="34"/>
        <v>0</v>
      </c>
      <c r="CL139" s="33"/>
      <c r="CM139" s="32"/>
      <c r="CN139" s="23"/>
      <c r="CO139" s="5">
        <f t="shared" si="35"/>
        <v>0</v>
      </c>
      <c r="CP139" s="10"/>
      <c r="CQ139" s="6"/>
      <c r="CS139" s="126"/>
      <c r="CT139" s="126"/>
      <c r="CV139" s="126"/>
    </row>
    <row r="140" spans="1:126" ht="16.2" x14ac:dyDescent="0.3">
      <c r="A140" s="134">
        <v>145</v>
      </c>
      <c r="B140" s="123" t="s">
        <v>455</v>
      </c>
      <c r="C140" s="12">
        <v>7095746</v>
      </c>
      <c r="D140" s="13" t="s">
        <v>471</v>
      </c>
      <c r="E140" s="13" t="s">
        <v>113</v>
      </c>
      <c r="F140" s="167">
        <v>1</v>
      </c>
      <c r="G140" s="25">
        <v>0</v>
      </c>
      <c r="H140" s="9">
        <v>0</v>
      </c>
      <c r="I140" s="26">
        <v>0</v>
      </c>
      <c r="J140" s="30">
        <v>0</v>
      </c>
      <c r="K140" s="29">
        <v>1</v>
      </c>
      <c r="L140" s="29">
        <v>0</v>
      </c>
      <c r="M140" s="29">
        <v>0</v>
      </c>
      <c r="N140" s="29">
        <v>0</v>
      </c>
      <c r="O140" s="29">
        <v>0</v>
      </c>
      <c r="P140" s="158">
        <v>0</v>
      </c>
      <c r="Q140" s="158">
        <v>1</v>
      </c>
      <c r="R140" s="158">
        <v>0</v>
      </c>
      <c r="S140" s="158">
        <v>0</v>
      </c>
      <c r="T140" s="158">
        <v>0</v>
      </c>
      <c r="U140" s="158">
        <v>0</v>
      </c>
      <c r="V140" s="29">
        <v>0</v>
      </c>
      <c r="W140" s="29">
        <v>0</v>
      </c>
      <c r="X140" s="159">
        <v>0</v>
      </c>
      <c r="Y140" s="159">
        <v>0</v>
      </c>
      <c r="Z140" s="29">
        <v>1</v>
      </c>
      <c r="AA140" s="29">
        <v>1</v>
      </c>
      <c r="AB140" s="29">
        <v>0</v>
      </c>
      <c r="AC140" s="29">
        <v>0</v>
      </c>
      <c r="AD140" s="29">
        <v>0</v>
      </c>
      <c r="AE140" s="159">
        <v>0</v>
      </c>
      <c r="AF140" s="159">
        <v>1</v>
      </c>
      <c r="AG140" s="160">
        <v>0</v>
      </c>
      <c r="AH140" s="160">
        <v>0</v>
      </c>
      <c r="AI140" s="160">
        <v>0</v>
      </c>
      <c r="AJ140" s="160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160">
        <v>0</v>
      </c>
      <c r="AQ140" s="161">
        <v>1</v>
      </c>
      <c r="AR140" s="161">
        <v>0</v>
      </c>
      <c r="AS140" s="161">
        <v>0</v>
      </c>
      <c r="AT140" s="161">
        <v>0</v>
      </c>
      <c r="AU140" s="161">
        <v>0</v>
      </c>
      <c r="AV140" s="161">
        <v>0</v>
      </c>
      <c r="AW140" s="161">
        <v>0</v>
      </c>
      <c r="AX140" s="162">
        <v>0</v>
      </c>
      <c r="AY140" s="162">
        <v>0</v>
      </c>
      <c r="AZ140" s="162">
        <v>0</v>
      </c>
      <c r="BA140" s="162">
        <v>1</v>
      </c>
      <c r="BB140" s="32"/>
      <c r="BC140" s="63"/>
      <c r="BD140" s="63">
        <f t="shared" si="27"/>
        <v>0</v>
      </c>
      <c r="BE140" s="63"/>
      <c r="BF140" s="32"/>
      <c r="BG140" s="32"/>
      <c r="BH140" s="63"/>
      <c r="BI140" s="64">
        <f t="shared" si="28"/>
        <v>0</v>
      </c>
      <c r="BJ140" s="63"/>
      <c r="BK140" s="32"/>
      <c r="BL140" s="32"/>
      <c r="BM140" s="33"/>
      <c r="BN140" s="33">
        <f t="shared" si="29"/>
        <v>0</v>
      </c>
      <c r="BO140" s="33"/>
      <c r="BP140" s="32"/>
      <c r="BQ140" s="32"/>
      <c r="BR140" s="33"/>
      <c r="BS140" s="33">
        <f t="shared" si="30"/>
        <v>0</v>
      </c>
      <c r="BT140" s="33"/>
      <c r="BU140" s="32"/>
      <c r="BV140" s="32"/>
      <c r="BW140" s="63"/>
      <c r="BX140" s="63">
        <f t="shared" si="31"/>
        <v>0</v>
      </c>
      <c r="BY140" s="63"/>
      <c r="BZ140" s="32"/>
      <c r="CA140" s="32"/>
      <c r="CB140" s="33"/>
      <c r="CC140" s="33">
        <f t="shared" si="32"/>
        <v>0</v>
      </c>
      <c r="CD140" s="33"/>
      <c r="CE140" s="32"/>
      <c r="CF140" s="33"/>
      <c r="CG140" s="33">
        <f t="shared" si="33"/>
        <v>0</v>
      </c>
      <c r="CH140" s="33"/>
      <c r="CI140" s="32"/>
      <c r="CJ140" s="33"/>
      <c r="CK140" s="33">
        <f t="shared" si="34"/>
        <v>0</v>
      </c>
      <c r="CL140" s="33"/>
      <c r="CM140" s="32"/>
      <c r="CN140" s="23"/>
      <c r="CO140" s="5">
        <f t="shared" si="35"/>
        <v>0</v>
      </c>
      <c r="CP140" s="10"/>
      <c r="CQ140" s="6"/>
      <c r="CS140" s="126"/>
      <c r="CT140" s="126"/>
      <c r="CV140" s="126"/>
    </row>
    <row r="141" spans="1:126" ht="16.2" x14ac:dyDescent="0.3">
      <c r="A141" s="134">
        <v>4</v>
      </c>
      <c r="B141" s="123" t="s">
        <v>343</v>
      </c>
      <c r="C141" s="16">
        <v>7027005</v>
      </c>
      <c r="D141" s="14" t="s">
        <v>138</v>
      </c>
      <c r="E141" s="15" t="s">
        <v>134</v>
      </c>
      <c r="F141" s="167">
        <v>1</v>
      </c>
      <c r="G141" s="25">
        <v>0</v>
      </c>
      <c r="H141" s="9">
        <v>0</v>
      </c>
      <c r="I141" s="26">
        <v>0</v>
      </c>
      <c r="J141" s="30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0</v>
      </c>
      <c r="P141" s="158">
        <v>0</v>
      </c>
      <c r="Q141" s="158">
        <v>0</v>
      </c>
      <c r="R141" s="158">
        <v>0</v>
      </c>
      <c r="S141" s="158">
        <v>0</v>
      </c>
      <c r="T141" s="158">
        <v>0</v>
      </c>
      <c r="U141" s="158">
        <v>0</v>
      </c>
      <c r="V141" s="29">
        <v>0</v>
      </c>
      <c r="W141" s="29">
        <v>0</v>
      </c>
      <c r="X141" s="159">
        <v>0</v>
      </c>
      <c r="Y141" s="159">
        <v>0</v>
      </c>
      <c r="Z141" s="29">
        <v>0</v>
      </c>
      <c r="AA141" s="29">
        <v>0</v>
      </c>
      <c r="AB141" s="29">
        <v>0</v>
      </c>
      <c r="AC141" s="29">
        <v>0</v>
      </c>
      <c r="AD141" s="29">
        <v>0</v>
      </c>
      <c r="AE141" s="159">
        <v>0</v>
      </c>
      <c r="AF141" s="159">
        <v>0</v>
      </c>
      <c r="AG141" s="160">
        <v>0</v>
      </c>
      <c r="AH141" s="160">
        <v>0</v>
      </c>
      <c r="AI141" s="160">
        <v>0</v>
      </c>
      <c r="AJ141" s="160">
        <v>0</v>
      </c>
      <c r="AK141" s="29">
        <v>0</v>
      </c>
      <c r="AL141" s="29">
        <v>0</v>
      </c>
      <c r="AM141" s="29">
        <v>0</v>
      </c>
      <c r="AN141" s="29">
        <v>0</v>
      </c>
      <c r="AO141" s="29">
        <v>0</v>
      </c>
      <c r="AP141" s="160">
        <v>0</v>
      </c>
      <c r="AQ141" s="161">
        <v>0</v>
      </c>
      <c r="AR141" s="161">
        <v>0</v>
      </c>
      <c r="AS141" s="161">
        <v>0</v>
      </c>
      <c r="AT141" s="161">
        <v>0</v>
      </c>
      <c r="AU141" s="161">
        <v>0</v>
      </c>
      <c r="AV141" s="161">
        <v>0</v>
      </c>
      <c r="AW141" s="161">
        <v>0</v>
      </c>
      <c r="AX141" s="162">
        <v>0</v>
      </c>
      <c r="AY141" s="162">
        <v>0</v>
      </c>
      <c r="AZ141" s="162">
        <v>0</v>
      </c>
      <c r="BA141" s="162">
        <v>0</v>
      </c>
      <c r="BB141" s="32"/>
      <c r="BC141" s="63"/>
      <c r="BD141" s="63">
        <f t="shared" si="27"/>
        <v>0</v>
      </c>
      <c r="BE141" s="63"/>
      <c r="BF141" s="32"/>
      <c r="BG141" s="32"/>
      <c r="BH141" s="63"/>
      <c r="BI141" s="64">
        <f t="shared" si="28"/>
        <v>0</v>
      </c>
      <c r="BJ141" s="63"/>
      <c r="BK141" s="32"/>
      <c r="BL141" s="32"/>
      <c r="BM141" s="33"/>
      <c r="BN141" s="33">
        <f t="shared" si="29"/>
        <v>0</v>
      </c>
      <c r="BO141" s="33"/>
      <c r="BP141" s="32"/>
      <c r="BQ141" s="32"/>
      <c r="BR141" s="33"/>
      <c r="BS141" s="33">
        <f t="shared" si="30"/>
        <v>0</v>
      </c>
      <c r="BT141" s="33"/>
      <c r="BU141" s="32"/>
      <c r="BV141" s="32"/>
      <c r="BW141" s="63"/>
      <c r="BX141" s="63">
        <f t="shared" si="31"/>
        <v>0</v>
      </c>
      <c r="BY141" s="63"/>
      <c r="BZ141" s="32"/>
      <c r="CA141" s="32"/>
      <c r="CB141" s="33"/>
      <c r="CC141" s="33">
        <f t="shared" si="32"/>
        <v>0</v>
      </c>
      <c r="CD141" s="33"/>
      <c r="CE141" s="32"/>
      <c r="CF141" s="33"/>
      <c r="CG141" s="33">
        <f t="shared" si="33"/>
        <v>0</v>
      </c>
      <c r="CH141" s="33"/>
      <c r="CI141" s="32"/>
      <c r="CJ141" s="33"/>
      <c r="CK141" s="33">
        <f t="shared" si="34"/>
        <v>0</v>
      </c>
      <c r="CL141" s="33"/>
      <c r="CM141" s="32"/>
      <c r="CN141" s="23"/>
      <c r="CO141" s="5">
        <f t="shared" si="35"/>
        <v>0</v>
      </c>
      <c r="CP141" s="10"/>
      <c r="CQ141" s="6"/>
      <c r="CS141" s="126"/>
      <c r="CT141" s="126"/>
      <c r="CV141" s="126"/>
    </row>
    <row r="142" spans="1:126" ht="16.2" x14ac:dyDescent="0.3">
      <c r="A142" s="134">
        <v>54</v>
      </c>
      <c r="B142" s="35" t="s">
        <v>502</v>
      </c>
      <c r="C142" s="11">
        <v>7093548</v>
      </c>
      <c r="D142" s="11" t="s">
        <v>139</v>
      </c>
      <c r="E142" s="27" t="s">
        <v>140</v>
      </c>
      <c r="F142" s="167">
        <v>1</v>
      </c>
      <c r="G142" s="25">
        <v>0</v>
      </c>
      <c r="H142" s="9">
        <v>0</v>
      </c>
      <c r="I142" s="26">
        <v>0</v>
      </c>
      <c r="J142" s="30">
        <v>0</v>
      </c>
      <c r="K142" s="29">
        <v>1</v>
      </c>
      <c r="L142" s="29">
        <v>0</v>
      </c>
      <c r="M142" s="29">
        <v>0</v>
      </c>
      <c r="N142" s="29">
        <v>0</v>
      </c>
      <c r="O142" s="29">
        <v>0</v>
      </c>
      <c r="P142" s="158">
        <v>0</v>
      </c>
      <c r="Q142" s="158">
        <v>0</v>
      </c>
      <c r="R142" s="158">
        <v>0</v>
      </c>
      <c r="S142" s="158">
        <v>0</v>
      </c>
      <c r="T142" s="158">
        <v>0</v>
      </c>
      <c r="U142" s="158">
        <v>0</v>
      </c>
      <c r="V142" s="29">
        <v>0</v>
      </c>
      <c r="W142" s="29">
        <v>0</v>
      </c>
      <c r="X142" s="159">
        <v>0</v>
      </c>
      <c r="Y142" s="15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159">
        <v>1</v>
      </c>
      <c r="AF142" s="159">
        <v>1</v>
      </c>
      <c r="AG142" s="160">
        <v>1</v>
      </c>
      <c r="AH142" s="160">
        <v>0</v>
      </c>
      <c r="AI142" s="160">
        <v>0</v>
      </c>
      <c r="AJ142" s="160">
        <v>0</v>
      </c>
      <c r="AK142" s="29">
        <v>1</v>
      </c>
      <c r="AL142" s="29">
        <v>0</v>
      </c>
      <c r="AM142" s="29">
        <v>1</v>
      </c>
      <c r="AN142" s="29">
        <v>1</v>
      </c>
      <c r="AO142" s="29">
        <v>1</v>
      </c>
      <c r="AP142" s="160">
        <v>0</v>
      </c>
      <c r="AQ142" s="161">
        <v>0</v>
      </c>
      <c r="AR142" s="161">
        <v>0</v>
      </c>
      <c r="AS142" s="161">
        <v>0</v>
      </c>
      <c r="AT142" s="161">
        <v>0</v>
      </c>
      <c r="AU142" s="161">
        <v>0</v>
      </c>
      <c r="AV142" s="161">
        <v>0</v>
      </c>
      <c r="AW142" s="161">
        <v>0</v>
      </c>
      <c r="AX142" s="162">
        <v>0</v>
      </c>
      <c r="AY142" s="162">
        <v>0</v>
      </c>
      <c r="AZ142" s="162">
        <v>0</v>
      </c>
      <c r="BA142" s="162">
        <v>1</v>
      </c>
      <c r="BB142" s="32"/>
      <c r="BC142" s="63"/>
      <c r="BD142" s="63">
        <f t="shared" si="27"/>
        <v>0</v>
      </c>
      <c r="BE142" s="63"/>
      <c r="BF142" s="32"/>
      <c r="BG142" s="32"/>
      <c r="BH142" s="63"/>
      <c r="BI142" s="64">
        <f t="shared" si="28"/>
        <v>0</v>
      </c>
      <c r="BJ142" s="63"/>
      <c r="BK142" s="32"/>
      <c r="BL142" s="32"/>
      <c r="BM142" s="33"/>
      <c r="BN142" s="33">
        <f t="shared" si="29"/>
        <v>0</v>
      </c>
      <c r="BO142" s="33"/>
      <c r="BP142" s="32"/>
      <c r="BQ142" s="32"/>
      <c r="BR142" s="33"/>
      <c r="BS142" s="33">
        <f t="shared" si="30"/>
        <v>0</v>
      </c>
      <c r="BT142" s="33"/>
      <c r="BU142" s="32"/>
      <c r="BV142" s="32"/>
      <c r="BW142" s="63"/>
      <c r="BX142" s="63">
        <f t="shared" si="31"/>
        <v>0</v>
      </c>
      <c r="BY142" s="63"/>
      <c r="BZ142" s="32"/>
      <c r="CA142" s="32"/>
      <c r="CB142" s="33"/>
      <c r="CC142" s="33">
        <f t="shared" si="32"/>
        <v>0</v>
      </c>
      <c r="CD142" s="33"/>
      <c r="CE142" s="32"/>
      <c r="CF142" s="33"/>
      <c r="CG142" s="33">
        <f t="shared" si="33"/>
        <v>0</v>
      </c>
      <c r="CH142" s="33"/>
      <c r="CI142" s="32"/>
      <c r="CJ142" s="33"/>
      <c r="CK142" s="33">
        <f t="shared" si="34"/>
        <v>0</v>
      </c>
      <c r="CL142" s="33"/>
      <c r="CM142" s="32"/>
      <c r="CN142" s="23"/>
      <c r="CO142" s="5">
        <f t="shared" si="35"/>
        <v>0</v>
      </c>
      <c r="CP142" s="10"/>
      <c r="CQ142" s="6"/>
      <c r="CS142" s="126"/>
      <c r="CT142" s="126"/>
      <c r="CV142" s="126"/>
    </row>
    <row r="143" spans="1:126" ht="16.2" x14ac:dyDescent="0.3">
      <c r="A143" s="138">
        <v>101</v>
      </c>
      <c r="B143" s="123" t="s">
        <v>398</v>
      </c>
      <c r="C143" s="12">
        <v>7095821</v>
      </c>
      <c r="D143" s="13" t="s">
        <v>139</v>
      </c>
      <c r="E143" s="13" t="s">
        <v>134</v>
      </c>
      <c r="F143" s="167">
        <v>1</v>
      </c>
      <c r="G143" s="25">
        <v>0</v>
      </c>
      <c r="H143" s="9">
        <v>0</v>
      </c>
      <c r="I143" s="26">
        <v>0</v>
      </c>
      <c r="J143" s="30">
        <v>0</v>
      </c>
      <c r="K143" s="29">
        <v>1</v>
      </c>
      <c r="L143" s="29">
        <v>0</v>
      </c>
      <c r="M143" s="29">
        <v>0</v>
      </c>
      <c r="N143" s="29">
        <v>1</v>
      </c>
      <c r="O143" s="29">
        <v>1</v>
      </c>
      <c r="P143" s="158">
        <v>1</v>
      </c>
      <c r="Q143" s="158">
        <v>1</v>
      </c>
      <c r="R143" s="158">
        <v>0</v>
      </c>
      <c r="S143" s="158">
        <v>0</v>
      </c>
      <c r="T143" s="158">
        <v>0</v>
      </c>
      <c r="U143" s="158">
        <v>0</v>
      </c>
      <c r="V143" s="29">
        <v>0</v>
      </c>
      <c r="W143" s="29">
        <v>0</v>
      </c>
      <c r="X143" s="159">
        <v>0</v>
      </c>
      <c r="Y143" s="159">
        <v>0</v>
      </c>
      <c r="Z143" s="29">
        <v>0</v>
      </c>
      <c r="AA143" s="29">
        <v>0</v>
      </c>
      <c r="AB143" s="29">
        <v>0</v>
      </c>
      <c r="AC143" s="29">
        <v>0</v>
      </c>
      <c r="AD143" s="29">
        <v>0</v>
      </c>
      <c r="AE143" s="159">
        <v>1</v>
      </c>
      <c r="AF143" s="159">
        <v>1</v>
      </c>
      <c r="AG143" s="160">
        <v>0</v>
      </c>
      <c r="AH143" s="160">
        <v>0</v>
      </c>
      <c r="AI143" s="160">
        <v>0</v>
      </c>
      <c r="AJ143" s="160">
        <v>0</v>
      </c>
      <c r="AK143" s="29">
        <v>0</v>
      </c>
      <c r="AL143" s="29">
        <v>0</v>
      </c>
      <c r="AM143" s="29">
        <v>0</v>
      </c>
      <c r="AN143" s="29">
        <v>0</v>
      </c>
      <c r="AO143" s="29">
        <v>0</v>
      </c>
      <c r="AP143" s="160">
        <v>0</v>
      </c>
      <c r="AQ143" s="161">
        <v>0</v>
      </c>
      <c r="AR143" s="161">
        <v>0</v>
      </c>
      <c r="AS143" s="161">
        <v>0</v>
      </c>
      <c r="AT143" s="161">
        <v>0</v>
      </c>
      <c r="AU143" s="161">
        <v>0</v>
      </c>
      <c r="AV143" s="161">
        <v>0</v>
      </c>
      <c r="AW143" s="161">
        <v>0</v>
      </c>
      <c r="AX143" s="162">
        <v>1</v>
      </c>
      <c r="AY143" s="162">
        <v>1</v>
      </c>
      <c r="AZ143" s="162">
        <v>1</v>
      </c>
      <c r="BA143" s="162">
        <v>1</v>
      </c>
      <c r="BB143" s="32"/>
      <c r="BC143" s="63"/>
      <c r="BD143" s="63">
        <f t="shared" si="27"/>
        <v>0</v>
      </c>
      <c r="BE143" s="63"/>
      <c r="BF143" s="32"/>
      <c r="BG143" s="32"/>
      <c r="BH143" s="63"/>
      <c r="BI143" s="64">
        <f t="shared" si="28"/>
        <v>0</v>
      </c>
      <c r="BJ143" s="63"/>
      <c r="BK143" s="32"/>
      <c r="BL143" s="32"/>
      <c r="BM143" s="33"/>
      <c r="BN143" s="33">
        <f t="shared" si="29"/>
        <v>0</v>
      </c>
      <c r="BO143" s="33"/>
      <c r="BP143" s="32"/>
      <c r="BQ143" s="32"/>
      <c r="BR143" s="33"/>
      <c r="BS143" s="33">
        <f t="shared" si="30"/>
        <v>0</v>
      </c>
      <c r="BT143" s="33"/>
      <c r="BU143" s="32"/>
      <c r="BV143" s="32"/>
      <c r="BW143" s="63"/>
      <c r="BX143" s="63">
        <f t="shared" si="31"/>
        <v>0</v>
      </c>
      <c r="BY143" s="63"/>
      <c r="BZ143" s="32"/>
      <c r="CA143" s="32"/>
      <c r="CB143" s="33"/>
      <c r="CC143" s="33">
        <f t="shared" si="32"/>
        <v>0</v>
      </c>
      <c r="CD143" s="33"/>
      <c r="CE143" s="32"/>
      <c r="CF143" s="33"/>
      <c r="CG143" s="33">
        <f t="shared" si="33"/>
        <v>0</v>
      </c>
      <c r="CH143" s="33"/>
      <c r="CI143" s="32"/>
      <c r="CJ143" s="33"/>
      <c r="CK143" s="33">
        <f t="shared" si="34"/>
        <v>0</v>
      </c>
      <c r="CL143" s="33"/>
      <c r="CM143" s="32"/>
      <c r="CN143" s="23"/>
      <c r="CO143" s="5">
        <f t="shared" si="35"/>
        <v>0</v>
      </c>
      <c r="CP143" s="10"/>
      <c r="CQ143" s="6"/>
      <c r="CS143" s="126"/>
      <c r="CT143" s="126"/>
      <c r="CV143" s="126"/>
    </row>
    <row r="144" spans="1:126" ht="16.2" x14ac:dyDescent="0.3">
      <c r="A144" s="134">
        <v>23</v>
      </c>
      <c r="B144" s="35" t="s">
        <v>42</v>
      </c>
      <c r="C144" s="16">
        <v>7051765</v>
      </c>
      <c r="D144" s="14" t="s">
        <v>139</v>
      </c>
      <c r="E144" s="15" t="s">
        <v>55</v>
      </c>
      <c r="F144" s="167">
        <v>1</v>
      </c>
      <c r="G144" s="25">
        <v>0</v>
      </c>
      <c r="H144" s="9">
        <v>0</v>
      </c>
      <c r="I144" s="26">
        <v>0</v>
      </c>
      <c r="J144" s="30">
        <v>0</v>
      </c>
      <c r="K144" s="29">
        <v>1</v>
      </c>
      <c r="L144" s="29">
        <v>0</v>
      </c>
      <c r="M144" s="29">
        <v>1</v>
      </c>
      <c r="N144" s="29">
        <v>1</v>
      </c>
      <c r="O144" s="29">
        <v>1</v>
      </c>
      <c r="P144" s="158">
        <v>1</v>
      </c>
      <c r="Q144" s="158">
        <v>1</v>
      </c>
      <c r="R144" s="158">
        <v>0</v>
      </c>
      <c r="S144" s="158">
        <v>1</v>
      </c>
      <c r="T144" s="158">
        <v>0</v>
      </c>
      <c r="U144" s="158">
        <v>0</v>
      </c>
      <c r="V144" s="29">
        <v>1</v>
      </c>
      <c r="W144" s="29">
        <v>1</v>
      </c>
      <c r="X144" s="159">
        <v>1</v>
      </c>
      <c r="Y144" s="159">
        <v>1</v>
      </c>
      <c r="Z144" s="29">
        <v>0</v>
      </c>
      <c r="AA144" s="29">
        <v>1</v>
      </c>
      <c r="AB144" s="29">
        <v>0</v>
      </c>
      <c r="AC144" s="29">
        <v>0</v>
      </c>
      <c r="AD144" s="29">
        <v>0</v>
      </c>
      <c r="AE144" s="159">
        <v>1</v>
      </c>
      <c r="AF144" s="159">
        <v>1</v>
      </c>
      <c r="AG144" s="160">
        <v>1</v>
      </c>
      <c r="AH144" s="160">
        <v>0</v>
      </c>
      <c r="AI144" s="160">
        <v>0</v>
      </c>
      <c r="AJ144" s="160">
        <v>1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160">
        <v>0</v>
      </c>
      <c r="AQ144" s="161">
        <v>0</v>
      </c>
      <c r="AR144" s="161">
        <v>0</v>
      </c>
      <c r="AS144" s="161">
        <v>0</v>
      </c>
      <c r="AT144" s="161">
        <v>0</v>
      </c>
      <c r="AU144" s="161">
        <v>0</v>
      </c>
      <c r="AV144" s="161">
        <v>0</v>
      </c>
      <c r="AW144" s="161">
        <v>0</v>
      </c>
      <c r="AX144" s="162">
        <v>0</v>
      </c>
      <c r="AY144" s="162">
        <v>1</v>
      </c>
      <c r="AZ144" s="162">
        <v>1</v>
      </c>
      <c r="BA144" s="162">
        <v>1</v>
      </c>
      <c r="BB144" s="32"/>
      <c r="BC144" s="63"/>
      <c r="BD144" s="63">
        <f t="shared" si="27"/>
        <v>0</v>
      </c>
      <c r="BE144" s="63"/>
      <c r="BF144" s="32"/>
      <c r="BG144" s="32"/>
      <c r="BH144" s="63"/>
      <c r="BI144" s="64">
        <f t="shared" si="28"/>
        <v>0</v>
      </c>
      <c r="BJ144" s="63"/>
      <c r="BK144" s="32"/>
      <c r="BL144" s="32"/>
      <c r="BM144" s="33"/>
      <c r="BN144" s="33">
        <f t="shared" si="29"/>
        <v>0</v>
      </c>
      <c r="BO144" s="33"/>
      <c r="BP144" s="32"/>
      <c r="BQ144" s="32"/>
      <c r="BR144" s="33"/>
      <c r="BS144" s="33">
        <f t="shared" si="30"/>
        <v>0</v>
      </c>
      <c r="BT144" s="33"/>
      <c r="BU144" s="32"/>
      <c r="BV144" s="32"/>
      <c r="BW144" s="63"/>
      <c r="BX144" s="63">
        <f t="shared" si="31"/>
        <v>0</v>
      </c>
      <c r="BY144" s="63"/>
      <c r="BZ144" s="32"/>
      <c r="CA144" s="32"/>
      <c r="CB144" s="33"/>
      <c r="CC144" s="33">
        <f t="shared" si="32"/>
        <v>0</v>
      </c>
      <c r="CD144" s="33"/>
      <c r="CE144" s="32"/>
      <c r="CF144" s="33"/>
      <c r="CG144" s="33">
        <f t="shared" si="33"/>
        <v>0</v>
      </c>
      <c r="CH144" s="33"/>
      <c r="CI144" s="32"/>
      <c r="CJ144" s="33"/>
      <c r="CK144" s="33">
        <f t="shared" si="34"/>
        <v>0</v>
      </c>
      <c r="CL144" s="33"/>
      <c r="CM144" s="32"/>
      <c r="CN144" s="23"/>
      <c r="CO144" s="5">
        <f t="shared" si="35"/>
        <v>0</v>
      </c>
      <c r="CP144" s="10"/>
      <c r="CQ144" s="6"/>
      <c r="CS144" s="126"/>
      <c r="CT144" s="126"/>
      <c r="CV144" s="126"/>
    </row>
    <row r="145" spans="1:100" ht="16.2" x14ac:dyDescent="0.3">
      <c r="A145" s="134">
        <v>141</v>
      </c>
      <c r="B145" s="123" t="s">
        <v>455</v>
      </c>
      <c r="C145" s="12">
        <v>7403386</v>
      </c>
      <c r="D145" s="13" t="s">
        <v>472</v>
      </c>
      <c r="E145" s="13" t="s">
        <v>186</v>
      </c>
      <c r="F145" s="167">
        <v>1</v>
      </c>
      <c r="G145" s="25">
        <v>0</v>
      </c>
      <c r="H145" s="9">
        <v>0</v>
      </c>
      <c r="I145" s="26">
        <v>0</v>
      </c>
      <c r="J145" s="30">
        <v>0</v>
      </c>
      <c r="K145" s="29">
        <v>0</v>
      </c>
      <c r="L145" s="29">
        <v>0</v>
      </c>
      <c r="M145" s="29">
        <v>0</v>
      </c>
      <c r="N145" s="29">
        <v>1</v>
      </c>
      <c r="O145" s="29">
        <v>1</v>
      </c>
      <c r="P145" s="158">
        <v>1</v>
      </c>
      <c r="Q145" s="158">
        <v>1</v>
      </c>
      <c r="R145" s="158">
        <v>0</v>
      </c>
      <c r="S145" s="158">
        <v>0</v>
      </c>
      <c r="T145" s="158">
        <v>0</v>
      </c>
      <c r="U145" s="158">
        <v>0</v>
      </c>
      <c r="V145" s="29">
        <v>0</v>
      </c>
      <c r="W145" s="29">
        <v>0</v>
      </c>
      <c r="X145" s="159">
        <v>0</v>
      </c>
      <c r="Y145" s="159">
        <v>0</v>
      </c>
      <c r="Z145" s="29">
        <v>0</v>
      </c>
      <c r="AA145" s="29">
        <v>0</v>
      </c>
      <c r="AB145" s="29">
        <v>0</v>
      </c>
      <c r="AC145" s="29">
        <v>0</v>
      </c>
      <c r="AD145" s="29">
        <v>0</v>
      </c>
      <c r="AE145" s="159">
        <v>0</v>
      </c>
      <c r="AF145" s="159">
        <v>1</v>
      </c>
      <c r="AG145" s="160">
        <v>0</v>
      </c>
      <c r="AH145" s="160">
        <v>0</v>
      </c>
      <c r="AI145" s="160">
        <v>0</v>
      </c>
      <c r="AJ145" s="160">
        <v>0</v>
      </c>
      <c r="AK145" s="29">
        <v>0</v>
      </c>
      <c r="AL145" s="29">
        <v>0</v>
      </c>
      <c r="AM145" s="29">
        <v>0</v>
      </c>
      <c r="AN145" s="29">
        <v>0</v>
      </c>
      <c r="AO145" s="29">
        <v>0</v>
      </c>
      <c r="AP145" s="160">
        <v>0</v>
      </c>
      <c r="AQ145" s="161">
        <v>0</v>
      </c>
      <c r="AR145" s="161">
        <v>0</v>
      </c>
      <c r="AS145" s="161">
        <v>0</v>
      </c>
      <c r="AT145" s="161">
        <v>0</v>
      </c>
      <c r="AU145" s="161">
        <v>0</v>
      </c>
      <c r="AV145" s="161">
        <v>0</v>
      </c>
      <c r="AW145" s="161">
        <v>0</v>
      </c>
      <c r="AX145" s="162">
        <v>0</v>
      </c>
      <c r="AY145" s="162">
        <v>0</v>
      </c>
      <c r="AZ145" s="162">
        <v>0</v>
      </c>
      <c r="BA145" s="162">
        <v>0</v>
      </c>
      <c r="BB145" s="32"/>
      <c r="BC145" s="63"/>
      <c r="BD145" s="63">
        <f t="shared" si="27"/>
        <v>0</v>
      </c>
      <c r="BE145" s="63"/>
      <c r="BF145" s="32"/>
      <c r="BG145" s="32"/>
      <c r="BH145" s="63"/>
      <c r="BI145" s="64">
        <f t="shared" si="28"/>
        <v>0</v>
      </c>
      <c r="BJ145" s="63"/>
      <c r="BK145" s="32"/>
      <c r="BL145" s="32"/>
      <c r="BM145" s="33"/>
      <c r="BN145" s="33">
        <f t="shared" si="29"/>
        <v>0</v>
      </c>
      <c r="BO145" s="33"/>
      <c r="BP145" s="32"/>
      <c r="BQ145" s="32"/>
      <c r="BR145" s="33"/>
      <c r="BS145" s="33">
        <f t="shared" si="30"/>
        <v>0</v>
      </c>
      <c r="BT145" s="33"/>
      <c r="BU145" s="32"/>
      <c r="BV145" s="32"/>
      <c r="BW145" s="63"/>
      <c r="BX145" s="63">
        <f t="shared" si="31"/>
        <v>0</v>
      </c>
      <c r="BY145" s="63"/>
      <c r="BZ145" s="32"/>
      <c r="CA145" s="32"/>
      <c r="CB145" s="33"/>
      <c r="CC145" s="33">
        <f t="shared" si="32"/>
        <v>0</v>
      </c>
      <c r="CD145" s="33"/>
      <c r="CE145" s="32"/>
      <c r="CF145" s="33"/>
      <c r="CG145" s="33">
        <f t="shared" si="33"/>
        <v>0</v>
      </c>
      <c r="CH145" s="33"/>
      <c r="CI145" s="32"/>
      <c r="CJ145" s="33"/>
      <c r="CK145" s="33">
        <f t="shared" si="34"/>
        <v>0</v>
      </c>
      <c r="CL145" s="33"/>
      <c r="CM145" s="32"/>
      <c r="CN145" s="23"/>
      <c r="CO145" s="5">
        <f t="shared" si="35"/>
        <v>0</v>
      </c>
      <c r="CP145" s="10"/>
      <c r="CQ145" s="6"/>
      <c r="CS145" s="126"/>
      <c r="CT145" s="126"/>
      <c r="CV145" s="126"/>
    </row>
    <row r="146" spans="1:100" ht="16.2" x14ac:dyDescent="0.3">
      <c r="A146" s="138">
        <v>130</v>
      </c>
      <c r="B146" s="35" t="s">
        <v>200</v>
      </c>
      <c r="C146" s="14">
        <v>7403076</v>
      </c>
      <c r="D146" s="14" t="s">
        <v>442</v>
      </c>
      <c r="E146" s="163" t="s">
        <v>443</v>
      </c>
      <c r="F146" s="167">
        <v>1</v>
      </c>
      <c r="G146" s="25">
        <v>0</v>
      </c>
      <c r="H146" s="9">
        <v>0</v>
      </c>
      <c r="I146" s="26">
        <v>0</v>
      </c>
      <c r="J146" s="30">
        <v>0</v>
      </c>
      <c r="K146" s="29">
        <v>1</v>
      </c>
      <c r="L146" s="29">
        <v>0</v>
      </c>
      <c r="M146" s="29">
        <v>0</v>
      </c>
      <c r="N146" s="29">
        <v>0</v>
      </c>
      <c r="O146" s="29">
        <v>0</v>
      </c>
      <c r="P146" s="158">
        <v>1</v>
      </c>
      <c r="Q146" s="158">
        <v>0</v>
      </c>
      <c r="R146" s="158">
        <v>0</v>
      </c>
      <c r="S146" s="158">
        <v>0</v>
      </c>
      <c r="T146" s="158">
        <v>0</v>
      </c>
      <c r="U146" s="158">
        <v>0</v>
      </c>
      <c r="V146" s="29">
        <v>0</v>
      </c>
      <c r="W146" s="29">
        <v>0</v>
      </c>
      <c r="X146" s="159">
        <v>0</v>
      </c>
      <c r="Y146" s="15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159">
        <v>1</v>
      </c>
      <c r="AF146" s="159">
        <v>1</v>
      </c>
      <c r="AG146" s="160">
        <v>0</v>
      </c>
      <c r="AH146" s="160">
        <v>0</v>
      </c>
      <c r="AI146" s="160">
        <v>0</v>
      </c>
      <c r="AJ146" s="160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160">
        <v>0</v>
      </c>
      <c r="AQ146" s="161">
        <v>0</v>
      </c>
      <c r="AR146" s="161">
        <v>0</v>
      </c>
      <c r="AS146" s="161">
        <v>0</v>
      </c>
      <c r="AT146" s="161">
        <v>0</v>
      </c>
      <c r="AU146" s="161">
        <v>0</v>
      </c>
      <c r="AV146" s="161">
        <v>0</v>
      </c>
      <c r="AW146" s="161">
        <v>0</v>
      </c>
      <c r="AX146" s="162">
        <v>0</v>
      </c>
      <c r="AY146" s="162">
        <v>0</v>
      </c>
      <c r="AZ146" s="162">
        <v>0</v>
      </c>
      <c r="BA146" s="162">
        <v>1</v>
      </c>
      <c r="BB146" s="32"/>
      <c r="BC146" s="63"/>
      <c r="BD146" s="63">
        <f t="shared" si="27"/>
        <v>0</v>
      </c>
      <c r="BE146" s="63"/>
      <c r="BF146" s="32"/>
      <c r="BG146" s="32"/>
      <c r="BH146" s="63"/>
      <c r="BI146" s="64">
        <f t="shared" si="28"/>
        <v>0</v>
      </c>
      <c r="BJ146" s="63"/>
      <c r="BK146" s="32"/>
      <c r="BL146" s="32"/>
      <c r="BM146" s="33"/>
      <c r="BN146" s="33">
        <f t="shared" si="29"/>
        <v>0</v>
      </c>
      <c r="BO146" s="33"/>
      <c r="BP146" s="32"/>
      <c r="BQ146" s="32"/>
      <c r="BR146" s="33"/>
      <c r="BS146" s="33">
        <f t="shared" si="30"/>
        <v>0</v>
      </c>
      <c r="BT146" s="33"/>
      <c r="BU146" s="32"/>
      <c r="BV146" s="32"/>
      <c r="BW146" s="63"/>
      <c r="BX146" s="63">
        <f t="shared" si="31"/>
        <v>0</v>
      </c>
      <c r="BY146" s="63"/>
      <c r="BZ146" s="32"/>
      <c r="CA146" s="32"/>
      <c r="CB146" s="33"/>
      <c r="CC146" s="33">
        <f t="shared" si="32"/>
        <v>0</v>
      </c>
      <c r="CD146" s="33"/>
      <c r="CE146" s="32"/>
      <c r="CF146" s="33"/>
      <c r="CG146" s="33">
        <f t="shared" si="33"/>
        <v>0</v>
      </c>
      <c r="CH146" s="33"/>
      <c r="CI146" s="32"/>
      <c r="CJ146" s="33"/>
      <c r="CK146" s="33">
        <f t="shared" si="34"/>
        <v>0</v>
      </c>
      <c r="CL146" s="33"/>
      <c r="CM146" s="32"/>
      <c r="CN146" s="23"/>
      <c r="CO146" s="5">
        <f t="shared" si="35"/>
        <v>0</v>
      </c>
      <c r="CP146" s="10"/>
      <c r="CQ146" s="6"/>
      <c r="CS146" s="126"/>
      <c r="CT146" s="126"/>
      <c r="CV146" s="126"/>
    </row>
    <row r="147" spans="1:100" ht="15.6" x14ac:dyDescent="0.3">
      <c r="B147" s="20"/>
      <c r="BB147"/>
      <c r="BF147"/>
      <c r="BG147"/>
      <c r="BK147"/>
      <c r="BL147"/>
      <c r="BP147"/>
      <c r="BQ147"/>
      <c r="BU147"/>
      <c r="BV147"/>
      <c r="BZ147"/>
      <c r="CA147"/>
      <c r="CE147"/>
      <c r="CS147" s="126"/>
      <c r="CT147" s="126"/>
      <c r="CV147" s="126"/>
    </row>
    <row r="148" spans="1:100" ht="15.6" x14ac:dyDescent="0.3">
      <c r="B148" s="20"/>
      <c r="BB148"/>
      <c r="BF148"/>
      <c r="BG148"/>
      <c r="BK148"/>
      <c r="BL148"/>
      <c r="BP148"/>
      <c r="BQ148"/>
      <c r="BU148"/>
      <c r="BV148"/>
      <c r="BZ148"/>
      <c r="CA148"/>
      <c r="CE148"/>
      <c r="CS148" s="126"/>
      <c r="CT148" s="126"/>
      <c r="CV148" s="126"/>
    </row>
    <row r="149" spans="1:100" ht="15.6" x14ac:dyDescent="0.3">
      <c r="B149" s="20"/>
      <c r="BB149"/>
      <c r="BF149"/>
      <c r="BG149"/>
      <c r="BK149"/>
      <c r="BL149"/>
      <c r="BP149"/>
      <c r="BQ149"/>
      <c r="BU149"/>
      <c r="BV149"/>
      <c r="BZ149"/>
      <c r="CA149"/>
      <c r="CE149"/>
      <c r="CV149" s="126"/>
    </row>
    <row r="150" spans="1:100" ht="15.6" x14ac:dyDescent="0.3">
      <c r="B150" s="20"/>
      <c r="BB150"/>
      <c r="BF150"/>
      <c r="BG150"/>
      <c r="BK150"/>
      <c r="BL150"/>
      <c r="BP150"/>
      <c r="BQ150"/>
      <c r="BU150"/>
      <c r="BV150"/>
      <c r="BZ150"/>
      <c r="CA150"/>
      <c r="CE150"/>
      <c r="CV150" s="126"/>
    </row>
    <row r="151" spans="1:100" ht="15.6" x14ac:dyDescent="0.3">
      <c r="B151" s="20"/>
      <c r="BB151"/>
      <c r="BF151"/>
      <c r="BG151"/>
      <c r="BK151"/>
      <c r="BL151"/>
      <c r="BP151"/>
      <c r="BQ151"/>
      <c r="BU151"/>
      <c r="BV151"/>
      <c r="BZ151"/>
      <c r="CA151"/>
      <c r="CE151"/>
    </row>
    <row r="152" spans="1:100" ht="15.6" x14ac:dyDescent="0.3">
      <c r="B152" s="20"/>
      <c r="BB152"/>
      <c r="BF152"/>
      <c r="BG152"/>
      <c r="BK152"/>
      <c r="BL152"/>
      <c r="BP152"/>
      <c r="BQ152"/>
      <c r="BU152"/>
      <c r="BV152"/>
      <c r="BZ152"/>
      <c r="CA152"/>
      <c r="CE152"/>
    </row>
    <row r="153" spans="1:100" ht="15.6" x14ac:dyDescent="0.3">
      <c r="B153" s="20"/>
      <c r="BB153"/>
      <c r="BF153"/>
      <c r="BG153"/>
      <c r="BK153"/>
      <c r="BL153"/>
      <c r="BP153"/>
      <c r="BQ153"/>
      <c r="BU153"/>
      <c r="BV153"/>
      <c r="BZ153"/>
      <c r="CA153"/>
      <c r="CE153"/>
    </row>
    <row r="154" spans="1:100" ht="15.6" x14ac:dyDescent="0.3">
      <c r="B154" s="20"/>
      <c r="BB154"/>
      <c r="BF154"/>
      <c r="BG154"/>
      <c r="BK154"/>
      <c r="BL154"/>
      <c r="BP154"/>
      <c r="BQ154"/>
      <c r="BU154"/>
      <c r="BV154"/>
      <c r="BZ154"/>
      <c r="CA154"/>
      <c r="CE154"/>
    </row>
    <row r="155" spans="1:100" ht="15.6" x14ac:dyDescent="0.3">
      <c r="B155" s="20"/>
      <c r="BB155"/>
      <c r="BF155"/>
      <c r="BG155"/>
      <c r="BK155"/>
      <c r="BL155"/>
      <c r="BP155"/>
      <c r="BQ155"/>
      <c r="BU155"/>
      <c r="BV155"/>
      <c r="BZ155"/>
      <c r="CA155"/>
      <c r="CE155"/>
    </row>
    <row r="156" spans="1:100" ht="15.6" x14ac:dyDescent="0.3">
      <c r="B156" s="20"/>
      <c r="BB156"/>
      <c r="BF156"/>
      <c r="BG156"/>
      <c r="BK156"/>
      <c r="BL156"/>
      <c r="BP156"/>
      <c r="BQ156"/>
      <c r="BU156"/>
      <c r="BV156"/>
      <c r="BZ156"/>
      <c r="CA156"/>
      <c r="CE156"/>
    </row>
    <row r="157" spans="1:100" ht="15.6" x14ac:dyDescent="0.3">
      <c r="B157" s="20"/>
      <c r="BB157"/>
      <c r="BF157"/>
      <c r="BG157"/>
      <c r="BK157"/>
      <c r="BL157"/>
      <c r="BP157"/>
      <c r="BQ157"/>
      <c r="BU157"/>
      <c r="BV157"/>
      <c r="BZ157"/>
      <c r="CA157"/>
      <c r="CE157"/>
    </row>
    <row r="158" spans="1:100" ht="15.6" x14ac:dyDescent="0.3">
      <c r="B158" s="20"/>
      <c r="BB158"/>
      <c r="BF158"/>
      <c r="BG158"/>
      <c r="BK158"/>
      <c r="BL158"/>
      <c r="BP158"/>
      <c r="BQ158"/>
      <c r="BU158"/>
      <c r="BV158"/>
      <c r="BZ158"/>
      <c r="CA158"/>
      <c r="CE158"/>
    </row>
    <row r="159" spans="1:100" ht="15.6" x14ac:dyDescent="0.3">
      <c r="B159" s="20"/>
    </row>
    <row r="160" spans="1:100" ht="15.6" x14ac:dyDescent="0.3">
      <c r="B160" s="20"/>
    </row>
    <row r="161" spans="2:2" ht="15.6" x14ac:dyDescent="0.3">
      <c r="B161" s="20"/>
    </row>
    <row r="162" spans="2:2" ht="15.6" x14ac:dyDescent="0.3">
      <c r="B162" s="20"/>
    </row>
    <row r="163" spans="2:2" ht="15.6" x14ac:dyDescent="0.3">
      <c r="B163" s="20"/>
    </row>
    <row r="164" spans="2:2" ht="15.6" x14ac:dyDescent="0.3">
      <c r="B164" s="20"/>
    </row>
    <row r="165" spans="2:2" ht="15.6" x14ac:dyDescent="0.3">
      <c r="B165" s="20"/>
    </row>
    <row r="166" spans="2:2" ht="15.6" x14ac:dyDescent="0.3">
      <c r="B166" s="20"/>
    </row>
    <row r="167" spans="2:2" ht="15.6" x14ac:dyDescent="0.3">
      <c r="B167" s="20"/>
    </row>
    <row r="168" spans="2:2" ht="15.6" x14ac:dyDescent="0.3">
      <c r="B168" s="20"/>
    </row>
    <row r="169" spans="2:2" ht="15.6" x14ac:dyDescent="0.3">
      <c r="B169" s="20"/>
    </row>
    <row r="170" spans="2:2" ht="15.6" x14ac:dyDescent="0.3">
      <c r="B170" s="20"/>
    </row>
    <row r="171" spans="2:2" ht="15.6" x14ac:dyDescent="0.3">
      <c r="B171" s="20"/>
    </row>
    <row r="172" spans="2:2" ht="15.6" x14ac:dyDescent="0.3">
      <c r="B172" s="20"/>
    </row>
    <row r="173" spans="2:2" ht="15.6" x14ac:dyDescent="0.3">
      <c r="B173" s="20"/>
    </row>
    <row r="174" spans="2:2" ht="15.6" x14ac:dyDescent="0.3">
      <c r="B174" s="20"/>
    </row>
    <row r="175" spans="2:2" ht="15.6" x14ac:dyDescent="0.3">
      <c r="B175" s="20"/>
    </row>
    <row r="176" spans="2:2" ht="15.6" x14ac:dyDescent="0.3">
      <c r="B176" s="20"/>
    </row>
    <row r="177" spans="2:2" ht="15.6" x14ac:dyDescent="0.3">
      <c r="B177" s="20"/>
    </row>
    <row r="178" spans="2:2" ht="15.6" x14ac:dyDescent="0.3">
      <c r="B178" s="20"/>
    </row>
    <row r="179" spans="2:2" ht="15.6" x14ac:dyDescent="0.3">
      <c r="B179" s="20"/>
    </row>
    <row r="180" spans="2:2" ht="15.6" x14ac:dyDescent="0.3">
      <c r="B180" s="20"/>
    </row>
    <row r="181" spans="2:2" ht="15.6" x14ac:dyDescent="0.3">
      <c r="B181" s="20"/>
    </row>
    <row r="182" spans="2:2" ht="15.6" x14ac:dyDescent="0.3">
      <c r="B182" s="20"/>
    </row>
    <row r="183" spans="2:2" ht="15.6" x14ac:dyDescent="0.3">
      <c r="B183" s="20"/>
    </row>
    <row r="184" spans="2:2" ht="15.6" x14ac:dyDescent="0.3">
      <c r="B184" s="20"/>
    </row>
    <row r="185" spans="2:2" ht="15.6" x14ac:dyDescent="0.3">
      <c r="B185" s="20"/>
    </row>
    <row r="186" spans="2:2" ht="15.6" x14ac:dyDescent="0.3">
      <c r="B186" s="20"/>
    </row>
    <row r="187" spans="2:2" ht="15.6" x14ac:dyDescent="0.3">
      <c r="B187" s="20"/>
    </row>
    <row r="188" spans="2:2" ht="15.6" x14ac:dyDescent="0.3">
      <c r="B188" s="20"/>
    </row>
    <row r="189" spans="2:2" ht="15.6" x14ac:dyDescent="0.3">
      <c r="B189" s="20"/>
    </row>
    <row r="190" spans="2:2" ht="15.6" x14ac:dyDescent="0.3">
      <c r="B190" s="20"/>
    </row>
    <row r="191" spans="2:2" ht="15.6" x14ac:dyDescent="0.3">
      <c r="B191" s="20"/>
    </row>
    <row r="192" spans="2:2" ht="15.6" x14ac:dyDescent="0.3">
      <c r="B192" s="20"/>
    </row>
    <row r="193" spans="2:2" ht="15.6" x14ac:dyDescent="0.3">
      <c r="B193" s="20"/>
    </row>
    <row r="194" spans="2:2" ht="15.6" x14ac:dyDescent="0.3">
      <c r="B194" s="20"/>
    </row>
    <row r="195" spans="2:2" ht="15.6" x14ac:dyDescent="0.3">
      <c r="B195" s="20"/>
    </row>
    <row r="196" spans="2:2" ht="15.6" x14ac:dyDescent="0.3">
      <c r="B196" s="20"/>
    </row>
    <row r="197" spans="2:2" ht="15.6" x14ac:dyDescent="0.3">
      <c r="B197" s="20"/>
    </row>
    <row r="198" spans="2:2" ht="15.6" x14ac:dyDescent="0.3">
      <c r="B198" s="20"/>
    </row>
    <row r="199" spans="2:2" ht="15.6" x14ac:dyDescent="0.3">
      <c r="B199" s="20"/>
    </row>
  </sheetData>
  <autoFilter ref="A2:DV146" xr:uid="{00000000-0009-0000-0000-000000000000}">
    <sortState xmlns:xlrd2="http://schemas.microsoft.com/office/spreadsheetml/2017/richdata2" ref="A61:DV61">
      <sortCondition ref="D2:D146"/>
    </sortState>
  </autoFilter>
  <sortState xmlns:xlrd2="http://schemas.microsoft.com/office/spreadsheetml/2017/richdata2" ref="A5:E146">
    <sortCondition ref="D5:D146"/>
    <sortCondition ref="E5:E146"/>
  </sortState>
  <mergeCells count="94"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  <mergeCell ref="AN2:AN4"/>
    <mergeCell ref="AO2:AO4"/>
    <mergeCell ref="BA2:BA4"/>
    <mergeCell ref="AM2:AM4"/>
    <mergeCell ref="AX2:AX4"/>
    <mergeCell ref="AY2:AY4"/>
    <mergeCell ref="AP2:AP4"/>
    <mergeCell ref="AZ2:AZ4"/>
    <mergeCell ref="BZ1:CD1"/>
    <mergeCell ref="CE1:CH1"/>
    <mergeCell ref="CI1:CL1"/>
    <mergeCell ref="CM1:CP1"/>
    <mergeCell ref="BP1:BT1"/>
    <mergeCell ref="BU1:BY1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BF2:BF4"/>
    <mergeCell ref="BG2:BG4"/>
    <mergeCell ref="BH2:BH4"/>
    <mergeCell ref="BI2:BI4"/>
    <mergeCell ref="BJ2:BJ4"/>
    <mergeCell ref="BK2:BK4"/>
    <mergeCell ref="BL2:BL4"/>
    <mergeCell ref="BM2:BM4"/>
    <mergeCell ref="BN2:BN4"/>
    <mergeCell ref="BO2:BO4"/>
    <mergeCell ref="BP2:BP4"/>
    <mergeCell ref="BQ2:BQ4"/>
    <mergeCell ref="BR2:BR4"/>
    <mergeCell ref="BS2:BS4"/>
    <mergeCell ref="BT2:BT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CO2:CO4"/>
    <mergeCell ref="CP2:CP4"/>
    <mergeCell ref="CJ2:CJ4"/>
    <mergeCell ref="CK2:CK4"/>
    <mergeCell ref="CL2:CL4"/>
    <mergeCell ref="CM2:CM4"/>
    <mergeCell ref="CN2:CN4"/>
    <mergeCell ref="CE2:CE4"/>
    <mergeCell ref="CF2:CF4"/>
    <mergeCell ref="CG2:CG4"/>
    <mergeCell ref="CH2:CH4"/>
    <mergeCell ref="CI2:CI4"/>
  </mergeCells>
  <phoneticPr fontId="26" type="noConversion"/>
  <conditionalFormatting sqref="I5:I146">
    <cfRule type="cellIs" dxfId="21" priority="269" operator="greaterThan">
      <formula>20</formula>
    </cfRule>
  </conditionalFormatting>
  <conditionalFormatting sqref="BE5:BE146">
    <cfRule type="expression" dxfId="20" priority="57">
      <formula>SUM($BC5+$BE5)&gt;4</formula>
    </cfRule>
  </conditionalFormatting>
  <conditionalFormatting sqref="BJ5:BJ146">
    <cfRule type="expression" dxfId="19" priority="56">
      <formula>SUM($BH5+$BJ5)&gt;4</formula>
    </cfRule>
  </conditionalFormatting>
  <conditionalFormatting sqref="BO5:BO146">
    <cfRule type="expression" dxfId="18" priority="55">
      <formula>SUM($BM5+$BO5)&gt;4</formula>
    </cfRule>
  </conditionalFormatting>
  <conditionalFormatting sqref="BT5:BT146">
    <cfRule type="expression" dxfId="17" priority="54">
      <formula>SUM($BR5+$BT5)&gt;4</formula>
    </cfRule>
  </conditionalFormatting>
  <conditionalFormatting sqref="BY5:BY146">
    <cfRule type="expression" dxfId="16" priority="53">
      <formula>SUM($BW5+$BY5)&gt;4</formula>
    </cfRule>
  </conditionalFormatting>
  <conditionalFormatting sqref="CD5:CD146">
    <cfRule type="expression" dxfId="15" priority="52">
      <formula>($CB5+$CD5)&gt;4</formula>
    </cfRule>
  </conditionalFormatting>
  <conditionalFormatting sqref="CF5:CH146">
    <cfRule type="expression" dxfId="14" priority="51">
      <formula>SUM($CB5+$CD5+$CF5+$CH5)&gt;4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58" sqref="M158"/>
    </sheetView>
  </sheetViews>
  <sheetFormatPr defaultColWidth="9.109375" defaultRowHeight="14.4" x14ac:dyDescent="0.3"/>
  <cols>
    <col min="1" max="1" width="10.33203125" style="106" bestFit="1" customWidth="1"/>
    <col min="2" max="2" width="9.109375" style="107"/>
    <col min="3" max="3" width="14.88671875" style="107" customWidth="1"/>
    <col min="4" max="4" width="18.33203125" style="107" bestFit="1" customWidth="1"/>
    <col min="5" max="5" width="17.88671875" style="107" customWidth="1"/>
    <col min="6" max="6" width="9.33203125" style="109" customWidth="1"/>
    <col min="7" max="8" width="8.88671875" style="109" customWidth="1"/>
    <col min="9" max="25" width="9.109375" style="109" customWidth="1"/>
    <col min="26" max="27" width="9.109375" style="130" customWidth="1"/>
    <col min="28" max="29" width="9.109375" style="109" customWidth="1"/>
    <col min="30" max="49" width="9.109375" style="109"/>
    <col min="50" max="16384" width="9.109375" style="107"/>
  </cols>
  <sheetData>
    <row r="1" spans="1:49" ht="36.75" customHeight="1" x14ac:dyDescent="0.3">
      <c r="A1" s="106" t="s">
        <v>216</v>
      </c>
      <c r="D1" s="107" t="s">
        <v>339</v>
      </c>
      <c r="F1" s="108" t="s">
        <v>217</v>
      </c>
      <c r="G1" s="108" t="s">
        <v>217</v>
      </c>
      <c r="H1" s="108" t="s">
        <v>217</v>
      </c>
      <c r="I1" s="108" t="s">
        <v>217</v>
      </c>
      <c r="J1" s="108" t="s">
        <v>217</v>
      </c>
      <c r="K1" s="108" t="s">
        <v>217</v>
      </c>
      <c r="L1" s="108" t="s">
        <v>217</v>
      </c>
      <c r="M1" s="108" t="s">
        <v>217</v>
      </c>
      <c r="N1" s="108" t="s">
        <v>217</v>
      </c>
      <c r="O1" s="108" t="s">
        <v>217</v>
      </c>
      <c r="P1" s="108" t="s">
        <v>217</v>
      </c>
      <c r="Q1" s="108" t="s">
        <v>217</v>
      </c>
      <c r="R1" s="108" t="s">
        <v>217</v>
      </c>
      <c r="S1" s="108" t="s">
        <v>217</v>
      </c>
      <c r="T1" s="108" t="s">
        <v>217</v>
      </c>
      <c r="U1" s="108" t="s">
        <v>217</v>
      </c>
      <c r="V1" s="108" t="s">
        <v>217</v>
      </c>
      <c r="W1" s="108" t="s">
        <v>217</v>
      </c>
      <c r="X1" s="108" t="s">
        <v>217</v>
      </c>
      <c r="Y1" s="108" t="s">
        <v>217</v>
      </c>
      <c r="Z1" s="129" t="s">
        <v>217</v>
      </c>
      <c r="AA1" s="129" t="s">
        <v>217</v>
      </c>
      <c r="AB1" s="108" t="s">
        <v>217</v>
      </c>
      <c r="AC1" s="108" t="s">
        <v>217</v>
      </c>
      <c r="AD1" s="108" t="s">
        <v>217</v>
      </c>
      <c r="AE1" s="108" t="s">
        <v>217</v>
      </c>
      <c r="AF1" s="108" t="s">
        <v>217</v>
      </c>
      <c r="AG1" s="108" t="s">
        <v>217</v>
      </c>
      <c r="AH1" s="108" t="s">
        <v>217</v>
      </c>
      <c r="AI1" s="108" t="s">
        <v>217</v>
      </c>
      <c r="AJ1" s="108" t="s">
        <v>217</v>
      </c>
      <c r="AK1" s="108" t="s">
        <v>217</v>
      </c>
      <c r="AL1" s="108" t="s">
        <v>217</v>
      </c>
      <c r="AM1" s="108" t="s">
        <v>217</v>
      </c>
      <c r="AN1" s="108" t="s">
        <v>217</v>
      </c>
      <c r="AO1" s="108" t="s">
        <v>217</v>
      </c>
      <c r="AP1" s="108" t="s">
        <v>217</v>
      </c>
      <c r="AQ1" s="108" t="s">
        <v>217</v>
      </c>
      <c r="AR1" s="108" t="s">
        <v>217</v>
      </c>
      <c r="AS1" s="108" t="s">
        <v>217</v>
      </c>
      <c r="AT1" s="108" t="s">
        <v>217</v>
      </c>
      <c r="AU1" s="108" t="s">
        <v>217</v>
      </c>
      <c r="AV1" s="108" t="s">
        <v>217</v>
      </c>
      <c r="AW1" s="108" t="s">
        <v>217</v>
      </c>
    </row>
    <row r="2" spans="1:49" ht="50.25" customHeight="1" x14ac:dyDescent="0.3">
      <c r="A2" s="110" t="s">
        <v>9</v>
      </c>
      <c r="B2" s="40" t="s">
        <v>10</v>
      </c>
      <c r="C2" s="111" t="s">
        <v>11</v>
      </c>
      <c r="D2" s="112" t="s">
        <v>12</v>
      </c>
      <c r="E2" s="112" t="s">
        <v>13</v>
      </c>
      <c r="F2" s="60" t="s">
        <v>141</v>
      </c>
      <c r="G2" s="60" t="s">
        <v>142</v>
      </c>
      <c r="H2" s="60" t="s">
        <v>454</v>
      </c>
      <c r="I2" s="59" t="s">
        <v>143</v>
      </c>
      <c r="J2" s="59" t="s">
        <v>144</v>
      </c>
      <c r="K2" s="59" t="s">
        <v>145</v>
      </c>
      <c r="L2" s="59" t="s">
        <v>146</v>
      </c>
      <c r="M2" s="59" t="s">
        <v>342</v>
      </c>
      <c r="N2" s="59" t="s">
        <v>147</v>
      </c>
      <c r="O2" s="59" t="s">
        <v>473</v>
      </c>
      <c r="P2" s="59" t="s">
        <v>148</v>
      </c>
      <c r="Q2" s="59" t="s">
        <v>149</v>
      </c>
      <c r="R2" s="59" t="s">
        <v>29</v>
      </c>
      <c r="S2" s="59" t="s">
        <v>400</v>
      </c>
      <c r="T2" s="59" t="s">
        <v>401</v>
      </c>
      <c r="U2" s="59" t="s">
        <v>150</v>
      </c>
      <c r="V2" s="59" t="s">
        <v>474</v>
      </c>
      <c r="W2" s="59" t="s">
        <v>151</v>
      </c>
      <c r="X2" s="59" t="s">
        <v>32</v>
      </c>
      <c r="Y2" s="59" t="s">
        <v>152</v>
      </c>
      <c r="Z2" s="59" t="s">
        <v>153</v>
      </c>
      <c r="AA2" s="59" t="s">
        <v>154</v>
      </c>
      <c r="AB2" s="59" t="s">
        <v>158</v>
      </c>
      <c r="AC2" s="59" t="s">
        <v>159</v>
      </c>
      <c r="AD2" s="59" t="s">
        <v>160</v>
      </c>
      <c r="AE2" s="59" t="s">
        <v>162</v>
      </c>
      <c r="AF2" s="59" t="s">
        <v>155</v>
      </c>
      <c r="AG2" s="59" t="s">
        <v>156</v>
      </c>
      <c r="AH2" s="59" t="s">
        <v>371</v>
      </c>
      <c r="AI2" s="59" t="s">
        <v>402</v>
      </c>
      <c r="AJ2" s="24" t="s">
        <v>403</v>
      </c>
      <c r="AK2" s="24" t="s">
        <v>161</v>
      </c>
      <c r="AL2" s="24" t="s">
        <v>486</v>
      </c>
      <c r="AM2" s="24" t="s">
        <v>487</v>
      </c>
      <c r="AN2" s="24" t="s">
        <v>488</v>
      </c>
      <c r="AO2" s="24" t="s">
        <v>489</v>
      </c>
      <c r="AP2" s="24" t="s">
        <v>490</v>
      </c>
      <c r="AQ2" s="24" t="s">
        <v>491</v>
      </c>
      <c r="AR2" s="24" t="s">
        <v>492</v>
      </c>
      <c r="AS2" s="24" t="s">
        <v>157</v>
      </c>
      <c r="AT2" s="24" t="s">
        <v>407</v>
      </c>
      <c r="AU2" s="24" t="s">
        <v>494</v>
      </c>
      <c r="AV2" s="24" t="s">
        <v>406</v>
      </c>
      <c r="AW2" s="24" t="s">
        <v>495</v>
      </c>
    </row>
    <row r="3" spans="1:49" ht="15" customHeight="1" x14ac:dyDescent="0.3">
      <c r="A3" s="139">
        <v>80</v>
      </c>
      <c r="B3" s="48" t="s">
        <v>43</v>
      </c>
      <c r="C3" s="36">
        <v>7096688</v>
      </c>
      <c r="D3" s="36" t="s">
        <v>205</v>
      </c>
      <c r="E3" s="37" t="s">
        <v>206</v>
      </c>
      <c r="F3" s="113"/>
      <c r="G3" s="113"/>
      <c r="H3" s="104"/>
      <c r="I3" s="113">
        <v>1</v>
      </c>
      <c r="J3" s="113">
        <v>1</v>
      </c>
      <c r="K3" s="113">
        <v>1</v>
      </c>
      <c r="L3" s="113">
        <v>1</v>
      </c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>
        <v>1</v>
      </c>
      <c r="AA3" s="113">
        <v>1</v>
      </c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04"/>
      <c r="AW3" s="104"/>
    </row>
    <row r="4" spans="1:49" x14ac:dyDescent="0.3">
      <c r="A4" s="139">
        <v>79</v>
      </c>
      <c r="B4" s="48" t="s">
        <v>42</v>
      </c>
      <c r="C4" s="36">
        <v>7096314</v>
      </c>
      <c r="D4" s="36" t="s">
        <v>207</v>
      </c>
      <c r="E4" s="37" t="s">
        <v>133</v>
      </c>
      <c r="F4" s="113"/>
      <c r="G4" s="113"/>
      <c r="H4" s="104"/>
      <c r="I4" s="113"/>
      <c r="J4" s="113"/>
      <c r="K4" s="113"/>
      <c r="L4" s="104">
        <v>1</v>
      </c>
      <c r="M4" s="104">
        <v>1</v>
      </c>
      <c r="N4" s="104">
        <v>1</v>
      </c>
      <c r="O4" s="104"/>
      <c r="P4" s="113"/>
      <c r="Q4" s="113">
        <v>1</v>
      </c>
      <c r="R4" s="113">
        <v>1</v>
      </c>
      <c r="S4" s="113">
        <v>1</v>
      </c>
      <c r="T4" s="113">
        <v>1</v>
      </c>
      <c r="U4" s="113"/>
      <c r="V4" s="113"/>
      <c r="W4" s="113"/>
      <c r="X4" s="113"/>
      <c r="Y4" s="113"/>
      <c r="Z4" s="113">
        <v>1</v>
      </c>
      <c r="AA4" s="113">
        <v>1</v>
      </c>
      <c r="AB4" s="113"/>
      <c r="AC4" s="113"/>
      <c r="AD4" s="113"/>
      <c r="AE4" s="113"/>
      <c r="AF4" s="113"/>
      <c r="AG4" s="113"/>
      <c r="AH4" s="113"/>
      <c r="AI4" s="113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4"/>
      <c r="AU4" s="114"/>
      <c r="AV4" s="104">
        <v>1</v>
      </c>
      <c r="AW4" s="104"/>
    </row>
    <row r="5" spans="1:49" x14ac:dyDescent="0.3">
      <c r="A5" s="43"/>
      <c r="B5" s="39"/>
      <c r="C5" s="36">
        <v>7104132</v>
      </c>
      <c r="D5" s="36" t="s">
        <v>503</v>
      </c>
      <c r="E5" s="137" t="s">
        <v>504</v>
      </c>
      <c r="F5" s="104">
        <v>1</v>
      </c>
      <c r="G5" s="104"/>
      <c r="H5" s="104"/>
      <c r="I5" s="104"/>
      <c r="J5" s="104"/>
      <c r="K5" s="104"/>
      <c r="L5" s="104">
        <v>1</v>
      </c>
      <c r="M5" s="104">
        <v>1</v>
      </c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5"/>
      <c r="AA5" s="105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</row>
    <row r="6" spans="1:49" x14ac:dyDescent="0.3">
      <c r="A6" s="140">
        <v>127</v>
      </c>
      <c r="B6" s="38" t="s">
        <v>200</v>
      </c>
      <c r="C6" s="36">
        <v>7402422</v>
      </c>
      <c r="D6" s="36" t="s">
        <v>438</v>
      </c>
      <c r="E6" s="37" t="s">
        <v>439</v>
      </c>
      <c r="F6" s="104">
        <v>1</v>
      </c>
      <c r="G6" s="104"/>
      <c r="H6" s="104">
        <v>1</v>
      </c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>
        <v>1</v>
      </c>
      <c r="X6" s="104"/>
      <c r="Y6" s="104"/>
      <c r="Z6" s="105">
        <v>1</v>
      </c>
      <c r="AA6" s="105">
        <v>1</v>
      </c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>
        <v>1</v>
      </c>
      <c r="AW6" s="104"/>
    </row>
    <row r="7" spans="1:49" x14ac:dyDescent="0.3">
      <c r="A7" s="43"/>
      <c r="B7" s="39"/>
      <c r="C7" s="36">
        <v>7402042</v>
      </c>
      <c r="D7" s="36" t="s">
        <v>456</v>
      </c>
      <c r="E7" s="137" t="s">
        <v>457</v>
      </c>
      <c r="F7" s="104">
        <v>1</v>
      </c>
      <c r="G7" s="104"/>
      <c r="H7" s="104">
        <v>1</v>
      </c>
      <c r="I7" s="104"/>
      <c r="J7" s="104"/>
      <c r="K7" s="104"/>
      <c r="L7" s="104">
        <v>1</v>
      </c>
      <c r="M7" s="104"/>
      <c r="N7" s="104"/>
      <c r="O7" s="104"/>
      <c r="P7" s="104"/>
      <c r="Q7" s="104"/>
      <c r="R7" s="104"/>
      <c r="S7" s="104">
        <v>1</v>
      </c>
      <c r="T7" s="104">
        <v>1</v>
      </c>
      <c r="U7" s="104"/>
      <c r="V7" s="104"/>
      <c r="W7" s="104"/>
      <c r="X7" s="104"/>
      <c r="Y7" s="104"/>
      <c r="Z7" s="105"/>
      <c r="AA7" s="105">
        <v>1</v>
      </c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>
        <v>1</v>
      </c>
      <c r="AO7" s="104"/>
      <c r="AP7" s="104"/>
      <c r="AQ7" s="104"/>
      <c r="AR7" s="104"/>
      <c r="AS7" s="104"/>
      <c r="AT7" s="104"/>
      <c r="AU7" s="104"/>
      <c r="AV7" s="104">
        <v>1</v>
      </c>
      <c r="AW7" s="104"/>
    </row>
    <row r="8" spans="1:49" x14ac:dyDescent="0.3">
      <c r="A8" s="51">
        <v>48</v>
      </c>
      <c r="B8" s="38" t="s">
        <v>43</v>
      </c>
      <c r="C8" s="36">
        <v>7093513</v>
      </c>
      <c r="D8" s="36" t="s">
        <v>44</v>
      </c>
      <c r="E8" s="137" t="s">
        <v>45</v>
      </c>
      <c r="F8" s="104">
        <v>1</v>
      </c>
      <c r="G8" s="104"/>
      <c r="H8" s="104"/>
      <c r="I8" s="104">
        <v>1</v>
      </c>
      <c r="J8" s="104"/>
      <c r="K8" s="104"/>
      <c r="L8" s="104">
        <v>1</v>
      </c>
      <c r="M8" s="104"/>
      <c r="N8" s="104"/>
      <c r="O8" s="104"/>
      <c r="P8" s="104">
        <v>1</v>
      </c>
      <c r="Q8" s="104"/>
      <c r="R8" s="104"/>
      <c r="S8" s="104"/>
      <c r="T8" s="104"/>
      <c r="U8" s="104"/>
      <c r="V8" s="104"/>
      <c r="W8" s="104"/>
      <c r="X8" s="104"/>
      <c r="Y8" s="104"/>
      <c r="Z8" s="105">
        <v>1</v>
      </c>
      <c r="AA8" s="105">
        <v>1</v>
      </c>
      <c r="AB8" s="115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>
        <v>1</v>
      </c>
      <c r="AS8" s="104"/>
      <c r="AT8" s="104"/>
      <c r="AU8" s="104"/>
      <c r="AV8" s="104">
        <v>1</v>
      </c>
      <c r="AW8" s="104"/>
    </row>
    <row r="9" spans="1:49" x14ac:dyDescent="0.3">
      <c r="A9" s="43">
        <v>74</v>
      </c>
      <c r="B9" s="44" t="s">
        <v>49</v>
      </c>
      <c r="C9" s="49">
        <v>7092979</v>
      </c>
      <c r="D9" s="50" t="s">
        <v>203</v>
      </c>
      <c r="E9" s="50" t="s">
        <v>204</v>
      </c>
      <c r="F9" s="104">
        <v>1</v>
      </c>
      <c r="G9" s="104"/>
      <c r="H9" s="104"/>
      <c r="I9" s="104">
        <v>1</v>
      </c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>
        <v>1</v>
      </c>
      <c r="U9" s="104">
        <v>1</v>
      </c>
      <c r="V9" s="104"/>
      <c r="W9" s="104"/>
      <c r="X9" s="104"/>
      <c r="Y9" s="104"/>
      <c r="Z9" s="105">
        <v>1</v>
      </c>
      <c r="AA9" s="105">
        <v>1</v>
      </c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>
        <v>1</v>
      </c>
      <c r="AW9" s="104"/>
    </row>
    <row r="10" spans="1:49" x14ac:dyDescent="0.3">
      <c r="A10" s="139">
        <v>5</v>
      </c>
      <c r="B10" s="48" t="s">
        <v>46</v>
      </c>
      <c r="C10" s="36">
        <v>7027489</v>
      </c>
      <c r="D10" s="36" t="s">
        <v>47</v>
      </c>
      <c r="E10" s="37" t="s">
        <v>48</v>
      </c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5"/>
      <c r="AA10" s="105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</row>
    <row r="11" spans="1:49" x14ac:dyDescent="0.3">
      <c r="A11" s="43">
        <v>104</v>
      </c>
      <c r="B11" s="121"/>
      <c r="C11" s="36">
        <v>7098023</v>
      </c>
      <c r="D11" s="36" t="s">
        <v>391</v>
      </c>
      <c r="E11" s="37" t="s">
        <v>392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>
        <v>1</v>
      </c>
      <c r="V11" s="104"/>
      <c r="W11" s="104"/>
      <c r="X11" s="104"/>
      <c r="Y11" s="104"/>
      <c r="Z11" s="105">
        <v>1</v>
      </c>
      <c r="AA11" s="105">
        <v>1</v>
      </c>
      <c r="AB11" s="104"/>
      <c r="AC11" s="104"/>
      <c r="AD11" s="104"/>
      <c r="AE11" s="104"/>
      <c r="AF11" s="104">
        <v>1</v>
      </c>
      <c r="AG11" s="104"/>
      <c r="AH11" s="104"/>
      <c r="AI11" s="104">
        <v>1</v>
      </c>
      <c r="AJ11" s="104">
        <v>1</v>
      </c>
      <c r="AK11" s="104"/>
      <c r="AL11" s="104"/>
      <c r="AM11" s="104"/>
      <c r="AN11" s="104"/>
      <c r="AO11" s="104"/>
      <c r="AP11" s="104"/>
      <c r="AQ11" s="104"/>
      <c r="AR11" s="104"/>
      <c r="AS11" s="104">
        <v>1</v>
      </c>
      <c r="AT11" s="104">
        <v>1</v>
      </c>
      <c r="AU11" s="104">
        <v>1</v>
      </c>
      <c r="AV11" s="104">
        <v>1</v>
      </c>
      <c r="AW11" s="104"/>
    </row>
    <row r="12" spans="1:49" x14ac:dyDescent="0.3">
      <c r="A12" s="43">
        <v>62</v>
      </c>
      <c r="B12" s="121" t="s">
        <v>49</v>
      </c>
      <c r="C12" s="36">
        <v>7092320</v>
      </c>
      <c r="D12" s="36" t="s">
        <v>180</v>
      </c>
      <c r="E12" s="37" t="s">
        <v>131</v>
      </c>
      <c r="F12" s="104">
        <v>1</v>
      </c>
      <c r="G12" s="104"/>
      <c r="H12" s="104"/>
      <c r="I12" s="104"/>
      <c r="J12" s="104"/>
      <c r="K12" s="104"/>
      <c r="L12" s="104">
        <v>1</v>
      </c>
      <c r="M12" s="104">
        <v>1</v>
      </c>
      <c r="N12" s="104">
        <v>1</v>
      </c>
      <c r="O12" s="104"/>
      <c r="P12" s="104">
        <v>1</v>
      </c>
      <c r="Q12" s="104"/>
      <c r="R12" s="104"/>
      <c r="S12" s="104"/>
      <c r="T12" s="104"/>
      <c r="U12" s="104"/>
      <c r="V12" s="104"/>
      <c r="W12" s="104"/>
      <c r="X12" s="104">
        <v>1</v>
      </c>
      <c r="Y12" s="104"/>
      <c r="Z12" s="105">
        <v>1</v>
      </c>
      <c r="AA12" s="105">
        <v>1</v>
      </c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>
        <v>1</v>
      </c>
      <c r="AW12" s="104"/>
    </row>
    <row r="13" spans="1:49" x14ac:dyDescent="0.3">
      <c r="A13" s="43">
        <v>107</v>
      </c>
      <c r="B13" s="39" t="s">
        <v>200</v>
      </c>
      <c r="C13" s="45">
        <v>7401960</v>
      </c>
      <c r="D13" s="46" t="s">
        <v>408</v>
      </c>
      <c r="E13" s="46" t="s">
        <v>409</v>
      </c>
      <c r="F13" s="104">
        <v>1</v>
      </c>
      <c r="G13" s="104"/>
      <c r="H13" s="104"/>
      <c r="I13" s="104"/>
      <c r="J13" s="104"/>
      <c r="K13" s="104"/>
      <c r="L13" s="104">
        <v>1</v>
      </c>
      <c r="M13" s="104">
        <v>1</v>
      </c>
      <c r="N13" s="104">
        <v>1</v>
      </c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5">
        <v>1</v>
      </c>
      <c r="AA13" s="105">
        <v>1</v>
      </c>
      <c r="AB13" s="104"/>
      <c r="AC13" s="104"/>
      <c r="AD13" s="104"/>
      <c r="AE13" s="104"/>
      <c r="AF13" s="104"/>
      <c r="AG13" s="104"/>
      <c r="AH13" s="104"/>
      <c r="AI13" s="104">
        <v>1</v>
      </c>
      <c r="AJ13" s="104">
        <v>1</v>
      </c>
      <c r="AK13" s="104"/>
      <c r="AL13" s="104"/>
      <c r="AM13" s="104"/>
      <c r="AN13" s="104">
        <v>1</v>
      </c>
      <c r="AO13" s="104">
        <v>1</v>
      </c>
      <c r="AP13" s="104">
        <v>1</v>
      </c>
      <c r="AQ13" s="104">
        <v>1</v>
      </c>
      <c r="AR13" s="104"/>
      <c r="AS13" s="104"/>
      <c r="AT13" s="104"/>
      <c r="AU13" s="104"/>
      <c r="AV13" s="104">
        <v>1</v>
      </c>
      <c r="AW13" s="104"/>
    </row>
    <row r="14" spans="1:49" x14ac:dyDescent="0.3">
      <c r="A14" s="43">
        <v>7</v>
      </c>
      <c r="B14" s="133" t="s">
        <v>194</v>
      </c>
      <c r="C14" s="49">
        <v>7027788</v>
      </c>
      <c r="D14" s="50" t="s">
        <v>193</v>
      </c>
      <c r="E14" s="50" t="s">
        <v>78</v>
      </c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5"/>
      <c r="AA14" s="105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49" x14ac:dyDescent="0.3">
      <c r="A15" s="43">
        <v>128</v>
      </c>
      <c r="B15" s="121" t="s">
        <v>200</v>
      </c>
      <c r="C15" s="36">
        <v>7400313</v>
      </c>
      <c r="D15" s="36" t="s">
        <v>440</v>
      </c>
      <c r="E15" s="36" t="s">
        <v>441</v>
      </c>
      <c r="F15" s="104">
        <v>1</v>
      </c>
      <c r="G15" s="104"/>
      <c r="H15" s="104"/>
      <c r="I15" s="104"/>
      <c r="J15" s="104"/>
      <c r="K15" s="104"/>
      <c r="L15" s="104">
        <v>1</v>
      </c>
      <c r="M15" s="104">
        <v>1</v>
      </c>
      <c r="N15" s="104"/>
      <c r="O15" s="104"/>
      <c r="P15" s="104"/>
      <c r="Q15" s="104">
        <v>1</v>
      </c>
      <c r="R15" s="104">
        <v>1</v>
      </c>
      <c r="S15" s="104">
        <v>1</v>
      </c>
      <c r="T15" s="104">
        <v>1</v>
      </c>
      <c r="U15" s="104"/>
      <c r="V15" s="104"/>
      <c r="W15" s="104"/>
      <c r="X15" s="104"/>
      <c r="Y15" s="104"/>
      <c r="Z15" s="105">
        <v>1</v>
      </c>
      <c r="AA15" s="105">
        <v>1</v>
      </c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49" x14ac:dyDescent="0.3">
      <c r="A16" s="51">
        <v>117</v>
      </c>
      <c r="B16" s="38" t="s">
        <v>200</v>
      </c>
      <c r="C16" s="36">
        <v>7402023</v>
      </c>
      <c r="D16" s="36" t="s">
        <v>410</v>
      </c>
      <c r="E16" s="137" t="s">
        <v>411</v>
      </c>
      <c r="F16" s="104">
        <v>1</v>
      </c>
      <c r="G16" s="104"/>
      <c r="H16" s="104"/>
      <c r="I16" s="104"/>
      <c r="J16" s="104"/>
      <c r="K16" s="104"/>
      <c r="L16" s="104">
        <v>1</v>
      </c>
      <c r="M16" s="104">
        <v>1</v>
      </c>
      <c r="N16" s="104">
        <v>1</v>
      </c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5">
        <v>1</v>
      </c>
      <c r="AA16" s="105">
        <v>1</v>
      </c>
      <c r="AB16" s="115"/>
      <c r="AC16" s="104"/>
      <c r="AD16" s="104"/>
      <c r="AE16" s="104"/>
      <c r="AF16" s="104">
        <v>1</v>
      </c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>
        <v>1</v>
      </c>
      <c r="AW16" s="104"/>
    </row>
    <row r="17" spans="1:49" x14ac:dyDescent="0.3">
      <c r="A17" s="56"/>
      <c r="B17" s="58"/>
      <c r="C17" s="36">
        <v>7402762</v>
      </c>
      <c r="D17" s="36" t="s">
        <v>458</v>
      </c>
      <c r="E17" s="137" t="s">
        <v>459</v>
      </c>
      <c r="F17" s="118">
        <v>1</v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>
        <v>1</v>
      </c>
      <c r="T17" s="118">
        <v>1</v>
      </c>
      <c r="U17" s="118"/>
      <c r="V17" s="118"/>
      <c r="W17" s="118"/>
      <c r="X17" s="118"/>
      <c r="Y17" s="118"/>
      <c r="Z17" s="131">
        <v>1</v>
      </c>
      <c r="AA17" s="131">
        <v>1</v>
      </c>
      <c r="AB17" s="118"/>
      <c r="AC17" s="118"/>
      <c r="AD17" s="118"/>
      <c r="AE17" s="118"/>
      <c r="AF17" s="118"/>
      <c r="AG17" s="118">
        <v>1</v>
      </c>
      <c r="AH17" s="118">
        <v>1</v>
      </c>
      <c r="AI17" s="118">
        <v>1</v>
      </c>
      <c r="AJ17" s="118">
        <v>1</v>
      </c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>
        <v>1</v>
      </c>
      <c r="AW17" s="118"/>
    </row>
    <row r="18" spans="1:49" x14ac:dyDescent="0.3">
      <c r="A18" s="43">
        <v>15</v>
      </c>
      <c r="B18" s="133" t="s">
        <v>42</v>
      </c>
      <c r="C18" s="36">
        <v>7051892</v>
      </c>
      <c r="D18" s="36" t="s">
        <v>50</v>
      </c>
      <c r="E18" s="37" t="s">
        <v>51</v>
      </c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5">
        <v>1</v>
      </c>
      <c r="AA18" s="105">
        <v>1</v>
      </c>
      <c r="AB18" s="104">
        <v>1</v>
      </c>
      <c r="AC18" s="104"/>
      <c r="AD18" s="104"/>
      <c r="AE18" s="104"/>
      <c r="AF18" s="104">
        <v>1</v>
      </c>
      <c r="AG18" s="104">
        <v>1</v>
      </c>
      <c r="AH18" s="104">
        <v>1</v>
      </c>
      <c r="AI18" s="104">
        <v>1</v>
      </c>
      <c r="AJ18" s="104">
        <v>1</v>
      </c>
      <c r="AK18" s="104">
        <v>1</v>
      </c>
      <c r="AL18" s="104"/>
      <c r="AM18" s="104">
        <v>1</v>
      </c>
      <c r="AN18" s="104"/>
      <c r="AO18" s="104"/>
      <c r="AP18" s="104"/>
      <c r="AQ18" s="104"/>
      <c r="AR18" s="104"/>
      <c r="AS18" s="104"/>
      <c r="AT18" s="104">
        <v>1</v>
      </c>
      <c r="AU18" s="104">
        <v>1</v>
      </c>
      <c r="AV18" s="104">
        <v>1</v>
      </c>
      <c r="AW18" s="104"/>
    </row>
    <row r="19" spans="1:49" x14ac:dyDescent="0.3">
      <c r="A19" s="43">
        <v>71</v>
      </c>
      <c r="B19" s="38" t="s">
        <v>43</v>
      </c>
      <c r="C19" s="36">
        <v>7092642</v>
      </c>
      <c r="D19" s="36" t="s">
        <v>183</v>
      </c>
      <c r="E19" s="37" t="s">
        <v>88</v>
      </c>
      <c r="F19" s="104">
        <v>1</v>
      </c>
      <c r="G19" s="104"/>
      <c r="H19" s="104"/>
      <c r="I19" s="104"/>
      <c r="J19" s="104"/>
      <c r="K19" s="104"/>
      <c r="L19" s="104">
        <v>1</v>
      </c>
      <c r="M19" s="104"/>
      <c r="N19" s="104"/>
      <c r="O19" s="104"/>
      <c r="P19" s="104"/>
      <c r="Q19" s="104"/>
      <c r="R19" s="104"/>
      <c r="S19" s="104"/>
      <c r="T19" s="104">
        <v>1</v>
      </c>
      <c r="U19" s="104"/>
      <c r="V19" s="104"/>
      <c r="W19" s="104"/>
      <c r="X19" s="104"/>
      <c r="Y19" s="104">
        <v>1</v>
      </c>
      <c r="Z19" s="105">
        <v>1</v>
      </c>
      <c r="AA19" s="105">
        <v>1</v>
      </c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3">
      <c r="A20" s="43">
        <v>53</v>
      </c>
      <c r="B20" s="44" t="s">
        <v>49</v>
      </c>
      <c r="C20" s="45">
        <v>7093556</v>
      </c>
      <c r="D20" s="46" t="s">
        <v>52</v>
      </c>
      <c r="E20" s="46" t="s">
        <v>53</v>
      </c>
      <c r="F20" s="104"/>
      <c r="G20" s="104"/>
      <c r="H20" s="104"/>
      <c r="I20" s="104"/>
      <c r="J20" s="104"/>
      <c r="K20" s="104"/>
      <c r="L20" s="104">
        <v>1</v>
      </c>
      <c r="M20" s="104">
        <v>1</v>
      </c>
      <c r="N20" s="104">
        <v>1</v>
      </c>
      <c r="O20" s="104">
        <v>1</v>
      </c>
      <c r="P20" s="104"/>
      <c r="Q20" s="104">
        <v>1</v>
      </c>
      <c r="R20" s="104"/>
      <c r="S20" s="104">
        <v>1</v>
      </c>
      <c r="T20" s="104">
        <v>1</v>
      </c>
      <c r="U20" s="104"/>
      <c r="V20" s="104"/>
      <c r="W20" s="104"/>
      <c r="X20" s="104"/>
      <c r="Y20" s="104"/>
      <c r="Z20" s="105">
        <v>1</v>
      </c>
      <c r="AA20" s="105">
        <v>1</v>
      </c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>
        <v>1</v>
      </c>
      <c r="AW20" s="104"/>
    </row>
    <row r="21" spans="1:49" x14ac:dyDescent="0.3">
      <c r="A21" s="43">
        <v>90</v>
      </c>
      <c r="B21" s="39" t="s">
        <v>42</v>
      </c>
      <c r="C21" s="36">
        <v>7096419</v>
      </c>
      <c r="D21" s="36" t="s">
        <v>54</v>
      </c>
      <c r="E21" s="36" t="s">
        <v>359</v>
      </c>
      <c r="F21" s="104"/>
      <c r="G21" s="104"/>
      <c r="H21" s="104"/>
      <c r="I21" s="104"/>
      <c r="J21" s="104"/>
      <c r="K21" s="104"/>
      <c r="L21" s="104">
        <v>1</v>
      </c>
      <c r="M21" s="104">
        <v>1</v>
      </c>
      <c r="N21" s="104">
        <v>1</v>
      </c>
      <c r="O21" s="104"/>
      <c r="P21" s="104"/>
      <c r="Q21" s="104">
        <v>1</v>
      </c>
      <c r="R21" s="104"/>
      <c r="S21" s="104">
        <v>1</v>
      </c>
      <c r="T21" s="104">
        <v>1</v>
      </c>
      <c r="U21" s="104"/>
      <c r="V21" s="104"/>
      <c r="W21" s="104"/>
      <c r="X21" s="104"/>
      <c r="Y21" s="104"/>
      <c r="Z21" s="105">
        <v>1</v>
      </c>
      <c r="AA21" s="105">
        <v>1</v>
      </c>
      <c r="AB21" s="104"/>
      <c r="AC21" s="104"/>
      <c r="AD21" s="104"/>
      <c r="AE21" s="104"/>
      <c r="AF21" s="104"/>
      <c r="AG21" s="104">
        <v>1</v>
      </c>
      <c r="AH21" s="104">
        <v>1</v>
      </c>
      <c r="AI21" s="104">
        <v>1</v>
      </c>
      <c r="AJ21" s="104">
        <v>1</v>
      </c>
      <c r="AK21" s="104">
        <v>1</v>
      </c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3">
      <c r="A22" s="140">
        <v>43</v>
      </c>
      <c r="B22" s="38" t="s">
        <v>42</v>
      </c>
      <c r="C22" s="36">
        <v>7092308</v>
      </c>
      <c r="D22" s="36" t="s">
        <v>54</v>
      </c>
      <c r="E22" s="36" t="s">
        <v>55</v>
      </c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5">
        <v>1</v>
      </c>
      <c r="AA22" s="105">
        <v>1</v>
      </c>
      <c r="AB22" s="104">
        <v>1</v>
      </c>
      <c r="AC22" s="104"/>
      <c r="AD22" s="104"/>
      <c r="AE22" s="104"/>
      <c r="AF22" s="104">
        <v>1</v>
      </c>
      <c r="AG22" s="104">
        <v>1</v>
      </c>
      <c r="AH22" s="104">
        <v>1</v>
      </c>
      <c r="AI22" s="104">
        <v>1</v>
      </c>
      <c r="AJ22" s="104">
        <v>1</v>
      </c>
      <c r="AK22" s="104">
        <v>1</v>
      </c>
      <c r="AL22" s="104"/>
      <c r="AM22" s="104"/>
      <c r="AN22" s="104">
        <v>1</v>
      </c>
      <c r="AO22" s="104">
        <v>1</v>
      </c>
      <c r="AP22" s="104">
        <v>1</v>
      </c>
      <c r="AQ22" s="104">
        <v>1</v>
      </c>
      <c r="AR22" s="104"/>
      <c r="AS22" s="104"/>
      <c r="AT22" s="104"/>
      <c r="AU22" s="104"/>
      <c r="AV22" s="104"/>
      <c r="AW22" s="104"/>
    </row>
    <row r="23" spans="1:49" x14ac:dyDescent="0.3">
      <c r="A23" s="43">
        <v>77</v>
      </c>
      <c r="B23" s="38" t="s">
        <v>42</v>
      </c>
      <c r="C23" s="36">
        <v>7095860</v>
      </c>
      <c r="D23" s="36" t="s">
        <v>195</v>
      </c>
      <c r="E23" s="36" t="s">
        <v>196</v>
      </c>
      <c r="F23" s="104"/>
      <c r="G23" s="104"/>
      <c r="H23" s="104"/>
      <c r="I23" s="104"/>
      <c r="J23" s="104"/>
      <c r="K23" s="104"/>
      <c r="L23" s="116">
        <v>1</v>
      </c>
      <c r="M23" s="104">
        <v>1</v>
      </c>
      <c r="N23" s="104">
        <v>1</v>
      </c>
      <c r="O23" s="104">
        <v>1</v>
      </c>
      <c r="P23" s="104"/>
      <c r="Q23" s="104">
        <v>1</v>
      </c>
      <c r="R23" s="104">
        <v>1</v>
      </c>
      <c r="S23" s="104">
        <v>1</v>
      </c>
      <c r="T23" s="104">
        <v>1</v>
      </c>
      <c r="U23" s="104"/>
      <c r="V23" s="104"/>
      <c r="W23" s="104"/>
      <c r="X23" s="104"/>
      <c r="Y23" s="104"/>
      <c r="Z23" s="105">
        <v>1</v>
      </c>
      <c r="AA23" s="105">
        <v>1</v>
      </c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>
        <v>1</v>
      </c>
      <c r="AW23" s="104"/>
    </row>
    <row r="24" spans="1:49" x14ac:dyDescent="0.3">
      <c r="A24" s="139">
        <v>11</v>
      </c>
      <c r="B24" s="38" t="s">
        <v>49</v>
      </c>
      <c r="C24" s="52">
        <v>7042058</v>
      </c>
      <c r="D24" s="52" t="s">
        <v>56</v>
      </c>
      <c r="E24" s="52" t="s">
        <v>57</v>
      </c>
      <c r="F24" s="104">
        <v>1</v>
      </c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>
        <v>1</v>
      </c>
      <c r="X24" s="104">
        <v>1</v>
      </c>
      <c r="Y24" s="104"/>
      <c r="Z24" s="105">
        <v>1</v>
      </c>
      <c r="AA24" s="105">
        <v>1</v>
      </c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>
        <v>1</v>
      </c>
      <c r="AW24" s="104"/>
    </row>
    <row r="25" spans="1:49" x14ac:dyDescent="0.3">
      <c r="A25" s="43">
        <v>87</v>
      </c>
      <c r="B25" s="39" t="s">
        <v>42</v>
      </c>
      <c r="C25" s="36">
        <v>7096844</v>
      </c>
      <c r="D25" s="36" t="s">
        <v>369</v>
      </c>
      <c r="E25" s="37" t="s">
        <v>367</v>
      </c>
      <c r="F25" s="104">
        <v>1</v>
      </c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>
        <v>1</v>
      </c>
      <c r="V25" s="104"/>
      <c r="W25" s="104"/>
      <c r="X25" s="104"/>
      <c r="Y25" s="104"/>
      <c r="Z25" s="105">
        <v>1</v>
      </c>
      <c r="AA25" s="105">
        <v>1</v>
      </c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>
        <v>1</v>
      </c>
      <c r="AW25" s="104"/>
    </row>
    <row r="26" spans="1:49" x14ac:dyDescent="0.3">
      <c r="A26" s="43">
        <v>85</v>
      </c>
      <c r="B26" s="38" t="s">
        <v>49</v>
      </c>
      <c r="C26" s="36">
        <v>7096839</v>
      </c>
      <c r="D26" s="36" t="s">
        <v>347</v>
      </c>
      <c r="E26" s="37" t="s">
        <v>348</v>
      </c>
      <c r="F26" s="104"/>
      <c r="G26" s="104"/>
      <c r="H26" s="104"/>
      <c r="I26" s="104"/>
      <c r="J26" s="104"/>
      <c r="K26" s="104"/>
      <c r="L26" s="104">
        <v>1</v>
      </c>
      <c r="M26" s="104">
        <v>1</v>
      </c>
      <c r="N26" s="104">
        <v>1</v>
      </c>
      <c r="O26" s="104"/>
      <c r="P26" s="104">
        <v>1</v>
      </c>
      <c r="Q26" s="104">
        <v>1</v>
      </c>
      <c r="R26" s="104"/>
      <c r="S26" s="104"/>
      <c r="T26" s="104"/>
      <c r="U26" s="104"/>
      <c r="V26" s="104"/>
      <c r="W26" s="104"/>
      <c r="X26" s="104"/>
      <c r="Y26" s="104"/>
      <c r="Z26" s="105">
        <v>1</v>
      </c>
      <c r="AA26" s="105">
        <v>1</v>
      </c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>
        <v>1</v>
      </c>
      <c r="AM26" s="104"/>
      <c r="AN26" s="104"/>
      <c r="AO26" s="104"/>
      <c r="AP26" s="104"/>
      <c r="AQ26" s="104"/>
      <c r="AR26" s="104">
        <v>1</v>
      </c>
      <c r="AS26" s="104"/>
      <c r="AT26" s="104"/>
      <c r="AU26" s="104"/>
      <c r="AV26" s="104">
        <v>1</v>
      </c>
      <c r="AW26" s="104"/>
    </row>
    <row r="27" spans="1:49" x14ac:dyDescent="0.3">
      <c r="A27" s="140">
        <v>12</v>
      </c>
      <c r="B27" s="39" t="s">
        <v>49</v>
      </c>
      <c r="C27" s="36">
        <v>7027781</v>
      </c>
      <c r="D27" s="36" t="s">
        <v>58</v>
      </c>
      <c r="E27" s="36" t="s">
        <v>59</v>
      </c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5">
        <v>1</v>
      </c>
      <c r="AA27" s="105">
        <v>1</v>
      </c>
      <c r="AB27" s="104">
        <v>1</v>
      </c>
      <c r="AC27" s="104"/>
      <c r="AD27" s="104"/>
      <c r="AE27" s="104"/>
      <c r="AF27" s="104">
        <v>1</v>
      </c>
      <c r="AG27" s="104"/>
      <c r="AH27" s="104"/>
      <c r="AI27" s="104">
        <v>1</v>
      </c>
      <c r="AJ27" s="104">
        <v>1</v>
      </c>
      <c r="AK27" s="104">
        <v>1</v>
      </c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3">
      <c r="A28" s="140">
        <v>78</v>
      </c>
      <c r="B28" s="39" t="s">
        <v>43</v>
      </c>
      <c r="C28" s="36">
        <v>7095862</v>
      </c>
      <c r="D28" s="36" t="s">
        <v>496</v>
      </c>
      <c r="E28" s="36" t="s">
        <v>497</v>
      </c>
      <c r="F28" s="104"/>
      <c r="G28" s="104"/>
      <c r="H28" s="104"/>
      <c r="I28" s="104"/>
      <c r="J28" s="104"/>
      <c r="K28" s="104">
        <v>1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5"/>
      <c r="AA28" s="105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3">
      <c r="A29" s="43">
        <v>42</v>
      </c>
      <c r="B29" s="39" t="s">
        <v>43</v>
      </c>
      <c r="C29" s="36">
        <v>7092742</v>
      </c>
      <c r="D29" s="36" t="s">
        <v>60</v>
      </c>
      <c r="E29" s="37" t="s">
        <v>61</v>
      </c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5">
        <v>1</v>
      </c>
      <c r="AA29" s="105">
        <v>1</v>
      </c>
      <c r="AB29" s="104">
        <v>1</v>
      </c>
      <c r="AC29" s="104"/>
      <c r="AD29" s="104"/>
      <c r="AE29" s="104"/>
      <c r="AF29" s="104">
        <v>1</v>
      </c>
      <c r="AG29" s="104"/>
      <c r="AH29" s="104"/>
      <c r="AI29" s="104">
        <v>1</v>
      </c>
      <c r="AJ29" s="104">
        <v>1</v>
      </c>
      <c r="AK29" s="104">
        <v>1</v>
      </c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3">
      <c r="A30" s="43">
        <v>60</v>
      </c>
      <c r="B30" s="44" t="s">
        <v>49</v>
      </c>
      <c r="C30" s="54">
        <v>7094360</v>
      </c>
      <c r="D30" s="55" t="s">
        <v>62</v>
      </c>
      <c r="E30" s="117" t="s">
        <v>178</v>
      </c>
      <c r="F30" s="104">
        <v>1</v>
      </c>
      <c r="G30" s="104"/>
      <c r="H30" s="104"/>
      <c r="I30" s="104"/>
      <c r="J30" s="104"/>
      <c r="K30" s="104"/>
      <c r="L30" s="104">
        <v>1</v>
      </c>
      <c r="M30" s="104">
        <v>1</v>
      </c>
      <c r="N30" s="104">
        <v>1</v>
      </c>
      <c r="O30" s="104"/>
      <c r="P30" s="104"/>
      <c r="Q30" s="104"/>
      <c r="R30" s="104"/>
      <c r="S30" s="104">
        <v>1</v>
      </c>
      <c r="T30" s="104">
        <v>1</v>
      </c>
      <c r="U30" s="104"/>
      <c r="V30" s="104"/>
      <c r="W30" s="104"/>
      <c r="X30" s="104"/>
      <c r="Y30" s="104"/>
      <c r="Z30" s="105">
        <v>1</v>
      </c>
      <c r="AA30" s="105">
        <v>1</v>
      </c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>
        <v>1</v>
      </c>
      <c r="AW30" s="104"/>
    </row>
    <row r="31" spans="1:49" x14ac:dyDescent="0.3">
      <c r="A31" s="43">
        <v>6</v>
      </c>
      <c r="B31" s="44" t="s">
        <v>43</v>
      </c>
      <c r="C31" s="36">
        <v>7027011</v>
      </c>
      <c r="D31" s="36" t="s">
        <v>62</v>
      </c>
      <c r="E31" s="37" t="s">
        <v>63</v>
      </c>
      <c r="F31" s="104"/>
      <c r="G31" s="104"/>
      <c r="H31" s="104"/>
      <c r="I31" s="104">
        <v>1</v>
      </c>
      <c r="J31" s="104">
        <v>1</v>
      </c>
      <c r="K31" s="104">
        <v>1</v>
      </c>
      <c r="L31" s="104">
        <v>1</v>
      </c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5">
        <v>1</v>
      </c>
      <c r="AA31" s="105">
        <v>1</v>
      </c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3">
      <c r="A32" s="43">
        <v>55</v>
      </c>
      <c r="B32" s="39" t="s">
        <v>49</v>
      </c>
      <c r="C32" s="45">
        <v>7094195</v>
      </c>
      <c r="D32" s="46" t="s">
        <v>192</v>
      </c>
      <c r="E32" s="46" t="s">
        <v>106</v>
      </c>
      <c r="F32" s="104">
        <v>1</v>
      </c>
      <c r="G32" s="104"/>
      <c r="H32" s="104"/>
      <c r="I32" s="104"/>
      <c r="J32" s="104"/>
      <c r="K32" s="104"/>
      <c r="L32" s="104">
        <v>1</v>
      </c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5">
        <v>1</v>
      </c>
      <c r="AA32" s="105">
        <v>1</v>
      </c>
      <c r="AB32" s="104"/>
      <c r="AC32" s="104"/>
      <c r="AD32" s="104"/>
      <c r="AE32" s="104"/>
      <c r="AF32" s="104">
        <v>1</v>
      </c>
      <c r="AG32" s="104">
        <v>1</v>
      </c>
      <c r="AH32" s="104">
        <v>1</v>
      </c>
      <c r="AI32" s="104">
        <v>1</v>
      </c>
      <c r="AJ32" s="104">
        <v>1</v>
      </c>
      <c r="AK32" s="104"/>
      <c r="AL32" s="104"/>
      <c r="AM32" s="104"/>
      <c r="AN32" s="104"/>
      <c r="AO32" s="104"/>
      <c r="AP32" s="104"/>
      <c r="AQ32" s="104"/>
      <c r="AR32" s="104"/>
      <c r="AS32" s="104"/>
      <c r="AT32" s="104">
        <v>1</v>
      </c>
      <c r="AU32" s="104">
        <v>1</v>
      </c>
      <c r="AV32" s="104">
        <v>1</v>
      </c>
      <c r="AW32" s="104"/>
    </row>
    <row r="33" spans="1:49" x14ac:dyDescent="0.3">
      <c r="A33" s="43">
        <v>29</v>
      </c>
      <c r="B33" s="44" t="s">
        <v>46</v>
      </c>
      <c r="C33" s="36">
        <v>7091826</v>
      </c>
      <c r="D33" s="36" t="s">
        <v>64</v>
      </c>
      <c r="E33" s="37" t="s">
        <v>65</v>
      </c>
      <c r="F33" s="104">
        <v>1</v>
      </c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5">
        <v>1</v>
      </c>
      <c r="AA33" s="105">
        <v>1</v>
      </c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3">
      <c r="A34" s="43">
        <v>121</v>
      </c>
      <c r="B34" s="39" t="s">
        <v>343</v>
      </c>
      <c r="C34" s="45">
        <v>7402166</v>
      </c>
      <c r="D34" s="46" t="s">
        <v>64</v>
      </c>
      <c r="E34" s="46" t="s">
        <v>444</v>
      </c>
      <c r="F34" s="104">
        <v>1</v>
      </c>
      <c r="G34" s="104"/>
      <c r="H34" s="104"/>
      <c r="I34" s="104">
        <v>1</v>
      </c>
      <c r="J34" s="104"/>
      <c r="K34" s="104"/>
      <c r="L34" s="104">
        <v>1</v>
      </c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5"/>
      <c r="AA34" s="105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3">
      <c r="A35" s="43">
        <v>16</v>
      </c>
      <c r="B35" s="121" t="s">
        <v>42</v>
      </c>
      <c r="C35" s="36">
        <v>7051891</v>
      </c>
      <c r="D35" s="36" t="s">
        <v>66</v>
      </c>
      <c r="E35" s="37" t="s">
        <v>67</v>
      </c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5">
        <v>1</v>
      </c>
      <c r="AA35" s="105">
        <v>1</v>
      </c>
      <c r="AB35" s="104">
        <v>1</v>
      </c>
      <c r="AC35" s="104"/>
      <c r="AD35" s="104"/>
      <c r="AE35" s="104"/>
      <c r="AF35" s="104">
        <v>1</v>
      </c>
      <c r="AG35" s="104">
        <v>1</v>
      </c>
      <c r="AH35" s="104"/>
      <c r="AI35" s="104">
        <v>1</v>
      </c>
      <c r="AJ35" s="104">
        <v>1</v>
      </c>
      <c r="AK35" s="104">
        <v>1</v>
      </c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3">
      <c r="A36" s="136"/>
      <c r="B36" s="133"/>
      <c r="C36" s="38">
        <v>7401878</v>
      </c>
      <c r="D36" s="38" t="s">
        <v>460</v>
      </c>
      <c r="E36" s="38" t="s">
        <v>461</v>
      </c>
      <c r="F36" s="118">
        <v>1</v>
      </c>
      <c r="G36" s="118"/>
      <c r="H36" s="118"/>
      <c r="I36" s="118"/>
      <c r="J36" s="118"/>
      <c r="K36" s="118"/>
      <c r="L36" s="118">
        <v>1</v>
      </c>
      <c r="M36" s="118">
        <v>1</v>
      </c>
      <c r="N36" s="118">
        <v>1</v>
      </c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31"/>
      <c r="AA36" s="131">
        <v>1</v>
      </c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>
        <v>1</v>
      </c>
      <c r="AW36" s="118"/>
    </row>
    <row r="37" spans="1:49" x14ac:dyDescent="0.3">
      <c r="A37" s="140">
        <v>17</v>
      </c>
      <c r="B37" s="38" t="s">
        <v>49</v>
      </c>
      <c r="C37" s="36">
        <v>7051764</v>
      </c>
      <c r="D37" s="36" t="s">
        <v>68</v>
      </c>
      <c r="E37" s="137" t="s">
        <v>69</v>
      </c>
      <c r="F37" s="104"/>
      <c r="G37" s="104"/>
      <c r="H37" s="104"/>
      <c r="I37" s="104"/>
      <c r="J37" s="104"/>
      <c r="K37" s="104"/>
      <c r="L37" s="104">
        <v>1</v>
      </c>
      <c r="M37" s="104">
        <v>1</v>
      </c>
      <c r="N37" s="104">
        <v>1</v>
      </c>
      <c r="O37" s="104"/>
      <c r="P37" s="104"/>
      <c r="Q37" s="104">
        <v>1</v>
      </c>
      <c r="R37" s="104">
        <v>1</v>
      </c>
      <c r="S37" s="104">
        <v>1</v>
      </c>
      <c r="T37" s="104">
        <v>1</v>
      </c>
      <c r="U37" s="104"/>
      <c r="V37" s="104"/>
      <c r="W37" s="104"/>
      <c r="X37" s="104"/>
      <c r="Y37" s="104"/>
      <c r="Z37" s="105">
        <v>1</v>
      </c>
      <c r="AA37" s="105">
        <v>1</v>
      </c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3">
      <c r="A38" s="140"/>
      <c r="B38" s="39"/>
      <c r="C38" s="38">
        <v>7402080</v>
      </c>
      <c r="D38" s="38" t="s">
        <v>462</v>
      </c>
      <c r="E38" s="38" t="s">
        <v>99</v>
      </c>
      <c r="F38" s="104">
        <v>1</v>
      </c>
      <c r="G38" s="104"/>
      <c r="H38" s="104"/>
      <c r="I38" s="104"/>
      <c r="J38" s="104"/>
      <c r="K38" s="104"/>
      <c r="L38" s="104">
        <v>1</v>
      </c>
      <c r="M38" s="104">
        <v>1</v>
      </c>
      <c r="N38" s="104">
        <v>1</v>
      </c>
      <c r="O38" s="104">
        <v>1</v>
      </c>
      <c r="P38" s="104"/>
      <c r="Q38" s="104"/>
      <c r="R38" s="104"/>
      <c r="S38" s="104">
        <v>1</v>
      </c>
      <c r="T38" s="104">
        <v>1</v>
      </c>
      <c r="U38" s="104"/>
      <c r="V38" s="104"/>
      <c r="W38" s="104"/>
      <c r="X38" s="104"/>
      <c r="Y38" s="104">
        <v>1</v>
      </c>
      <c r="Z38" s="105">
        <v>1</v>
      </c>
      <c r="AA38" s="105">
        <v>1</v>
      </c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>
        <v>1</v>
      </c>
      <c r="AW38" s="104"/>
    </row>
    <row r="39" spans="1:49" x14ac:dyDescent="0.3">
      <c r="A39" s="43">
        <v>57</v>
      </c>
      <c r="B39" s="38" t="s">
        <v>42</v>
      </c>
      <c r="C39" s="36">
        <v>7092660</v>
      </c>
      <c r="D39" s="36" t="s">
        <v>170</v>
      </c>
      <c r="E39" s="37" t="s">
        <v>171</v>
      </c>
      <c r="F39" s="104">
        <v>1</v>
      </c>
      <c r="G39" s="104"/>
      <c r="H39" s="104"/>
      <c r="I39" s="104"/>
      <c r="J39" s="104"/>
      <c r="K39" s="104"/>
      <c r="L39" s="104">
        <v>1</v>
      </c>
      <c r="M39" s="104"/>
      <c r="N39" s="104"/>
      <c r="O39" s="104"/>
      <c r="P39" s="104">
        <v>1</v>
      </c>
      <c r="Q39" s="104"/>
      <c r="R39" s="104"/>
      <c r="S39" s="104"/>
      <c r="T39" s="104"/>
      <c r="U39" s="104"/>
      <c r="V39" s="104"/>
      <c r="W39" s="104">
        <v>1</v>
      </c>
      <c r="X39" s="104"/>
      <c r="Y39" s="104"/>
      <c r="Z39" s="105">
        <v>1</v>
      </c>
      <c r="AA39" s="105">
        <v>1</v>
      </c>
      <c r="AB39" s="104"/>
      <c r="AC39" s="104"/>
      <c r="AD39" s="104"/>
      <c r="AE39" s="104">
        <v>1</v>
      </c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>
        <v>1</v>
      </c>
      <c r="AW39" s="104"/>
    </row>
    <row r="40" spans="1:49" x14ac:dyDescent="0.3">
      <c r="A40" s="43">
        <v>116</v>
      </c>
      <c r="B40" s="44"/>
      <c r="C40" s="49">
        <v>7402314</v>
      </c>
      <c r="D40" s="50" t="s">
        <v>425</v>
      </c>
      <c r="E40" s="50" t="s">
        <v>78</v>
      </c>
      <c r="F40" s="104">
        <v>1</v>
      </c>
      <c r="G40" s="104"/>
      <c r="H40" s="104">
        <v>1</v>
      </c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>
        <v>1</v>
      </c>
      <c r="X40" s="104"/>
      <c r="Y40" s="104"/>
      <c r="Z40" s="105"/>
      <c r="AA40" s="105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>
        <v>1</v>
      </c>
      <c r="AW40" s="104"/>
    </row>
    <row r="41" spans="1:49" x14ac:dyDescent="0.3">
      <c r="A41" s="43">
        <v>28</v>
      </c>
      <c r="B41" s="38" t="s">
        <v>43</v>
      </c>
      <c r="C41" s="45">
        <v>7077347</v>
      </c>
      <c r="D41" s="46" t="s">
        <v>70</v>
      </c>
      <c r="E41" s="46" t="s">
        <v>71</v>
      </c>
      <c r="F41" s="104">
        <v>1</v>
      </c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>
        <v>1</v>
      </c>
      <c r="Y41" s="104"/>
      <c r="Z41" s="105">
        <v>1</v>
      </c>
      <c r="AA41" s="105">
        <v>1</v>
      </c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>
        <v>1</v>
      </c>
      <c r="AW41" s="104"/>
    </row>
    <row r="42" spans="1:49" x14ac:dyDescent="0.3">
      <c r="A42" s="43">
        <v>66</v>
      </c>
      <c r="B42" s="38" t="s">
        <v>43</v>
      </c>
      <c r="C42" s="36">
        <v>7095758</v>
      </c>
      <c r="D42" s="36" t="s">
        <v>185</v>
      </c>
      <c r="E42" s="36" t="s">
        <v>186</v>
      </c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5">
        <v>1</v>
      </c>
      <c r="AA42" s="105">
        <v>1</v>
      </c>
      <c r="AB42" s="104"/>
      <c r="AC42" s="104"/>
      <c r="AD42" s="104"/>
      <c r="AE42" s="104"/>
      <c r="AF42" s="104">
        <v>1</v>
      </c>
      <c r="AG42" s="104">
        <v>1</v>
      </c>
      <c r="AH42" s="104"/>
      <c r="AI42" s="104">
        <v>1</v>
      </c>
      <c r="AJ42" s="104">
        <v>1</v>
      </c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3">
      <c r="A43" s="43">
        <v>86</v>
      </c>
      <c r="B43" s="44" t="s">
        <v>42</v>
      </c>
      <c r="C43" s="49">
        <v>7095865</v>
      </c>
      <c r="D43" s="46" t="s">
        <v>357</v>
      </c>
      <c r="E43" s="46" t="s">
        <v>45</v>
      </c>
      <c r="F43" s="104">
        <v>1</v>
      </c>
      <c r="G43" s="104"/>
      <c r="H43" s="104">
        <v>1</v>
      </c>
      <c r="I43" s="104"/>
      <c r="J43" s="104"/>
      <c r="K43" s="104"/>
      <c r="L43" s="104">
        <v>1</v>
      </c>
      <c r="M43" s="104">
        <v>1</v>
      </c>
      <c r="N43" s="104">
        <v>1</v>
      </c>
      <c r="O43" s="104">
        <v>1</v>
      </c>
      <c r="P43" s="104"/>
      <c r="Q43" s="104">
        <v>1</v>
      </c>
      <c r="R43" s="104">
        <v>1</v>
      </c>
      <c r="S43" s="104">
        <v>1</v>
      </c>
      <c r="T43" s="104">
        <v>1</v>
      </c>
      <c r="U43" s="104"/>
      <c r="V43" s="104"/>
      <c r="W43" s="104"/>
      <c r="X43" s="104"/>
      <c r="Y43" s="104"/>
      <c r="Z43" s="105">
        <v>1</v>
      </c>
      <c r="AA43" s="105">
        <v>1</v>
      </c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>
        <v>1</v>
      </c>
      <c r="AW43" s="104"/>
    </row>
    <row r="44" spans="1:49" x14ac:dyDescent="0.3">
      <c r="A44" s="43">
        <v>97</v>
      </c>
      <c r="B44" s="44"/>
      <c r="C44" s="45">
        <v>7401072</v>
      </c>
      <c r="D44" s="46" t="s">
        <v>380</v>
      </c>
      <c r="E44" s="46" t="s">
        <v>381</v>
      </c>
      <c r="F44" s="104"/>
      <c r="G44" s="104"/>
      <c r="H44" s="104"/>
      <c r="I44" s="104"/>
      <c r="J44" s="104"/>
      <c r="K44" s="104">
        <v>1</v>
      </c>
      <c r="L44" s="104">
        <v>1</v>
      </c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5">
        <v>1</v>
      </c>
      <c r="AA44" s="105">
        <v>1</v>
      </c>
      <c r="AB44" s="104"/>
      <c r="AC44" s="104"/>
      <c r="AD44" s="104"/>
      <c r="AE44" s="104"/>
      <c r="AF44" s="104">
        <v>1</v>
      </c>
      <c r="AG44" s="104"/>
      <c r="AH44" s="104"/>
      <c r="AI44" s="104">
        <v>1</v>
      </c>
      <c r="AJ44" s="104">
        <v>1</v>
      </c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>
        <v>1</v>
      </c>
      <c r="AW44" s="104"/>
    </row>
    <row r="45" spans="1:49" x14ac:dyDescent="0.3">
      <c r="A45" s="140">
        <v>78</v>
      </c>
      <c r="B45" s="38" t="s">
        <v>200</v>
      </c>
      <c r="C45" s="144">
        <v>7095735</v>
      </c>
      <c r="D45" s="145" t="s">
        <v>201</v>
      </c>
      <c r="E45" s="145" t="s">
        <v>202</v>
      </c>
      <c r="F45" s="104">
        <v>1</v>
      </c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>
        <v>1</v>
      </c>
      <c r="V45" s="104">
        <v>1</v>
      </c>
      <c r="W45" s="104">
        <v>1</v>
      </c>
      <c r="X45" s="104"/>
      <c r="Y45" s="104"/>
      <c r="Z45" s="105">
        <v>1</v>
      </c>
      <c r="AA45" s="105">
        <v>1</v>
      </c>
      <c r="AB45" s="104"/>
      <c r="AC45" s="104"/>
      <c r="AD45" s="104"/>
      <c r="AE45" s="104"/>
      <c r="AF45" s="104"/>
      <c r="AG45" s="104"/>
      <c r="AH45" s="104">
        <v>1</v>
      </c>
      <c r="AI45" s="104">
        <v>1</v>
      </c>
      <c r="AJ45" s="104">
        <v>1</v>
      </c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>
        <v>1</v>
      </c>
      <c r="AW45" s="104"/>
    </row>
    <row r="46" spans="1:49" x14ac:dyDescent="0.3">
      <c r="A46" s="140">
        <v>96</v>
      </c>
      <c r="B46" s="104" t="s">
        <v>49</v>
      </c>
      <c r="C46" s="45">
        <v>7098056</v>
      </c>
      <c r="D46" s="46" t="s">
        <v>372</v>
      </c>
      <c r="E46" s="46" t="s">
        <v>67</v>
      </c>
      <c r="F46" s="104">
        <v>1</v>
      </c>
      <c r="G46" s="104"/>
      <c r="H46" s="104">
        <v>1</v>
      </c>
      <c r="I46" s="104"/>
      <c r="J46" s="104"/>
      <c r="K46" s="104"/>
      <c r="L46" s="104">
        <v>1</v>
      </c>
      <c r="M46" s="104">
        <v>1</v>
      </c>
      <c r="N46" s="104">
        <v>1</v>
      </c>
      <c r="O46" s="104">
        <v>1</v>
      </c>
      <c r="P46" s="104"/>
      <c r="Q46" s="104">
        <v>1</v>
      </c>
      <c r="R46" s="104">
        <v>1</v>
      </c>
      <c r="S46" s="104">
        <v>1</v>
      </c>
      <c r="T46" s="104">
        <v>1</v>
      </c>
      <c r="U46" s="104"/>
      <c r="V46" s="104"/>
      <c r="W46" s="104">
        <v>1</v>
      </c>
      <c r="X46" s="104"/>
      <c r="Y46" s="104">
        <v>1</v>
      </c>
      <c r="Z46" s="105">
        <v>1</v>
      </c>
      <c r="AA46" s="105">
        <v>1</v>
      </c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>
        <v>1</v>
      </c>
      <c r="AW46" s="104"/>
    </row>
    <row r="47" spans="1:49" x14ac:dyDescent="0.3">
      <c r="A47" s="139">
        <v>61</v>
      </c>
      <c r="B47" s="48" t="s">
        <v>49</v>
      </c>
      <c r="C47" s="36">
        <v>7077343</v>
      </c>
      <c r="D47" s="36" t="s">
        <v>169</v>
      </c>
      <c r="E47" s="37" t="s">
        <v>100</v>
      </c>
      <c r="F47" s="104">
        <v>1</v>
      </c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>
        <v>1</v>
      </c>
      <c r="V47" s="104"/>
      <c r="W47" s="104"/>
      <c r="X47" s="104"/>
      <c r="Y47" s="104"/>
      <c r="Z47" s="105">
        <v>1</v>
      </c>
      <c r="AA47" s="105">
        <v>1</v>
      </c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3">
      <c r="A48" s="140">
        <v>34</v>
      </c>
      <c r="B48" s="39" t="s">
        <v>43</v>
      </c>
      <c r="C48" s="36">
        <v>7074372</v>
      </c>
      <c r="D48" s="36" t="s">
        <v>72</v>
      </c>
      <c r="E48" s="36" t="s">
        <v>73</v>
      </c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>
        <v>1</v>
      </c>
      <c r="Q48" s="104"/>
      <c r="R48" s="104"/>
      <c r="S48" s="104"/>
      <c r="T48" s="104"/>
      <c r="U48" s="104"/>
      <c r="V48" s="104"/>
      <c r="W48" s="104"/>
      <c r="X48" s="104"/>
      <c r="Y48" s="104"/>
      <c r="Z48" s="105">
        <v>1</v>
      </c>
      <c r="AA48" s="105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3">
      <c r="A49" s="43">
        <v>84</v>
      </c>
      <c r="B49" s="39" t="s">
        <v>42</v>
      </c>
      <c r="C49" s="45">
        <v>7095749</v>
      </c>
      <c r="D49" s="46" t="s">
        <v>349</v>
      </c>
      <c r="E49" s="46" t="s">
        <v>350</v>
      </c>
      <c r="F49" s="104"/>
      <c r="G49" s="104"/>
      <c r="H49" s="104"/>
      <c r="I49" s="104"/>
      <c r="J49" s="104"/>
      <c r="K49" s="104"/>
      <c r="L49" s="104">
        <v>1</v>
      </c>
      <c r="M49" s="104">
        <v>1</v>
      </c>
      <c r="N49" s="104">
        <v>1</v>
      </c>
      <c r="O49" s="104"/>
      <c r="P49" s="104">
        <v>1</v>
      </c>
      <c r="Q49" s="104">
        <v>1</v>
      </c>
      <c r="R49" s="104"/>
      <c r="S49" s="104">
        <v>1</v>
      </c>
      <c r="T49" s="104"/>
      <c r="U49" s="104"/>
      <c r="V49" s="104"/>
      <c r="W49" s="104"/>
      <c r="X49" s="104"/>
      <c r="Y49" s="104"/>
      <c r="Z49" s="105">
        <v>1</v>
      </c>
      <c r="AA49" s="105">
        <v>1</v>
      </c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3">
      <c r="A50" s="43"/>
      <c r="B50" s="44"/>
      <c r="C50" s="38">
        <v>7401169</v>
      </c>
      <c r="D50" s="38" t="s">
        <v>463</v>
      </c>
      <c r="E50" s="38" t="s">
        <v>464</v>
      </c>
      <c r="F50" s="104">
        <v>1</v>
      </c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>
        <v>1</v>
      </c>
      <c r="T50" s="104">
        <v>1</v>
      </c>
      <c r="U50" s="104"/>
      <c r="V50" s="104"/>
      <c r="W50" s="104"/>
      <c r="X50" s="104"/>
      <c r="Y50" s="104">
        <v>1</v>
      </c>
      <c r="Z50" s="105"/>
      <c r="AA50" s="105">
        <v>1</v>
      </c>
      <c r="AB50" s="115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>
        <v>1</v>
      </c>
      <c r="AM50" s="104"/>
      <c r="AN50" s="104"/>
      <c r="AO50" s="104"/>
      <c r="AP50" s="104"/>
      <c r="AQ50" s="104"/>
      <c r="AR50" s="104"/>
      <c r="AS50" s="104"/>
      <c r="AT50" s="104"/>
      <c r="AU50" s="104"/>
      <c r="AV50" s="104">
        <v>1</v>
      </c>
      <c r="AW50" s="104"/>
    </row>
    <row r="51" spans="1:49" x14ac:dyDescent="0.3">
      <c r="A51" s="43">
        <v>3</v>
      </c>
      <c r="B51" s="44" t="s">
        <v>49</v>
      </c>
      <c r="C51" s="36">
        <v>7026887</v>
      </c>
      <c r="D51" s="36" t="s">
        <v>75</v>
      </c>
      <c r="E51" s="37" t="s">
        <v>76</v>
      </c>
      <c r="F51" s="104"/>
      <c r="G51" s="104"/>
      <c r="H51" s="104"/>
      <c r="I51" s="104"/>
      <c r="J51" s="104"/>
      <c r="K51" s="104"/>
      <c r="L51" s="104"/>
      <c r="M51" s="115"/>
      <c r="N51" s="115"/>
      <c r="O51" s="115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5">
        <v>1</v>
      </c>
      <c r="AA51" s="105">
        <v>1</v>
      </c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3">
      <c r="A52" s="140">
        <v>10</v>
      </c>
      <c r="B52" s="38" t="s">
        <v>46</v>
      </c>
      <c r="C52" s="36">
        <v>41825</v>
      </c>
      <c r="D52" s="36" t="s">
        <v>77</v>
      </c>
      <c r="E52" s="36" t="s">
        <v>78</v>
      </c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5"/>
      <c r="AA52" s="105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3">
      <c r="A53" s="43">
        <v>9</v>
      </c>
      <c r="B53" s="39" t="s">
        <v>43</v>
      </c>
      <c r="C53" s="36">
        <v>7029156</v>
      </c>
      <c r="D53" s="36" t="s">
        <v>79</v>
      </c>
      <c r="E53" s="37" t="s">
        <v>78</v>
      </c>
      <c r="F53" s="104">
        <v>1</v>
      </c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>
        <v>1</v>
      </c>
      <c r="V53" s="104"/>
      <c r="W53" s="104">
        <v>1</v>
      </c>
      <c r="X53" s="104"/>
      <c r="Y53" s="104"/>
      <c r="Z53" s="105">
        <v>1</v>
      </c>
      <c r="AA53" s="105">
        <v>1</v>
      </c>
      <c r="AB53" s="104"/>
      <c r="AC53" s="104"/>
      <c r="AD53" s="104"/>
      <c r="AE53" s="104">
        <v>1</v>
      </c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3">
      <c r="A54" s="43">
        <v>119</v>
      </c>
      <c r="B54" s="121" t="s">
        <v>200</v>
      </c>
      <c r="C54" s="36">
        <v>7401914</v>
      </c>
      <c r="D54" s="36" t="s">
        <v>429</v>
      </c>
      <c r="E54" s="37" t="s">
        <v>430</v>
      </c>
      <c r="F54" s="104">
        <v>1</v>
      </c>
      <c r="G54" s="104"/>
      <c r="H54" s="104"/>
      <c r="I54" s="104"/>
      <c r="J54" s="104"/>
      <c r="K54" s="104"/>
      <c r="L54" s="104">
        <v>1</v>
      </c>
      <c r="M54" s="104">
        <v>1</v>
      </c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5">
        <v>1</v>
      </c>
      <c r="AA54" s="105">
        <v>1</v>
      </c>
      <c r="AB54" s="104"/>
      <c r="AC54" s="104"/>
      <c r="AD54" s="104"/>
      <c r="AE54" s="104"/>
      <c r="AF54" s="104">
        <v>1</v>
      </c>
      <c r="AG54" s="104"/>
      <c r="AH54" s="104"/>
      <c r="AI54" s="104">
        <v>1</v>
      </c>
      <c r="AJ54" s="104">
        <v>1</v>
      </c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>
        <v>1</v>
      </c>
      <c r="AW54" s="104"/>
    </row>
    <row r="55" spans="1:49" x14ac:dyDescent="0.3">
      <c r="A55" s="43">
        <v>73</v>
      </c>
      <c r="B55" s="44" t="s">
        <v>49</v>
      </c>
      <c r="C55" s="36">
        <v>7092980</v>
      </c>
      <c r="D55" s="36" t="s">
        <v>199</v>
      </c>
      <c r="E55" s="37" t="s">
        <v>99</v>
      </c>
      <c r="F55" s="104">
        <v>1</v>
      </c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>
        <v>1</v>
      </c>
      <c r="V55" s="104"/>
      <c r="W55" s="104">
        <v>1</v>
      </c>
      <c r="X55" s="104">
        <v>1</v>
      </c>
      <c r="Y55" s="104"/>
      <c r="Z55" s="105">
        <v>1</v>
      </c>
      <c r="AA55" s="105">
        <v>1</v>
      </c>
      <c r="AB55" s="104"/>
      <c r="AC55" s="104"/>
      <c r="AD55" s="104"/>
      <c r="AE55" s="104">
        <v>1</v>
      </c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3">
      <c r="A56" s="51">
        <v>110</v>
      </c>
      <c r="B56" s="38" t="s">
        <v>200</v>
      </c>
      <c r="C56" s="49">
        <v>7401949</v>
      </c>
      <c r="D56" s="36" t="s">
        <v>412</v>
      </c>
      <c r="E56" s="36" t="s">
        <v>413</v>
      </c>
      <c r="F56" s="104">
        <v>1</v>
      </c>
      <c r="G56" s="104"/>
      <c r="H56" s="104">
        <v>1</v>
      </c>
      <c r="I56" s="104"/>
      <c r="J56" s="104"/>
      <c r="K56" s="104"/>
      <c r="L56" s="104">
        <v>1</v>
      </c>
      <c r="M56" s="104">
        <v>1</v>
      </c>
      <c r="N56" s="104">
        <v>1</v>
      </c>
      <c r="O56" s="104"/>
      <c r="P56" s="104"/>
      <c r="Q56" s="104"/>
      <c r="R56" s="104"/>
      <c r="S56" s="104"/>
      <c r="T56" s="104"/>
      <c r="U56" s="104"/>
      <c r="V56" s="104"/>
      <c r="W56" s="104">
        <v>1</v>
      </c>
      <c r="X56" s="104"/>
      <c r="Y56" s="104"/>
      <c r="Z56" s="105"/>
      <c r="AA56" s="105">
        <v>1</v>
      </c>
      <c r="AB56" s="115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>
        <v>1</v>
      </c>
      <c r="AW56" s="104"/>
    </row>
    <row r="57" spans="1:49" x14ac:dyDescent="0.3">
      <c r="A57" s="43">
        <v>30</v>
      </c>
      <c r="B57" s="39" t="s">
        <v>42</v>
      </c>
      <c r="C57" s="45">
        <v>7051932</v>
      </c>
      <c r="D57" s="46" t="s">
        <v>80</v>
      </c>
      <c r="E57" s="46" t="s">
        <v>81</v>
      </c>
      <c r="F57" s="104">
        <v>1</v>
      </c>
      <c r="G57" s="104"/>
      <c r="H57" s="104"/>
      <c r="I57" s="104">
        <v>1</v>
      </c>
      <c r="J57" s="104">
        <v>1</v>
      </c>
      <c r="K57" s="104">
        <v>1</v>
      </c>
      <c r="L57" s="104">
        <v>1</v>
      </c>
      <c r="M57" s="104"/>
      <c r="N57" s="104"/>
      <c r="O57" s="104"/>
      <c r="P57" s="104"/>
      <c r="Q57" s="104"/>
      <c r="R57" s="104"/>
      <c r="S57" s="104"/>
      <c r="T57" s="104">
        <v>1</v>
      </c>
      <c r="U57" s="104"/>
      <c r="V57" s="104"/>
      <c r="W57" s="104"/>
      <c r="X57" s="104"/>
      <c r="Y57" s="104"/>
      <c r="Z57" s="105">
        <v>1</v>
      </c>
      <c r="AA57" s="105">
        <v>1</v>
      </c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>
        <v>1</v>
      </c>
      <c r="AW57" s="104"/>
    </row>
    <row r="58" spans="1:49" x14ac:dyDescent="0.3">
      <c r="A58" s="43">
        <v>113</v>
      </c>
      <c r="B58" s="133" t="s">
        <v>200</v>
      </c>
      <c r="C58" s="49">
        <v>7401950</v>
      </c>
      <c r="D58" s="50" t="s">
        <v>80</v>
      </c>
      <c r="E58" s="50" t="s">
        <v>414</v>
      </c>
      <c r="F58" s="104">
        <v>1</v>
      </c>
      <c r="G58" s="104"/>
      <c r="H58" s="104"/>
      <c r="I58" s="104">
        <v>1</v>
      </c>
      <c r="J58" s="104">
        <v>1</v>
      </c>
      <c r="K58" s="104">
        <v>1</v>
      </c>
      <c r="L58" s="104">
        <v>1</v>
      </c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5">
        <v>1</v>
      </c>
      <c r="AA58" s="105">
        <v>1</v>
      </c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>
        <v>1</v>
      </c>
      <c r="AW58" s="104"/>
    </row>
    <row r="59" spans="1:49" x14ac:dyDescent="0.3">
      <c r="A59" s="43">
        <v>26</v>
      </c>
      <c r="B59" s="38" t="s">
        <v>49</v>
      </c>
      <c r="C59" s="36">
        <v>7051763</v>
      </c>
      <c r="D59" s="36" t="s">
        <v>82</v>
      </c>
      <c r="E59" s="37" t="s">
        <v>83</v>
      </c>
      <c r="F59" s="104">
        <v>1</v>
      </c>
      <c r="G59" s="104"/>
      <c r="H59" s="104"/>
      <c r="I59" s="104"/>
      <c r="J59" s="104"/>
      <c r="K59" s="104"/>
      <c r="L59" s="104">
        <v>1</v>
      </c>
      <c r="M59" s="104"/>
      <c r="N59" s="104"/>
      <c r="O59" s="104"/>
      <c r="P59" s="104">
        <v>1</v>
      </c>
      <c r="Q59" s="104"/>
      <c r="R59" s="104"/>
      <c r="S59" s="104">
        <v>1</v>
      </c>
      <c r="T59" s="104">
        <v>1</v>
      </c>
      <c r="U59" s="104">
        <v>1</v>
      </c>
      <c r="V59" s="104"/>
      <c r="W59" s="104"/>
      <c r="X59" s="104">
        <v>1</v>
      </c>
      <c r="Y59" s="104"/>
      <c r="Z59" s="105">
        <v>1</v>
      </c>
      <c r="AA59" s="105">
        <v>1</v>
      </c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3">
      <c r="A60" s="43"/>
      <c r="B60" s="39"/>
      <c r="C60" s="49">
        <v>7402634</v>
      </c>
      <c r="D60" s="143" t="s">
        <v>465</v>
      </c>
      <c r="E60" s="143" t="s">
        <v>364</v>
      </c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5"/>
      <c r="AA60" s="105">
        <v>1</v>
      </c>
      <c r="AB60" s="115"/>
      <c r="AC60" s="104"/>
      <c r="AD60" s="104"/>
      <c r="AE60" s="104"/>
      <c r="AF60" s="104"/>
      <c r="AG60" s="104"/>
      <c r="AH60" s="104"/>
      <c r="AI60" s="104"/>
      <c r="AJ60" s="104">
        <v>1</v>
      </c>
      <c r="AK60" s="104"/>
      <c r="AL60" s="104"/>
      <c r="AM60" s="104">
        <v>1</v>
      </c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3">
      <c r="A61" s="43">
        <v>89</v>
      </c>
      <c r="B61" s="133" t="s">
        <v>42</v>
      </c>
      <c r="C61" s="49">
        <v>7095767</v>
      </c>
      <c r="D61" s="50" t="s">
        <v>360</v>
      </c>
      <c r="E61" s="50" t="s">
        <v>348</v>
      </c>
      <c r="F61" s="104"/>
      <c r="G61" s="104"/>
      <c r="H61" s="104"/>
      <c r="I61" s="104"/>
      <c r="J61" s="104"/>
      <c r="K61" s="104"/>
      <c r="L61" s="104">
        <v>1</v>
      </c>
      <c r="M61" s="104"/>
      <c r="N61" s="104"/>
      <c r="O61" s="104"/>
      <c r="P61" s="104"/>
      <c r="Q61" s="104"/>
      <c r="R61" s="104"/>
      <c r="S61" s="104"/>
      <c r="T61" s="104"/>
      <c r="U61" s="104">
        <v>1</v>
      </c>
      <c r="V61" s="104"/>
      <c r="W61" s="104"/>
      <c r="X61" s="104"/>
      <c r="Y61" s="104"/>
      <c r="Z61" s="105">
        <v>1</v>
      </c>
      <c r="AA61" s="105">
        <v>1</v>
      </c>
      <c r="AB61" s="104"/>
      <c r="AC61" s="104"/>
      <c r="AD61" s="104"/>
      <c r="AE61" s="104"/>
      <c r="AF61" s="104"/>
      <c r="AG61" s="104">
        <v>1</v>
      </c>
      <c r="AH61" s="104">
        <v>1</v>
      </c>
      <c r="AI61" s="104">
        <v>1</v>
      </c>
      <c r="AJ61" s="104">
        <v>1</v>
      </c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3">
      <c r="A62" s="43">
        <v>13</v>
      </c>
      <c r="B62" s="39" t="s">
        <v>343</v>
      </c>
      <c r="C62" s="49">
        <v>7051784</v>
      </c>
      <c r="D62" s="50" t="s">
        <v>344</v>
      </c>
      <c r="E62" s="50" t="s">
        <v>345</v>
      </c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5"/>
      <c r="AA62" s="105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3">
      <c r="A63" s="43">
        <v>38</v>
      </c>
      <c r="B63" s="38" t="s">
        <v>42</v>
      </c>
      <c r="C63" s="45">
        <v>7077415</v>
      </c>
      <c r="D63" s="46" t="s">
        <v>84</v>
      </c>
      <c r="E63" s="46" t="s">
        <v>85</v>
      </c>
      <c r="F63" s="104">
        <v>1</v>
      </c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5">
        <v>1</v>
      </c>
      <c r="AA63" s="105">
        <v>1</v>
      </c>
      <c r="AB63" s="104"/>
      <c r="AC63" s="104"/>
      <c r="AD63" s="104"/>
      <c r="AE63" s="104"/>
      <c r="AF63" s="104">
        <v>1</v>
      </c>
      <c r="AG63" s="104"/>
      <c r="AH63" s="104"/>
      <c r="AI63" s="104">
        <v>1</v>
      </c>
      <c r="AJ63" s="104">
        <v>1</v>
      </c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3">
      <c r="A64" s="43"/>
      <c r="B64" s="44"/>
      <c r="C64" s="36">
        <v>7402470</v>
      </c>
      <c r="D64" s="36" t="s">
        <v>466</v>
      </c>
      <c r="E64" s="36" t="s">
        <v>444</v>
      </c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5"/>
      <c r="AA64" s="105"/>
      <c r="AB64" s="115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3">
      <c r="A65" s="140">
        <v>36</v>
      </c>
      <c r="B65" s="38" t="s">
        <v>49</v>
      </c>
      <c r="C65" s="45">
        <v>7077878</v>
      </c>
      <c r="D65" s="46" t="s">
        <v>86</v>
      </c>
      <c r="E65" s="46" t="s">
        <v>87</v>
      </c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5">
        <v>1</v>
      </c>
      <c r="AA65" s="105">
        <v>1</v>
      </c>
      <c r="AB65" s="104"/>
      <c r="AC65" s="104"/>
      <c r="AD65" s="104"/>
      <c r="AE65" s="104"/>
      <c r="AF65" s="104">
        <v>1</v>
      </c>
      <c r="AG65" s="104">
        <v>1</v>
      </c>
      <c r="AH65" s="104"/>
      <c r="AI65" s="104">
        <v>1</v>
      </c>
      <c r="AJ65" s="104">
        <v>1</v>
      </c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3">
      <c r="A66" s="43">
        <v>118</v>
      </c>
      <c r="B66" s="44" t="s">
        <v>200</v>
      </c>
      <c r="C66" s="45">
        <v>7400394</v>
      </c>
      <c r="D66" s="46" t="s">
        <v>89</v>
      </c>
      <c r="E66" s="46" t="s">
        <v>202</v>
      </c>
      <c r="F66" s="104">
        <v>1</v>
      </c>
      <c r="G66" s="104"/>
      <c r="H66" s="104"/>
      <c r="I66" s="104">
        <v>1</v>
      </c>
      <c r="J66" s="104">
        <v>1</v>
      </c>
      <c r="K66" s="104">
        <v>1</v>
      </c>
      <c r="L66" s="104">
        <v>1</v>
      </c>
      <c r="M66" s="104"/>
      <c r="N66" s="104"/>
      <c r="O66" s="104"/>
      <c r="P66" s="104">
        <v>1</v>
      </c>
      <c r="Q66" s="104"/>
      <c r="R66" s="104"/>
      <c r="S66" s="104"/>
      <c r="T66" s="104"/>
      <c r="U66" s="104"/>
      <c r="V66" s="104"/>
      <c r="W66" s="104"/>
      <c r="X66" s="104"/>
      <c r="Y66" s="104"/>
      <c r="Z66" s="105">
        <v>1</v>
      </c>
      <c r="AA66" s="105">
        <v>1</v>
      </c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>
        <v>1</v>
      </c>
      <c r="AW66" s="104"/>
    </row>
    <row r="67" spans="1:49" x14ac:dyDescent="0.3">
      <c r="A67" s="43">
        <v>37</v>
      </c>
      <c r="B67" s="38" t="s">
        <v>42</v>
      </c>
      <c r="C67" s="36">
        <v>7092620</v>
      </c>
      <c r="D67" s="36" t="s">
        <v>89</v>
      </c>
      <c r="E67" s="37" t="s">
        <v>90</v>
      </c>
      <c r="F67" s="104"/>
      <c r="G67" s="104">
        <v>1</v>
      </c>
      <c r="H67" s="104"/>
      <c r="I67" s="104">
        <v>1</v>
      </c>
      <c r="J67" s="104"/>
      <c r="K67" s="104"/>
      <c r="L67" s="104">
        <v>1</v>
      </c>
      <c r="M67" s="104">
        <v>1</v>
      </c>
      <c r="N67" s="104">
        <v>1</v>
      </c>
      <c r="O67" s="104">
        <v>1</v>
      </c>
      <c r="P67" s="104"/>
      <c r="Q67" s="104">
        <v>1</v>
      </c>
      <c r="R67" s="104">
        <v>1</v>
      </c>
      <c r="S67" s="104">
        <v>1</v>
      </c>
      <c r="T67" s="104">
        <v>1</v>
      </c>
      <c r="U67" s="104"/>
      <c r="V67" s="104"/>
      <c r="W67" s="104"/>
      <c r="X67" s="104"/>
      <c r="Y67" s="104"/>
      <c r="Z67" s="105">
        <v>1</v>
      </c>
      <c r="AA67" s="105">
        <v>1</v>
      </c>
      <c r="AB67" s="104">
        <v>1</v>
      </c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>
        <v>1</v>
      </c>
      <c r="AW67" s="104"/>
    </row>
    <row r="68" spans="1:49" x14ac:dyDescent="0.3">
      <c r="A68" s="43">
        <v>91</v>
      </c>
      <c r="B68" s="38" t="s">
        <v>49</v>
      </c>
      <c r="C68" s="36">
        <v>7096575</v>
      </c>
      <c r="D68" s="36" t="s">
        <v>361</v>
      </c>
      <c r="E68" s="37" t="s">
        <v>362</v>
      </c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5">
        <v>1</v>
      </c>
      <c r="AA68" s="105">
        <v>1</v>
      </c>
      <c r="AB68" s="104"/>
      <c r="AC68" s="104"/>
      <c r="AD68" s="104"/>
      <c r="AE68" s="104"/>
      <c r="AF68" s="104">
        <v>1</v>
      </c>
      <c r="AG68" s="104"/>
      <c r="AH68" s="104"/>
      <c r="AI68" s="104">
        <v>1</v>
      </c>
      <c r="AJ68" s="104">
        <v>1</v>
      </c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3">
      <c r="A69" s="43"/>
      <c r="B69" s="39"/>
      <c r="C69" s="36">
        <v>7402915</v>
      </c>
      <c r="D69" s="36" t="s">
        <v>515</v>
      </c>
      <c r="E69" s="137" t="s">
        <v>516</v>
      </c>
      <c r="F69" s="104">
        <v>1</v>
      </c>
      <c r="G69" s="104"/>
      <c r="H69" s="104">
        <v>1</v>
      </c>
      <c r="I69" s="104"/>
      <c r="J69" s="104"/>
      <c r="K69" s="104">
        <v>1</v>
      </c>
      <c r="L69" s="104">
        <v>1</v>
      </c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5"/>
      <c r="AA69" s="105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>
        <v>1</v>
      </c>
      <c r="AW69" s="104"/>
    </row>
    <row r="70" spans="1:49" x14ac:dyDescent="0.3">
      <c r="A70" s="43">
        <v>44</v>
      </c>
      <c r="B70" s="39" t="s">
        <v>43</v>
      </c>
      <c r="C70" s="36">
        <v>7091821</v>
      </c>
      <c r="D70" s="36" t="s">
        <v>91</v>
      </c>
      <c r="E70" s="37" t="s">
        <v>92</v>
      </c>
      <c r="F70" s="104">
        <v>1</v>
      </c>
      <c r="G70" s="104"/>
      <c r="H70" s="104"/>
      <c r="I70" s="104"/>
      <c r="J70" s="104"/>
      <c r="K70" s="104"/>
      <c r="L70" s="104">
        <v>1</v>
      </c>
      <c r="M70" s="104">
        <v>1</v>
      </c>
      <c r="N70" s="104">
        <v>1</v>
      </c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5">
        <v>1</v>
      </c>
      <c r="AA70" s="105">
        <v>1</v>
      </c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>
        <v>1</v>
      </c>
      <c r="AW70" s="104"/>
    </row>
    <row r="71" spans="1:49" x14ac:dyDescent="0.3">
      <c r="A71" s="51">
        <v>105</v>
      </c>
      <c r="B71" s="38" t="s">
        <v>42</v>
      </c>
      <c r="C71" s="36">
        <v>7401922</v>
      </c>
      <c r="D71" s="36" t="s">
        <v>393</v>
      </c>
      <c r="E71" s="137" t="s">
        <v>394</v>
      </c>
      <c r="F71" s="104">
        <v>1</v>
      </c>
      <c r="G71" s="104"/>
      <c r="H71" s="104">
        <v>1</v>
      </c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5">
        <v>1</v>
      </c>
      <c r="AA71" s="105">
        <v>1</v>
      </c>
      <c r="AB71" s="115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>
        <v>1</v>
      </c>
      <c r="AU71" s="104">
        <v>1</v>
      </c>
      <c r="AV71" s="104">
        <v>1</v>
      </c>
      <c r="AW71" s="104"/>
    </row>
    <row r="72" spans="1:49" x14ac:dyDescent="0.3">
      <c r="A72" s="43">
        <v>106</v>
      </c>
      <c r="B72" s="38" t="s">
        <v>200</v>
      </c>
      <c r="C72" s="36">
        <v>7402044</v>
      </c>
      <c r="D72" s="36" t="s">
        <v>415</v>
      </c>
      <c r="E72" s="37" t="s">
        <v>416</v>
      </c>
      <c r="F72" s="104">
        <v>1</v>
      </c>
      <c r="G72" s="104"/>
      <c r="H72" s="104">
        <v>1</v>
      </c>
      <c r="I72" s="104">
        <v>1</v>
      </c>
      <c r="J72" s="104">
        <v>1</v>
      </c>
      <c r="K72" s="104">
        <v>1</v>
      </c>
      <c r="L72" s="104">
        <v>1</v>
      </c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5">
        <v>1</v>
      </c>
      <c r="AA72" s="105">
        <v>1</v>
      </c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>
        <v>1</v>
      </c>
      <c r="AW72" s="104"/>
    </row>
    <row r="73" spans="1:49" x14ac:dyDescent="0.3">
      <c r="A73" s="140">
        <v>50</v>
      </c>
      <c r="B73" s="39" t="s">
        <v>43</v>
      </c>
      <c r="C73" s="104">
        <v>7095152</v>
      </c>
      <c r="D73" s="36" t="s">
        <v>93</v>
      </c>
      <c r="E73" s="36" t="s">
        <v>94</v>
      </c>
      <c r="F73" s="104"/>
      <c r="G73" s="104"/>
      <c r="H73" s="104"/>
      <c r="I73" s="104"/>
      <c r="J73" s="104"/>
      <c r="K73" s="104"/>
      <c r="L73" s="104">
        <v>1</v>
      </c>
      <c r="M73" s="104"/>
      <c r="N73" s="104"/>
      <c r="O73" s="104"/>
      <c r="P73" s="104"/>
      <c r="Q73" s="104"/>
      <c r="R73" s="104"/>
      <c r="S73" s="104">
        <v>1</v>
      </c>
      <c r="T73" s="104">
        <v>1</v>
      </c>
      <c r="U73" s="104"/>
      <c r="V73" s="104"/>
      <c r="W73" s="104"/>
      <c r="X73" s="104"/>
      <c r="Y73" s="104"/>
      <c r="Z73" s="105">
        <v>1</v>
      </c>
      <c r="AA73" s="105">
        <v>1</v>
      </c>
      <c r="AB73" s="104">
        <v>1</v>
      </c>
      <c r="AC73" s="104"/>
      <c r="AD73" s="104"/>
      <c r="AE73" s="104"/>
      <c r="AF73" s="104">
        <v>1</v>
      </c>
      <c r="AG73" s="104">
        <v>1</v>
      </c>
      <c r="AH73" s="104">
        <v>1</v>
      </c>
      <c r="AI73" s="104">
        <v>1</v>
      </c>
      <c r="AJ73" s="104">
        <v>1</v>
      </c>
      <c r="AK73" s="104"/>
      <c r="AL73" s="104"/>
      <c r="AM73" s="104">
        <v>1</v>
      </c>
      <c r="AN73" s="104"/>
      <c r="AO73" s="104"/>
      <c r="AP73" s="104"/>
      <c r="AQ73" s="104"/>
      <c r="AR73" s="104"/>
      <c r="AS73" s="104"/>
      <c r="AT73" s="104"/>
      <c r="AU73" s="104"/>
      <c r="AV73" s="104">
        <v>1</v>
      </c>
      <c r="AW73" s="104"/>
    </row>
    <row r="74" spans="1:49" x14ac:dyDescent="0.3">
      <c r="A74" s="43">
        <v>82</v>
      </c>
      <c r="B74" s="133" t="s">
        <v>49</v>
      </c>
      <c r="C74" s="36">
        <v>7095148</v>
      </c>
      <c r="D74" s="36" t="s">
        <v>351</v>
      </c>
      <c r="E74" s="37" t="s">
        <v>352</v>
      </c>
      <c r="F74" s="104">
        <v>1</v>
      </c>
      <c r="G74" s="104"/>
      <c r="H74" s="104"/>
      <c r="I74" s="104"/>
      <c r="J74" s="104"/>
      <c r="K74" s="104"/>
      <c r="L74" s="104">
        <v>1</v>
      </c>
      <c r="M74" s="104"/>
      <c r="N74" s="104"/>
      <c r="O74" s="104"/>
      <c r="P74" s="104">
        <v>1</v>
      </c>
      <c r="Q74" s="104"/>
      <c r="R74" s="104"/>
      <c r="S74" s="104"/>
      <c r="T74" s="104"/>
      <c r="U74" s="104"/>
      <c r="V74" s="104"/>
      <c r="W74" s="104"/>
      <c r="X74" s="104"/>
      <c r="Y74" s="104"/>
      <c r="Z74" s="105">
        <v>1</v>
      </c>
      <c r="AA74" s="105">
        <v>1</v>
      </c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>
        <v>1</v>
      </c>
      <c r="AT74" s="104">
        <v>1</v>
      </c>
      <c r="AU74" s="104">
        <v>1</v>
      </c>
      <c r="AV74" s="104">
        <v>1</v>
      </c>
      <c r="AW74" s="104"/>
    </row>
    <row r="75" spans="1:49" x14ac:dyDescent="0.3">
      <c r="A75" s="43">
        <v>63</v>
      </c>
      <c r="B75" s="44" t="s">
        <v>49</v>
      </c>
      <c r="C75" s="36">
        <v>7092653</v>
      </c>
      <c r="D75" s="36" t="s">
        <v>181</v>
      </c>
      <c r="E75" s="36" t="s">
        <v>182</v>
      </c>
      <c r="F75" s="104">
        <v>1</v>
      </c>
      <c r="G75" s="104"/>
      <c r="H75" s="104"/>
      <c r="I75" s="104"/>
      <c r="J75" s="104"/>
      <c r="K75" s="104"/>
      <c r="L75" s="104"/>
      <c r="M75" s="104"/>
      <c r="N75" s="104"/>
      <c r="O75" s="104"/>
      <c r="P75" s="104">
        <v>1</v>
      </c>
      <c r="Q75" s="104"/>
      <c r="R75" s="104"/>
      <c r="S75" s="104"/>
      <c r="T75" s="115"/>
      <c r="U75" s="104">
        <v>1</v>
      </c>
      <c r="V75" s="104"/>
      <c r="W75" s="104"/>
      <c r="X75" s="104">
        <v>1</v>
      </c>
      <c r="Y75" s="104"/>
      <c r="Z75" s="105">
        <v>1</v>
      </c>
      <c r="AA75" s="105">
        <v>1</v>
      </c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>
        <v>1</v>
      </c>
      <c r="AS75" s="104"/>
      <c r="AT75" s="104"/>
      <c r="AU75" s="104"/>
      <c r="AV75" s="104">
        <v>1</v>
      </c>
      <c r="AW75" s="104"/>
    </row>
    <row r="76" spans="1:49" x14ac:dyDescent="0.3">
      <c r="A76" s="43">
        <v>136</v>
      </c>
      <c r="B76" s="48" t="s">
        <v>450</v>
      </c>
      <c r="C76" s="36">
        <v>7403495</v>
      </c>
      <c r="D76" s="36" t="s">
        <v>451</v>
      </c>
      <c r="E76" s="36" t="s">
        <v>452</v>
      </c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5"/>
      <c r="AA76" s="105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>
        <v>1</v>
      </c>
      <c r="AM76" s="104"/>
      <c r="AN76" s="104">
        <v>1</v>
      </c>
      <c r="AO76" s="104">
        <v>1</v>
      </c>
      <c r="AP76" s="104">
        <v>1</v>
      </c>
      <c r="AQ76" s="104">
        <v>1</v>
      </c>
      <c r="AR76" s="104"/>
      <c r="AS76" s="104"/>
      <c r="AT76" s="104"/>
      <c r="AU76" s="104"/>
      <c r="AV76" s="104"/>
      <c r="AW76" s="104"/>
    </row>
    <row r="77" spans="1:49" x14ac:dyDescent="0.3">
      <c r="A77" s="141">
        <v>31</v>
      </c>
      <c r="B77" s="38" t="s">
        <v>42</v>
      </c>
      <c r="C77" s="36">
        <v>7074373</v>
      </c>
      <c r="D77" s="36" t="s">
        <v>95</v>
      </c>
      <c r="E77" s="36" t="s">
        <v>74</v>
      </c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5">
        <v>1</v>
      </c>
      <c r="AA77" s="105">
        <v>1</v>
      </c>
      <c r="AB77" s="104">
        <v>1</v>
      </c>
      <c r="AC77" s="104"/>
      <c r="AD77" s="104"/>
      <c r="AE77" s="104"/>
      <c r="AF77" s="104">
        <v>1</v>
      </c>
      <c r="AG77" s="104">
        <v>1</v>
      </c>
      <c r="AH77" s="104"/>
      <c r="AI77" s="104">
        <v>1</v>
      </c>
      <c r="AJ77" s="104">
        <v>1</v>
      </c>
      <c r="AK77" s="104">
        <v>1</v>
      </c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3">
      <c r="A78" s="43">
        <v>14</v>
      </c>
      <c r="B78" s="133" t="s">
        <v>49</v>
      </c>
      <c r="C78" s="36">
        <v>7051769</v>
      </c>
      <c r="D78" s="36" t="s">
        <v>96</v>
      </c>
      <c r="E78" s="37" t="s">
        <v>97</v>
      </c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5"/>
      <c r="AA78" s="105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3">
      <c r="A79" s="43">
        <v>83</v>
      </c>
      <c r="B79" s="44" t="s">
        <v>49</v>
      </c>
      <c r="C79" s="36">
        <v>7095156</v>
      </c>
      <c r="D79" s="36" t="s">
        <v>98</v>
      </c>
      <c r="E79" s="36" t="s">
        <v>353</v>
      </c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5">
        <v>1</v>
      </c>
      <c r="AA79" s="105">
        <v>1</v>
      </c>
      <c r="AB79" s="104"/>
      <c r="AC79" s="104"/>
      <c r="AD79" s="104"/>
      <c r="AE79" s="104"/>
      <c r="AF79" s="104"/>
      <c r="AG79" s="104"/>
      <c r="AH79" s="104"/>
      <c r="AI79" s="104">
        <v>1</v>
      </c>
      <c r="AJ79" s="104">
        <v>1</v>
      </c>
      <c r="AK79" s="104"/>
      <c r="AL79" s="104"/>
      <c r="AM79" s="104"/>
      <c r="AN79" s="104">
        <v>1</v>
      </c>
      <c r="AO79" s="104">
        <v>1</v>
      </c>
      <c r="AP79" s="104">
        <v>1</v>
      </c>
      <c r="AQ79" s="104">
        <v>1</v>
      </c>
      <c r="AR79" s="104"/>
      <c r="AS79" s="104"/>
      <c r="AT79" s="104"/>
      <c r="AU79" s="104"/>
      <c r="AV79" s="104"/>
      <c r="AW79" s="104"/>
    </row>
    <row r="80" spans="1:49" x14ac:dyDescent="0.3">
      <c r="A80" s="140">
        <v>98</v>
      </c>
      <c r="B80" s="39"/>
      <c r="C80" s="36">
        <v>7400330</v>
      </c>
      <c r="D80" s="36" t="s">
        <v>98</v>
      </c>
      <c r="E80" s="36" t="s">
        <v>382</v>
      </c>
      <c r="F80" s="104">
        <v>1</v>
      </c>
      <c r="G80" s="104"/>
      <c r="H80" s="104"/>
      <c r="I80" s="104">
        <v>1</v>
      </c>
      <c r="J80" s="104">
        <v>1</v>
      </c>
      <c r="K80" s="104">
        <v>1</v>
      </c>
      <c r="L80" s="104">
        <v>1</v>
      </c>
      <c r="M80" s="104">
        <v>1</v>
      </c>
      <c r="N80" s="104">
        <v>1</v>
      </c>
      <c r="O80" s="104"/>
      <c r="P80" s="104"/>
      <c r="Q80" s="104">
        <v>1</v>
      </c>
      <c r="R80" s="104">
        <v>1</v>
      </c>
      <c r="S80" s="104"/>
      <c r="T80" s="104">
        <v>1</v>
      </c>
      <c r="U80" s="104"/>
      <c r="V80" s="104"/>
      <c r="W80" s="104"/>
      <c r="X80" s="104"/>
      <c r="Y80" s="104"/>
      <c r="Z80" s="105">
        <v>1</v>
      </c>
      <c r="AA80" s="105">
        <v>1</v>
      </c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>
        <v>1</v>
      </c>
      <c r="AW80" s="104"/>
    </row>
    <row r="81" spans="1:49" x14ac:dyDescent="0.3">
      <c r="A81" s="43">
        <v>76</v>
      </c>
      <c r="B81" s="39" t="s">
        <v>43</v>
      </c>
      <c r="C81" s="45">
        <v>7095158</v>
      </c>
      <c r="D81" s="46" t="s">
        <v>197</v>
      </c>
      <c r="E81" s="46" t="s">
        <v>198</v>
      </c>
      <c r="F81" s="104"/>
      <c r="G81" s="104"/>
      <c r="H81" s="104"/>
      <c r="I81" s="104"/>
      <c r="J81" s="104"/>
      <c r="K81" s="104"/>
      <c r="L81" s="104">
        <v>1</v>
      </c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5">
        <v>1</v>
      </c>
      <c r="AA81" s="105">
        <v>1</v>
      </c>
      <c r="AB81" s="104"/>
      <c r="AC81" s="104"/>
      <c r="AD81" s="104"/>
      <c r="AE81" s="104"/>
      <c r="AF81" s="104"/>
      <c r="AG81" s="104"/>
      <c r="AH81" s="104"/>
      <c r="AI81" s="104">
        <v>1</v>
      </c>
      <c r="AJ81" s="104">
        <v>1</v>
      </c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3">
      <c r="A82" s="43">
        <v>115</v>
      </c>
      <c r="B82" s="48"/>
      <c r="C82" s="36">
        <v>7400269</v>
      </c>
      <c r="D82" s="36" t="s">
        <v>426</v>
      </c>
      <c r="E82" s="37" t="s">
        <v>427</v>
      </c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>
        <v>1</v>
      </c>
      <c r="Q82" s="104"/>
      <c r="R82" s="104"/>
      <c r="S82" s="104"/>
      <c r="T82" s="104"/>
      <c r="U82" s="104"/>
      <c r="V82" s="104"/>
      <c r="W82" s="104"/>
      <c r="X82" s="164">
        <v>1</v>
      </c>
      <c r="Y82" s="104"/>
      <c r="Z82" s="105"/>
      <c r="AA82" s="105">
        <v>1</v>
      </c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>
        <v>1</v>
      </c>
      <c r="AW82" s="104"/>
    </row>
    <row r="83" spans="1:49" x14ac:dyDescent="0.3">
      <c r="A83" s="43">
        <v>99</v>
      </c>
      <c r="B83" s="38" t="s">
        <v>43</v>
      </c>
      <c r="C83" s="36">
        <v>7401131</v>
      </c>
      <c r="D83" s="36" t="s">
        <v>383</v>
      </c>
      <c r="E83" s="37" t="s">
        <v>384</v>
      </c>
      <c r="F83" s="104">
        <v>1</v>
      </c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>
        <v>1</v>
      </c>
      <c r="X83" s="104"/>
      <c r="Y83" s="104">
        <v>1</v>
      </c>
      <c r="Z83" s="105">
        <v>1</v>
      </c>
      <c r="AA83" s="105">
        <v>1</v>
      </c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>
        <v>1</v>
      </c>
      <c r="AU83" s="104">
        <v>1</v>
      </c>
      <c r="AV83" s="104">
        <v>1</v>
      </c>
      <c r="AW83" s="104"/>
    </row>
    <row r="84" spans="1:49" x14ac:dyDescent="0.3">
      <c r="A84" s="43"/>
      <c r="B84" s="39"/>
      <c r="C84" s="36">
        <v>7403380</v>
      </c>
      <c r="D84" s="36" t="s">
        <v>505</v>
      </c>
      <c r="E84" s="137" t="s">
        <v>506</v>
      </c>
      <c r="F84" s="104">
        <v>1</v>
      </c>
      <c r="G84" s="104"/>
      <c r="H84" s="104"/>
      <c r="I84" s="104"/>
      <c r="J84" s="104"/>
      <c r="K84" s="104"/>
      <c r="L84" s="104"/>
      <c r="M84" s="104"/>
      <c r="N84" s="104"/>
      <c r="O84" s="104"/>
      <c r="P84" s="104">
        <v>1</v>
      </c>
      <c r="Q84" s="104"/>
      <c r="R84" s="104"/>
      <c r="S84" s="104"/>
      <c r="T84" s="104"/>
      <c r="U84" s="104"/>
      <c r="V84" s="104"/>
      <c r="W84" s="104"/>
      <c r="X84" s="104"/>
      <c r="Y84" s="104"/>
      <c r="Z84" s="105"/>
      <c r="AA84" s="105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3">
      <c r="A85" s="140">
        <v>22</v>
      </c>
      <c r="B85" s="39" t="s">
        <v>43</v>
      </c>
      <c r="C85" s="36">
        <v>7051907</v>
      </c>
      <c r="D85" s="36" t="s">
        <v>102</v>
      </c>
      <c r="E85" s="36" t="s">
        <v>103</v>
      </c>
      <c r="F85" s="104">
        <v>1</v>
      </c>
      <c r="G85" s="104"/>
      <c r="H85" s="104"/>
      <c r="I85" s="104"/>
      <c r="J85" s="104"/>
      <c r="K85" s="104">
        <v>1</v>
      </c>
      <c r="L85" s="104">
        <v>1</v>
      </c>
      <c r="M85" s="104">
        <v>1</v>
      </c>
      <c r="N85" s="104">
        <v>1</v>
      </c>
      <c r="O85" s="104"/>
      <c r="P85" s="104"/>
      <c r="Q85" s="104"/>
      <c r="R85" s="104"/>
      <c r="S85" s="104">
        <v>1</v>
      </c>
      <c r="T85" s="104">
        <v>1</v>
      </c>
      <c r="U85" s="104"/>
      <c r="V85" s="104"/>
      <c r="W85" s="104"/>
      <c r="X85" s="104"/>
      <c r="Y85" s="104"/>
      <c r="Z85" s="105">
        <v>1</v>
      </c>
      <c r="AA85" s="105">
        <v>1</v>
      </c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3">
      <c r="A86" s="43">
        <v>124</v>
      </c>
      <c r="B86" s="48" t="s">
        <v>200</v>
      </c>
      <c r="C86" s="36">
        <v>7400855</v>
      </c>
      <c r="D86" s="36" t="s">
        <v>435</v>
      </c>
      <c r="E86" s="36" t="s">
        <v>88</v>
      </c>
      <c r="F86" s="104">
        <v>1</v>
      </c>
      <c r="G86" s="104"/>
      <c r="H86" s="104"/>
      <c r="I86" s="104"/>
      <c r="J86" s="104"/>
      <c r="K86" s="104"/>
      <c r="L86" s="104">
        <v>1</v>
      </c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5">
        <v>1</v>
      </c>
      <c r="AA86" s="105">
        <v>1</v>
      </c>
      <c r="AB86" s="104"/>
      <c r="AC86" s="104"/>
      <c r="AD86" s="104"/>
      <c r="AE86" s="104"/>
      <c r="AF86" s="104"/>
      <c r="AG86" s="104"/>
      <c r="AH86" s="104">
        <v>1</v>
      </c>
      <c r="AI86" s="104">
        <v>1</v>
      </c>
      <c r="AJ86" s="104">
        <v>1</v>
      </c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>
        <v>1</v>
      </c>
      <c r="AW86" s="104"/>
    </row>
    <row r="87" spans="1:49" x14ac:dyDescent="0.3">
      <c r="A87" s="43">
        <v>123</v>
      </c>
      <c r="B87" s="44" t="s">
        <v>200</v>
      </c>
      <c r="C87" s="52">
        <v>7402547</v>
      </c>
      <c r="D87" s="52" t="s">
        <v>445</v>
      </c>
      <c r="E87" s="52" t="s">
        <v>364</v>
      </c>
      <c r="F87" s="104">
        <v>1</v>
      </c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5"/>
      <c r="AA87" s="105"/>
      <c r="AB87" s="104"/>
      <c r="AC87" s="104"/>
      <c r="AD87" s="104"/>
      <c r="AE87" s="104"/>
      <c r="AF87" s="104">
        <v>1</v>
      </c>
      <c r="AG87" s="104"/>
      <c r="AH87" s="104"/>
      <c r="AI87" s="104">
        <v>1</v>
      </c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3">
      <c r="A88" s="43"/>
      <c r="B88" s="39"/>
      <c r="C88" s="36">
        <v>7403656</v>
      </c>
      <c r="D88" s="36" t="s">
        <v>519</v>
      </c>
      <c r="E88" s="137" t="s">
        <v>520</v>
      </c>
      <c r="F88" s="104">
        <v>1</v>
      </c>
      <c r="G88" s="104"/>
      <c r="H88" s="104">
        <v>1</v>
      </c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>
        <v>1</v>
      </c>
      <c r="U88" s="104"/>
      <c r="V88" s="104"/>
      <c r="W88" s="104"/>
      <c r="X88" s="104"/>
      <c r="Y88" s="104"/>
      <c r="Z88" s="105"/>
      <c r="AA88" s="105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3">
      <c r="A89" s="43">
        <v>103</v>
      </c>
      <c r="B89" s="133"/>
      <c r="C89" s="36">
        <v>7400910</v>
      </c>
      <c r="D89" s="36" t="s">
        <v>390</v>
      </c>
      <c r="E89" s="36" t="s">
        <v>389</v>
      </c>
      <c r="F89" s="104">
        <v>1</v>
      </c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>
        <v>1</v>
      </c>
      <c r="T89" s="104">
        <v>1</v>
      </c>
      <c r="U89" s="104"/>
      <c r="V89" s="104"/>
      <c r="W89" s="104"/>
      <c r="X89" s="104"/>
      <c r="Y89" s="104"/>
      <c r="Z89" s="105">
        <v>1</v>
      </c>
      <c r="AA89" s="105">
        <v>1</v>
      </c>
      <c r="AB89" s="104"/>
      <c r="AC89" s="104"/>
      <c r="AD89" s="104"/>
      <c r="AE89" s="104"/>
      <c r="AF89" s="104">
        <v>1</v>
      </c>
      <c r="AG89" s="104">
        <v>1</v>
      </c>
      <c r="AH89" s="104">
        <v>1</v>
      </c>
      <c r="AI89" s="104">
        <v>1</v>
      </c>
      <c r="AJ89" s="104">
        <v>1</v>
      </c>
      <c r="AK89" s="104"/>
      <c r="AL89" s="104"/>
      <c r="AM89" s="104">
        <v>1</v>
      </c>
      <c r="AN89" s="104"/>
      <c r="AO89" s="104"/>
      <c r="AP89" s="104"/>
      <c r="AQ89" s="104"/>
      <c r="AR89" s="104"/>
      <c r="AS89" s="104"/>
      <c r="AT89" s="104"/>
      <c r="AU89" s="104"/>
      <c r="AV89" s="104">
        <v>1</v>
      </c>
      <c r="AW89" s="104"/>
    </row>
    <row r="90" spans="1:49" x14ac:dyDescent="0.3">
      <c r="A90" s="43">
        <v>111</v>
      </c>
      <c r="B90" s="39" t="s">
        <v>200</v>
      </c>
      <c r="C90" s="36">
        <v>7076186</v>
      </c>
      <c r="D90" s="36" t="s">
        <v>424</v>
      </c>
      <c r="E90" s="36" t="s">
        <v>131</v>
      </c>
      <c r="F90" s="104">
        <v>1</v>
      </c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>
        <v>1</v>
      </c>
      <c r="V90" s="104">
        <v>1</v>
      </c>
      <c r="W90" s="104"/>
      <c r="X90" s="104"/>
      <c r="Y90" s="104"/>
      <c r="Z90" s="105"/>
      <c r="AA90" s="105">
        <v>1</v>
      </c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>
        <v>1</v>
      </c>
      <c r="AW90" s="104"/>
    </row>
    <row r="91" spans="1:49" x14ac:dyDescent="0.3">
      <c r="A91" s="140">
        <v>112</v>
      </c>
      <c r="B91" s="44" t="s">
        <v>200</v>
      </c>
      <c r="C91" s="36">
        <v>7400558</v>
      </c>
      <c r="D91" s="36" t="s">
        <v>417</v>
      </c>
      <c r="E91" s="36" t="s">
        <v>418</v>
      </c>
      <c r="F91" s="104">
        <v>1</v>
      </c>
      <c r="G91" s="104"/>
      <c r="H91" s="104"/>
      <c r="I91" s="104"/>
      <c r="J91" s="104"/>
      <c r="K91" s="104"/>
      <c r="L91" s="104">
        <v>1</v>
      </c>
      <c r="M91" s="104"/>
      <c r="N91" s="104"/>
      <c r="O91" s="104"/>
      <c r="P91" s="104">
        <v>1</v>
      </c>
      <c r="Q91" s="104"/>
      <c r="R91" s="104"/>
      <c r="S91" s="104">
        <v>1</v>
      </c>
      <c r="T91" s="104">
        <v>1</v>
      </c>
      <c r="U91" s="104"/>
      <c r="V91" s="104"/>
      <c r="W91" s="104"/>
      <c r="X91" s="104"/>
      <c r="Y91" s="104"/>
      <c r="Z91" s="105">
        <v>1</v>
      </c>
      <c r="AA91" s="105">
        <v>1</v>
      </c>
      <c r="AB91" s="104"/>
      <c r="AC91" s="104"/>
      <c r="AD91" s="104"/>
      <c r="AE91" s="104"/>
      <c r="AF91" s="104">
        <v>1</v>
      </c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>
        <v>1</v>
      </c>
      <c r="AU91" s="104">
        <v>1</v>
      </c>
      <c r="AV91" s="104">
        <v>1</v>
      </c>
      <c r="AW91" s="104"/>
    </row>
    <row r="92" spans="1:49" x14ac:dyDescent="0.3">
      <c r="A92" s="140">
        <v>27</v>
      </c>
      <c r="B92" s="38" t="s">
        <v>43</v>
      </c>
      <c r="C92" s="142">
        <v>7051920</v>
      </c>
      <c r="D92" s="36" t="s">
        <v>105</v>
      </c>
      <c r="E92" s="37" t="s">
        <v>106</v>
      </c>
      <c r="F92" s="104">
        <v>1</v>
      </c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5">
        <v>1</v>
      </c>
      <c r="AA92" s="105">
        <v>1</v>
      </c>
      <c r="AB92" s="104">
        <v>1</v>
      </c>
      <c r="AC92" s="104"/>
      <c r="AD92" s="104">
        <v>1</v>
      </c>
      <c r="AE92" s="104"/>
      <c r="AF92" s="104"/>
      <c r="AG92" s="104">
        <v>1</v>
      </c>
      <c r="AH92" s="104">
        <v>1</v>
      </c>
      <c r="AI92" s="104">
        <v>1</v>
      </c>
      <c r="AJ92" s="104">
        <v>1</v>
      </c>
      <c r="AK92" s="104">
        <v>1</v>
      </c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3">
      <c r="A93" s="43">
        <v>58</v>
      </c>
      <c r="B93" s="44" t="s">
        <v>43</v>
      </c>
      <c r="C93" s="36">
        <v>7092977</v>
      </c>
      <c r="D93" s="36" t="s">
        <v>179</v>
      </c>
      <c r="E93" s="37" t="s">
        <v>171</v>
      </c>
      <c r="F93" s="104">
        <v>1</v>
      </c>
      <c r="G93" s="104"/>
      <c r="H93" s="104"/>
      <c r="I93" s="104">
        <v>1</v>
      </c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5">
        <v>1</v>
      </c>
      <c r="AA93" s="132">
        <v>1</v>
      </c>
      <c r="AB93" s="115"/>
      <c r="AC93" s="115"/>
      <c r="AD93" s="115"/>
      <c r="AE93" s="115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3">
      <c r="A94" s="51">
        <v>95</v>
      </c>
      <c r="B94" s="38" t="s">
        <v>49</v>
      </c>
      <c r="C94" s="36">
        <v>7096286</v>
      </c>
      <c r="D94" s="36" t="s">
        <v>374</v>
      </c>
      <c r="E94" s="36" t="s">
        <v>45</v>
      </c>
      <c r="F94" s="104"/>
      <c r="G94" s="104"/>
      <c r="H94" s="104"/>
      <c r="I94" s="104"/>
      <c r="J94" s="104"/>
      <c r="K94" s="104"/>
      <c r="L94" s="104">
        <v>1</v>
      </c>
      <c r="M94" s="104">
        <v>1</v>
      </c>
      <c r="N94" s="104">
        <v>1</v>
      </c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5">
        <v>1</v>
      </c>
      <c r="AA94" s="105">
        <v>1</v>
      </c>
      <c r="AB94" s="115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>
        <v>1</v>
      </c>
      <c r="AW94" s="104"/>
    </row>
    <row r="95" spans="1:49" x14ac:dyDescent="0.3">
      <c r="A95" s="140">
        <v>126</v>
      </c>
      <c r="B95" s="38" t="s">
        <v>200</v>
      </c>
      <c r="C95" s="36">
        <v>7402448</v>
      </c>
      <c r="D95" s="36" t="s">
        <v>436</v>
      </c>
      <c r="E95" s="36" t="s">
        <v>437</v>
      </c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>
        <v>1</v>
      </c>
      <c r="Q95" s="104"/>
      <c r="R95" s="104"/>
      <c r="S95" s="104"/>
      <c r="T95" s="104"/>
      <c r="U95" s="104"/>
      <c r="V95" s="104"/>
      <c r="W95" s="104"/>
      <c r="X95" s="104">
        <v>1</v>
      </c>
      <c r="Y95" s="104"/>
      <c r="Z95" s="105">
        <v>1</v>
      </c>
      <c r="AA95" s="105">
        <v>1</v>
      </c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>
        <v>1</v>
      </c>
      <c r="AW95" s="104"/>
    </row>
    <row r="96" spans="1:49" x14ac:dyDescent="0.3">
      <c r="A96" s="141">
        <v>64</v>
      </c>
      <c r="B96" s="104" t="s">
        <v>49</v>
      </c>
      <c r="C96" s="104">
        <v>7093500</v>
      </c>
      <c r="D96" s="104" t="s">
        <v>172</v>
      </c>
      <c r="E96" s="104" t="s">
        <v>173</v>
      </c>
      <c r="F96" s="104"/>
      <c r="G96" s="104"/>
      <c r="H96" s="104"/>
      <c r="I96" s="104">
        <v>1</v>
      </c>
      <c r="J96" s="104">
        <v>1</v>
      </c>
      <c r="K96" s="104">
        <v>1</v>
      </c>
      <c r="L96" s="104">
        <v>1</v>
      </c>
      <c r="M96" s="104"/>
      <c r="N96" s="104"/>
      <c r="O96" s="104"/>
      <c r="P96" s="104"/>
      <c r="Q96" s="104"/>
      <c r="R96" s="104"/>
      <c r="S96" s="104">
        <v>1</v>
      </c>
      <c r="T96" s="104">
        <v>1</v>
      </c>
      <c r="U96" s="104"/>
      <c r="V96" s="104"/>
      <c r="W96" s="104"/>
      <c r="X96" s="104"/>
      <c r="Y96" s="104"/>
      <c r="Z96" s="105">
        <v>1</v>
      </c>
      <c r="AA96" s="105">
        <v>1</v>
      </c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>
        <v>1</v>
      </c>
      <c r="AW96" s="104"/>
    </row>
    <row r="97" spans="1:49" x14ac:dyDescent="0.3">
      <c r="A97" s="43"/>
      <c r="B97" s="48"/>
      <c r="C97" s="36">
        <v>7403482</v>
      </c>
      <c r="D97" s="36" t="s">
        <v>467</v>
      </c>
      <c r="E97" s="36" t="s">
        <v>468</v>
      </c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5"/>
      <c r="AA97" s="105">
        <v>1</v>
      </c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>
        <v>1</v>
      </c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3">
      <c r="A98" s="43">
        <v>92</v>
      </c>
      <c r="B98" s="133" t="s">
        <v>42</v>
      </c>
      <c r="C98" s="49">
        <v>7097996</v>
      </c>
      <c r="D98" s="50" t="s">
        <v>363</v>
      </c>
      <c r="E98" s="50" t="s">
        <v>364</v>
      </c>
      <c r="F98" s="104">
        <v>1</v>
      </c>
      <c r="G98" s="104"/>
      <c r="H98" s="104"/>
      <c r="I98" s="104">
        <v>1</v>
      </c>
      <c r="J98" s="104">
        <v>1</v>
      </c>
      <c r="K98" s="104">
        <v>1</v>
      </c>
      <c r="L98" s="104">
        <v>1</v>
      </c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5">
        <v>1</v>
      </c>
      <c r="AA98" s="105">
        <v>1</v>
      </c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3">
      <c r="A99" s="43">
        <v>24</v>
      </c>
      <c r="B99" s="133" t="s">
        <v>43</v>
      </c>
      <c r="C99" s="142">
        <v>7051908</v>
      </c>
      <c r="D99" s="36" t="s">
        <v>107</v>
      </c>
      <c r="E99" s="37" t="s">
        <v>108</v>
      </c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5"/>
      <c r="AA99" s="105"/>
      <c r="AB99" s="104">
        <v>1</v>
      </c>
      <c r="AC99" s="104"/>
      <c r="AD99" s="104"/>
      <c r="AE99" s="104"/>
      <c r="AF99" s="104"/>
      <c r="AG99" s="104">
        <v>1</v>
      </c>
      <c r="AH99" s="104">
        <v>1</v>
      </c>
      <c r="AI99" s="104"/>
      <c r="AJ99" s="104"/>
      <c r="AK99" s="104">
        <v>1</v>
      </c>
      <c r="AL99" s="104"/>
      <c r="AM99" s="104"/>
      <c r="AN99" s="104">
        <v>1</v>
      </c>
      <c r="AO99" s="104">
        <v>1</v>
      </c>
      <c r="AP99" s="104">
        <v>1</v>
      </c>
      <c r="AQ99" s="104">
        <v>1</v>
      </c>
      <c r="AR99" s="104"/>
      <c r="AS99" s="104"/>
      <c r="AT99" s="104"/>
      <c r="AU99" s="104"/>
      <c r="AV99" s="104"/>
      <c r="AW99" s="104"/>
    </row>
    <row r="100" spans="1:49" x14ac:dyDescent="0.3">
      <c r="A100" s="43">
        <v>46</v>
      </c>
      <c r="B100" s="44" t="s">
        <v>42</v>
      </c>
      <c r="C100" s="49">
        <v>7091824</v>
      </c>
      <c r="D100" s="46" t="s">
        <v>109</v>
      </c>
      <c r="E100" s="46" t="s">
        <v>104</v>
      </c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>
        <v>1</v>
      </c>
      <c r="Y100" s="104"/>
      <c r="Z100" s="105">
        <v>1</v>
      </c>
      <c r="AA100" s="105">
        <v>1</v>
      </c>
      <c r="AB100" s="115"/>
      <c r="AC100" s="104"/>
      <c r="AD100" s="115"/>
      <c r="AE100" s="104">
        <v>1</v>
      </c>
      <c r="AF100" s="104"/>
      <c r="AG100" s="104">
        <v>1</v>
      </c>
      <c r="AH100" s="104"/>
      <c r="AI100" s="104">
        <v>1</v>
      </c>
      <c r="AJ100" s="104">
        <v>1</v>
      </c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3">
      <c r="A101" s="134">
        <v>118</v>
      </c>
      <c r="B101" s="165"/>
      <c r="C101" s="16">
        <v>7099798</v>
      </c>
      <c r="D101" s="16" t="s">
        <v>499</v>
      </c>
      <c r="E101" s="16" t="s">
        <v>500</v>
      </c>
      <c r="F101" s="104">
        <v>1</v>
      </c>
      <c r="G101" s="104"/>
      <c r="H101" s="104">
        <v>1</v>
      </c>
      <c r="I101" s="104"/>
      <c r="J101" s="104"/>
      <c r="K101" s="104"/>
      <c r="L101" s="104">
        <v>1</v>
      </c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5">
        <v>1</v>
      </c>
      <c r="AA101" s="105">
        <v>1</v>
      </c>
      <c r="AB101" s="115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3">
      <c r="A102" s="43">
        <v>21</v>
      </c>
      <c r="B102" s="44" t="s">
        <v>43</v>
      </c>
      <c r="C102" s="45">
        <v>7055571</v>
      </c>
      <c r="D102" s="46" t="s">
        <v>110</v>
      </c>
      <c r="E102" s="46" t="s">
        <v>111</v>
      </c>
      <c r="F102" s="104"/>
      <c r="G102" s="104"/>
      <c r="H102" s="104"/>
      <c r="I102" s="104"/>
      <c r="J102" s="104"/>
      <c r="K102" s="104"/>
      <c r="L102" s="104">
        <v>1</v>
      </c>
      <c r="M102" s="104"/>
      <c r="N102" s="104"/>
      <c r="O102" s="104"/>
      <c r="P102" s="104">
        <v>1</v>
      </c>
      <c r="Q102" s="104"/>
      <c r="R102" s="104"/>
      <c r="S102" s="104"/>
      <c r="T102" s="104"/>
      <c r="U102" s="104"/>
      <c r="V102" s="104"/>
      <c r="W102" s="104"/>
      <c r="X102" s="104"/>
      <c r="Y102" s="104"/>
      <c r="Z102" s="105">
        <v>1</v>
      </c>
      <c r="AA102" s="105">
        <v>1</v>
      </c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3">
      <c r="A103" s="140">
        <v>39</v>
      </c>
      <c r="B103" s="39" t="s">
        <v>46</v>
      </c>
      <c r="C103" s="50">
        <v>7092741</v>
      </c>
      <c r="D103" s="36" t="s">
        <v>112</v>
      </c>
      <c r="E103" s="37" t="s">
        <v>113</v>
      </c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5"/>
      <c r="AA103" s="105"/>
      <c r="AB103" s="104">
        <v>1</v>
      </c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3">
      <c r="A104" s="51">
        <v>41</v>
      </c>
      <c r="B104" s="38" t="s">
        <v>43</v>
      </c>
      <c r="C104" s="36">
        <v>7092738</v>
      </c>
      <c r="D104" s="36" t="s">
        <v>114</v>
      </c>
      <c r="E104" s="137" t="s">
        <v>115</v>
      </c>
      <c r="F104" s="104">
        <v>1</v>
      </c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>
        <v>1</v>
      </c>
      <c r="V104" s="104"/>
      <c r="W104" s="104">
        <v>1</v>
      </c>
      <c r="X104" s="104"/>
      <c r="Y104" s="104"/>
      <c r="Z104" s="105">
        <v>1</v>
      </c>
      <c r="AA104" s="105">
        <v>1</v>
      </c>
      <c r="AB104" s="115">
        <v>1</v>
      </c>
      <c r="AC104" s="104"/>
      <c r="AD104" s="104">
        <v>1</v>
      </c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>
        <v>1</v>
      </c>
      <c r="AW104" s="104"/>
    </row>
    <row r="105" spans="1:49" x14ac:dyDescent="0.3">
      <c r="A105" s="43">
        <v>109</v>
      </c>
      <c r="B105" s="39" t="s">
        <v>200</v>
      </c>
      <c r="C105" s="45">
        <v>7099948</v>
      </c>
      <c r="D105" s="46" t="s">
        <v>419</v>
      </c>
      <c r="E105" s="47" t="s">
        <v>420</v>
      </c>
      <c r="F105" s="104">
        <v>1</v>
      </c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5"/>
      <c r="AA105" s="105">
        <v>1</v>
      </c>
      <c r="AB105" s="104"/>
      <c r="AC105" s="104"/>
      <c r="AD105" s="104"/>
      <c r="AE105" s="104"/>
      <c r="AF105" s="104">
        <v>1</v>
      </c>
      <c r="AG105" s="104"/>
      <c r="AH105" s="104"/>
      <c r="AI105" s="104"/>
      <c r="AJ105" s="104"/>
      <c r="AK105" s="104"/>
      <c r="AL105" s="104"/>
      <c r="AM105" s="104">
        <v>1</v>
      </c>
      <c r="AN105" s="104"/>
      <c r="AO105" s="104"/>
      <c r="AP105" s="104"/>
      <c r="AQ105" s="104"/>
      <c r="AR105" s="104"/>
      <c r="AS105" s="104"/>
      <c r="AT105" s="104"/>
      <c r="AU105" s="104"/>
      <c r="AV105" s="104">
        <v>1</v>
      </c>
      <c r="AW105" s="104"/>
    </row>
    <row r="106" spans="1:49" x14ac:dyDescent="0.3">
      <c r="A106" s="43"/>
      <c r="B106" s="39"/>
      <c r="C106" s="36">
        <v>7403371</v>
      </c>
      <c r="D106" s="36" t="s">
        <v>511</v>
      </c>
      <c r="E106" s="137" t="s">
        <v>512</v>
      </c>
      <c r="F106" s="104">
        <v>1</v>
      </c>
      <c r="G106" s="104"/>
      <c r="H106" s="104"/>
      <c r="I106" s="104"/>
      <c r="J106" s="104"/>
      <c r="K106" s="104"/>
      <c r="L106" s="104">
        <v>1</v>
      </c>
      <c r="M106" s="104">
        <v>1</v>
      </c>
      <c r="N106" s="104"/>
      <c r="O106" s="104"/>
      <c r="P106" s="104"/>
      <c r="Q106" s="104">
        <v>1</v>
      </c>
      <c r="R106" s="104">
        <v>1</v>
      </c>
      <c r="S106" s="104">
        <v>1</v>
      </c>
      <c r="T106" s="104"/>
      <c r="U106" s="104"/>
      <c r="V106" s="104"/>
      <c r="W106" s="104"/>
      <c r="X106" s="104"/>
      <c r="Y106" s="104"/>
      <c r="Z106" s="105"/>
      <c r="AA106" s="105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3">
      <c r="A107" s="140">
        <v>65</v>
      </c>
      <c r="B107" s="38" t="s">
        <v>49</v>
      </c>
      <c r="C107" s="104">
        <v>7094186</v>
      </c>
      <c r="D107" s="104" t="s">
        <v>174</v>
      </c>
      <c r="E107" s="104" t="s">
        <v>175</v>
      </c>
      <c r="F107" s="104">
        <v>1</v>
      </c>
      <c r="G107" s="104"/>
      <c r="H107" s="104"/>
      <c r="I107" s="104">
        <v>1</v>
      </c>
      <c r="J107" s="104">
        <v>1</v>
      </c>
      <c r="K107" s="104">
        <v>1</v>
      </c>
      <c r="L107" s="104">
        <v>1</v>
      </c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5">
        <v>1</v>
      </c>
      <c r="AA107" s="105">
        <v>1</v>
      </c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>
        <v>1</v>
      </c>
      <c r="AN107" s="104"/>
      <c r="AO107" s="104"/>
      <c r="AP107" s="104"/>
      <c r="AQ107" s="104"/>
      <c r="AR107" s="104"/>
      <c r="AS107" s="104"/>
      <c r="AT107" s="104"/>
      <c r="AU107" s="104"/>
      <c r="AV107" s="104">
        <v>1</v>
      </c>
      <c r="AW107" s="104"/>
    </row>
    <row r="108" spans="1:49" x14ac:dyDescent="0.3">
      <c r="A108" s="43">
        <v>35</v>
      </c>
      <c r="B108" s="44" t="s">
        <v>42</v>
      </c>
      <c r="C108" s="36">
        <v>7073267</v>
      </c>
      <c r="D108" s="36" t="s">
        <v>116</v>
      </c>
      <c r="E108" s="37" t="s">
        <v>117</v>
      </c>
      <c r="F108" s="104"/>
      <c r="G108" s="104"/>
      <c r="H108" s="104"/>
      <c r="I108" s="104"/>
      <c r="J108" s="104"/>
      <c r="K108" s="104">
        <v>1</v>
      </c>
      <c r="L108" s="104">
        <v>1</v>
      </c>
      <c r="M108" s="104"/>
      <c r="N108" s="104"/>
      <c r="O108" s="104"/>
      <c r="P108" s="104"/>
      <c r="Q108" s="104"/>
      <c r="R108" s="104"/>
      <c r="S108" s="104">
        <v>1</v>
      </c>
      <c r="T108" s="104">
        <v>1</v>
      </c>
      <c r="U108" s="104"/>
      <c r="V108" s="104"/>
      <c r="W108" s="104"/>
      <c r="X108" s="104"/>
      <c r="Y108" s="104"/>
      <c r="Z108" s="105">
        <v>1</v>
      </c>
      <c r="AA108" s="105">
        <v>1</v>
      </c>
      <c r="AB108" s="115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>
        <v>1</v>
      </c>
      <c r="AW108" s="104"/>
    </row>
    <row r="109" spans="1:49" x14ac:dyDescent="0.3">
      <c r="A109" s="43">
        <v>59</v>
      </c>
      <c r="B109" s="38" t="s">
        <v>42</v>
      </c>
      <c r="C109" s="36">
        <v>7094192</v>
      </c>
      <c r="D109" s="36" t="s">
        <v>176</v>
      </c>
      <c r="E109" s="36" t="s">
        <v>177</v>
      </c>
      <c r="F109" s="104">
        <v>1</v>
      </c>
      <c r="G109" s="104"/>
      <c r="H109" s="104"/>
      <c r="I109" s="104"/>
      <c r="J109" s="104"/>
      <c r="K109" s="104"/>
      <c r="L109" s="104">
        <v>1</v>
      </c>
      <c r="M109" s="104">
        <v>1</v>
      </c>
      <c r="N109" s="104">
        <v>1</v>
      </c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5">
        <v>1</v>
      </c>
      <c r="AA109" s="105">
        <v>1</v>
      </c>
      <c r="AB109" s="104"/>
      <c r="AC109" s="104"/>
      <c r="AD109" s="104"/>
      <c r="AE109" s="104"/>
      <c r="AF109" s="104">
        <v>1</v>
      </c>
      <c r="AG109" s="104"/>
      <c r="AH109" s="104"/>
      <c r="AI109" s="104">
        <v>1</v>
      </c>
      <c r="AJ109" s="104">
        <v>1</v>
      </c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>
        <v>1</v>
      </c>
      <c r="AW109" s="104"/>
    </row>
    <row r="110" spans="1:49" x14ac:dyDescent="0.3">
      <c r="A110" s="43">
        <v>32</v>
      </c>
      <c r="B110" s="44" t="s">
        <v>42</v>
      </c>
      <c r="C110" s="45">
        <v>7090966</v>
      </c>
      <c r="D110" s="46" t="s">
        <v>119</v>
      </c>
      <c r="E110" s="46" t="s">
        <v>78</v>
      </c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5"/>
      <c r="AA110" s="105"/>
      <c r="AB110" s="104">
        <v>1</v>
      </c>
      <c r="AC110" s="104"/>
      <c r="AD110" s="104"/>
      <c r="AE110" s="104"/>
      <c r="AF110" s="104">
        <v>1</v>
      </c>
      <c r="AG110" s="104">
        <v>1</v>
      </c>
      <c r="AH110" s="104"/>
      <c r="AI110" s="104">
        <v>1</v>
      </c>
      <c r="AJ110" s="104">
        <v>1</v>
      </c>
      <c r="AK110" s="104">
        <v>1</v>
      </c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3">
      <c r="A111" s="43">
        <v>81</v>
      </c>
      <c r="B111" s="44" t="s">
        <v>43</v>
      </c>
      <c r="C111" s="36">
        <v>7094180</v>
      </c>
      <c r="D111" s="36" t="s">
        <v>370</v>
      </c>
      <c r="E111" s="37" t="s">
        <v>355</v>
      </c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5">
        <v>1</v>
      </c>
      <c r="AA111" s="105">
        <v>1</v>
      </c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>
        <v>1</v>
      </c>
      <c r="AT111" s="104">
        <v>1</v>
      </c>
      <c r="AU111" s="104">
        <v>1</v>
      </c>
      <c r="AV111" s="104">
        <v>1</v>
      </c>
      <c r="AW111" s="104"/>
    </row>
    <row r="112" spans="1:49" x14ac:dyDescent="0.3">
      <c r="A112" s="43">
        <v>67</v>
      </c>
      <c r="B112" s="119" t="s">
        <v>42</v>
      </c>
      <c r="C112" s="36">
        <v>7093549</v>
      </c>
      <c r="D112" s="36" t="s">
        <v>187</v>
      </c>
      <c r="E112" s="37" t="s">
        <v>188</v>
      </c>
      <c r="F112" s="104">
        <v>1</v>
      </c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5">
        <v>1</v>
      </c>
      <c r="AA112" s="105">
        <v>1</v>
      </c>
      <c r="AB112" s="115"/>
      <c r="AC112" s="104"/>
      <c r="AD112" s="104"/>
      <c r="AE112" s="104"/>
      <c r="AF112" s="104">
        <v>1</v>
      </c>
      <c r="AG112" s="104"/>
      <c r="AH112" s="104">
        <v>1</v>
      </c>
      <c r="AI112" s="104">
        <v>1</v>
      </c>
      <c r="AJ112" s="104">
        <v>1</v>
      </c>
      <c r="AK112" s="104"/>
      <c r="AL112" s="104"/>
      <c r="AM112" s="104">
        <v>1</v>
      </c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3">
      <c r="A113" s="43">
        <v>51</v>
      </c>
      <c r="B113" s="44" t="s">
        <v>42</v>
      </c>
      <c r="C113" s="36">
        <v>7094191</v>
      </c>
      <c r="D113" s="36" t="s">
        <v>120</v>
      </c>
      <c r="E113" s="37" t="s">
        <v>121</v>
      </c>
      <c r="F113" s="104"/>
      <c r="G113" s="104"/>
      <c r="H113" s="104"/>
      <c r="I113" s="104">
        <v>1</v>
      </c>
      <c r="J113" s="104">
        <v>1</v>
      </c>
      <c r="K113" s="104">
        <v>1</v>
      </c>
      <c r="L113" s="104">
        <v>1</v>
      </c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5">
        <v>1</v>
      </c>
      <c r="AA113" s="132">
        <v>1</v>
      </c>
      <c r="AB113" s="115"/>
      <c r="AC113" s="115"/>
      <c r="AD113" s="115"/>
      <c r="AE113" s="104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04"/>
      <c r="AW113" s="104"/>
    </row>
    <row r="114" spans="1:49" x14ac:dyDescent="0.3">
      <c r="A114" s="43">
        <v>102</v>
      </c>
      <c r="B114" s="133"/>
      <c r="C114" s="142">
        <v>7401045</v>
      </c>
      <c r="D114" s="36" t="s">
        <v>387</v>
      </c>
      <c r="E114" s="37" t="s">
        <v>388</v>
      </c>
      <c r="F114" s="104">
        <v>1</v>
      </c>
      <c r="G114" s="104"/>
      <c r="H114" s="104"/>
      <c r="I114" s="104"/>
      <c r="J114" s="104"/>
      <c r="K114" s="104"/>
      <c r="L114" s="104">
        <v>1</v>
      </c>
      <c r="M114" s="104">
        <v>1</v>
      </c>
      <c r="N114" s="104">
        <v>1</v>
      </c>
      <c r="O114" s="104">
        <v>1</v>
      </c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5">
        <v>1</v>
      </c>
      <c r="AA114" s="132">
        <v>1</v>
      </c>
      <c r="AB114" s="115"/>
      <c r="AC114" s="115"/>
      <c r="AD114" s="115"/>
      <c r="AE114" s="104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04">
        <v>1</v>
      </c>
      <c r="AW114" s="104"/>
    </row>
    <row r="115" spans="1:49" x14ac:dyDescent="0.3">
      <c r="A115" s="140">
        <v>122</v>
      </c>
      <c r="B115" s="38" t="s">
        <v>200</v>
      </c>
      <c r="C115" s="36">
        <v>7402022</v>
      </c>
      <c r="D115" s="36" t="s">
        <v>433</v>
      </c>
      <c r="E115" s="37" t="s">
        <v>434</v>
      </c>
      <c r="F115" s="104">
        <v>1</v>
      </c>
      <c r="G115" s="104"/>
      <c r="H115" s="104"/>
      <c r="I115" s="104"/>
      <c r="J115" s="104"/>
      <c r="K115" s="104"/>
      <c r="L115" s="104"/>
      <c r="M115" s="104"/>
      <c r="N115" s="104"/>
      <c r="O115" s="104"/>
      <c r="P115" s="104">
        <v>1</v>
      </c>
      <c r="Q115" s="104"/>
      <c r="R115" s="104"/>
      <c r="S115" s="104"/>
      <c r="T115" s="104"/>
      <c r="U115" s="104"/>
      <c r="V115" s="104"/>
      <c r="W115" s="104"/>
      <c r="X115" s="104"/>
      <c r="Y115" s="104"/>
      <c r="Z115" s="105">
        <v>1</v>
      </c>
      <c r="AA115" s="105">
        <v>1</v>
      </c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>
        <v>1</v>
      </c>
      <c r="AW115" s="104"/>
    </row>
    <row r="116" spans="1:49" x14ac:dyDescent="0.3">
      <c r="A116" s="43">
        <v>125</v>
      </c>
      <c r="B116" s="39" t="s">
        <v>200</v>
      </c>
      <c r="C116" s="45">
        <v>7402849</v>
      </c>
      <c r="D116" s="46" t="s">
        <v>446</v>
      </c>
      <c r="E116" s="47" t="s">
        <v>447</v>
      </c>
      <c r="F116" s="104">
        <v>1</v>
      </c>
      <c r="G116" s="104"/>
      <c r="H116" s="104">
        <v>1</v>
      </c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5"/>
      <c r="AA116" s="105"/>
      <c r="AB116" s="104"/>
      <c r="AC116" s="104"/>
      <c r="AD116" s="104"/>
      <c r="AE116" s="104"/>
      <c r="AF116" s="104"/>
      <c r="AG116" s="104"/>
      <c r="AH116" s="104"/>
      <c r="AI116" s="104">
        <v>1</v>
      </c>
      <c r="AJ116" s="104">
        <v>1</v>
      </c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3">
      <c r="A117" s="43">
        <v>20</v>
      </c>
      <c r="B117" s="119" t="s">
        <v>122</v>
      </c>
      <c r="C117" s="36">
        <v>7055856</v>
      </c>
      <c r="D117" s="36" t="s">
        <v>123</v>
      </c>
      <c r="E117" s="37" t="s">
        <v>124</v>
      </c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5"/>
      <c r="AA117" s="105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3">
      <c r="A118" s="43"/>
      <c r="B118" s="39"/>
      <c r="C118" s="36">
        <v>7104205</v>
      </c>
      <c r="D118" s="36" t="s">
        <v>517</v>
      </c>
      <c r="E118" s="137" t="s">
        <v>518</v>
      </c>
      <c r="F118" s="104">
        <v>1</v>
      </c>
      <c r="G118" s="104"/>
      <c r="H118" s="104">
        <v>1</v>
      </c>
      <c r="I118" s="104"/>
      <c r="J118" s="104"/>
      <c r="K118" s="104"/>
      <c r="L118" s="104">
        <v>1</v>
      </c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5"/>
      <c r="AA118" s="105"/>
      <c r="AB118" s="104"/>
      <c r="AC118" s="104"/>
      <c r="AD118" s="104"/>
      <c r="AE118" s="104"/>
      <c r="AF118" s="104"/>
      <c r="AG118" s="104"/>
      <c r="AH118" s="104"/>
      <c r="AI118" s="104">
        <v>1</v>
      </c>
      <c r="AJ118" s="104">
        <v>1</v>
      </c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3">
      <c r="A119" s="43">
        <v>93</v>
      </c>
      <c r="B119" s="38" t="s">
        <v>42</v>
      </c>
      <c r="C119" s="49">
        <v>7400367</v>
      </c>
      <c r="D119" s="46" t="s">
        <v>368</v>
      </c>
      <c r="E119" s="46" t="s">
        <v>377</v>
      </c>
      <c r="F119" s="104">
        <v>1</v>
      </c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>
        <v>1</v>
      </c>
      <c r="U119" s="104"/>
      <c r="V119" s="104"/>
      <c r="W119" s="104"/>
      <c r="X119" s="104"/>
      <c r="Y119" s="104"/>
      <c r="Z119" s="105">
        <v>1</v>
      </c>
      <c r="AA119" s="105">
        <v>1</v>
      </c>
      <c r="AB119" s="104"/>
      <c r="AC119" s="104"/>
      <c r="AD119" s="104"/>
      <c r="AE119" s="104"/>
      <c r="AF119" s="104">
        <v>1</v>
      </c>
      <c r="AG119" s="104"/>
      <c r="AH119" s="104">
        <v>1</v>
      </c>
      <c r="AI119" s="104">
        <v>1</v>
      </c>
      <c r="AJ119" s="104">
        <v>1</v>
      </c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>
        <v>1</v>
      </c>
      <c r="AW119" s="104"/>
    </row>
    <row r="120" spans="1:49" x14ac:dyDescent="0.3">
      <c r="A120" s="43">
        <v>88</v>
      </c>
      <c r="B120" s="39" t="s">
        <v>343</v>
      </c>
      <c r="C120" s="36">
        <v>7098033</v>
      </c>
      <c r="D120" s="36" t="s">
        <v>378</v>
      </c>
      <c r="E120" s="37" t="s">
        <v>379</v>
      </c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5"/>
      <c r="AA120" s="105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3">
      <c r="A121" s="43">
        <v>52</v>
      </c>
      <c r="B121" s="38" t="s">
        <v>42</v>
      </c>
      <c r="C121" s="36">
        <v>7077473</v>
      </c>
      <c r="D121" s="36" t="s">
        <v>125</v>
      </c>
      <c r="E121" s="137" t="s">
        <v>55</v>
      </c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5"/>
      <c r="AA121" s="105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3">
      <c r="A122" s="43"/>
      <c r="B122" s="39"/>
      <c r="C122" s="36">
        <v>7402698</v>
      </c>
      <c r="D122" s="36" t="s">
        <v>507</v>
      </c>
      <c r="E122" s="137" t="s">
        <v>508</v>
      </c>
      <c r="F122" s="104">
        <v>1</v>
      </c>
      <c r="G122" s="104"/>
      <c r="H122" s="104"/>
      <c r="I122" s="104"/>
      <c r="J122" s="104"/>
      <c r="K122" s="104"/>
      <c r="L122" s="104">
        <v>1</v>
      </c>
      <c r="M122" s="104">
        <v>1</v>
      </c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5"/>
      <c r="AA122" s="105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>
        <v>1</v>
      </c>
      <c r="AW122" s="104"/>
    </row>
    <row r="123" spans="1:49" x14ac:dyDescent="0.3">
      <c r="A123" s="43">
        <v>18</v>
      </c>
      <c r="B123" s="44" t="s">
        <v>42</v>
      </c>
      <c r="C123" s="36">
        <v>7051890</v>
      </c>
      <c r="D123" s="36" t="s">
        <v>126</v>
      </c>
      <c r="E123" s="37" t="s">
        <v>127</v>
      </c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5">
        <v>1</v>
      </c>
      <c r="AA123" s="105">
        <v>1</v>
      </c>
      <c r="AB123" s="104">
        <v>1</v>
      </c>
      <c r="AC123" s="104"/>
      <c r="AD123" s="104"/>
      <c r="AE123" s="104"/>
      <c r="AF123" s="104">
        <v>1</v>
      </c>
      <c r="AG123" s="104"/>
      <c r="AH123" s="104"/>
      <c r="AI123" s="104">
        <v>1</v>
      </c>
      <c r="AJ123" s="104">
        <v>1</v>
      </c>
      <c r="AK123" s="104">
        <v>1</v>
      </c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3">
      <c r="A124" s="43">
        <v>135</v>
      </c>
      <c r="B124" s="38" t="s">
        <v>200</v>
      </c>
      <c r="C124" s="52">
        <v>7403357</v>
      </c>
      <c r="D124" s="52" t="s">
        <v>448</v>
      </c>
      <c r="E124" s="52" t="s">
        <v>449</v>
      </c>
      <c r="F124" s="104">
        <v>1</v>
      </c>
      <c r="G124" s="104"/>
      <c r="H124" s="104"/>
      <c r="I124" s="104">
        <v>1</v>
      </c>
      <c r="J124" s="104">
        <v>1</v>
      </c>
      <c r="K124" s="104">
        <v>1</v>
      </c>
      <c r="L124" s="104">
        <v>1</v>
      </c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5"/>
      <c r="AA124" s="105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>
        <v>1</v>
      </c>
      <c r="AU124" s="104">
        <v>1</v>
      </c>
      <c r="AV124" s="104"/>
      <c r="AW124" s="104"/>
    </row>
    <row r="125" spans="1:49" x14ac:dyDescent="0.3">
      <c r="A125" s="43">
        <v>72</v>
      </c>
      <c r="B125" s="38" t="s">
        <v>49</v>
      </c>
      <c r="C125" s="36">
        <v>7094183</v>
      </c>
      <c r="D125" s="36" t="s">
        <v>189</v>
      </c>
      <c r="E125" s="37" t="s">
        <v>118</v>
      </c>
      <c r="F125" s="104">
        <v>1</v>
      </c>
      <c r="G125" s="104"/>
      <c r="H125" s="104"/>
      <c r="I125" s="104"/>
      <c r="J125" s="104"/>
      <c r="K125" s="104"/>
      <c r="L125" s="104">
        <v>1</v>
      </c>
      <c r="M125" s="104"/>
      <c r="N125" s="104"/>
      <c r="O125" s="104"/>
      <c r="P125" s="104"/>
      <c r="Q125" s="104"/>
      <c r="R125" s="104"/>
      <c r="S125" s="104"/>
      <c r="T125" s="104">
        <v>1</v>
      </c>
      <c r="U125" s="104"/>
      <c r="V125" s="104"/>
      <c r="W125" s="104"/>
      <c r="X125" s="104"/>
      <c r="Y125" s="104">
        <v>1</v>
      </c>
      <c r="Z125" s="105">
        <v>1</v>
      </c>
      <c r="AA125" s="105">
        <v>1</v>
      </c>
      <c r="AB125" s="104"/>
      <c r="AC125" s="104"/>
      <c r="AD125" s="104"/>
      <c r="AE125" s="104"/>
      <c r="AF125" s="104"/>
      <c r="AG125" s="104">
        <v>1</v>
      </c>
      <c r="AH125" s="104"/>
      <c r="AI125" s="104">
        <v>1</v>
      </c>
      <c r="AJ125" s="104">
        <v>1</v>
      </c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3">
      <c r="A126" s="43"/>
      <c r="B126" s="44"/>
      <c r="C126" s="36">
        <v>7095864</v>
      </c>
      <c r="D126" s="36" t="s">
        <v>469</v>
      </c>
      <c r="E126" s="36" t="s">
        <v>470</v>
      </c>
      <c r="F126" s="104">
        <v>1</v>
      </c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>
        <v>1</v>
      </c>
      <c r="X126" s="104"/>
      <c r="Y126" s="104"/>
      <c r="Z126" s="105"/>
      <c r="AA126" s="105">
        <v>1</v>
      </c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3">
      <c r="A127" s="141">
        <v>19</v>
      </c>
      <c r="B127" s="104" t="s">
        <v>49</v>
      </c>
      <c r="C127" s="104">
        <v>7045037</v>
      </c>
      <c r="D127" s="104" t="s">
        <v>128</v>
      </c>
      <c r="E127" s="104" t="s">
        <v>129</v>
      </c>
      <c r="F127" s="104">
        <v>1</v>
      </c>
      <c r="G127" s="104"/>
      <c r="H127" s="104"/>
      <c r="I127" s="104"/>
      <c r="J127" s="104"/>
      <c r="K127" s="104"/>
      <c r="L127" s="104">
        <v>1</v>
      </c>
      <c r="M127" s="104"/>
      <c r="N127" s="104"/>
      <c r="O127" s="104"/>
      <c r="P127" s="104"/>
      <c r="Q127" s="104"/>
      <c r="R127" s="104"/>
      <c r="S127" s="104">
        <v>1</v>
      </c>
      <c r="T127" s="104">
        <v>1</v>
      </c>
      <c r="U127" s="104"/>
      <c r="V127" s="104"/>
      <c r="W127" s="104"/>
      <c r="X127" s="104">
        <v>1</v>
      </c>
      <c r="Y127" s="104"/>
      <c r="Z127" s="105">
        <v>1</v>
      </c>
      <c r="AA127" s="105">
        <v>1</v>
      </c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>
        <v>1</v>
      </c>
      <c r="AW127" s="104"/>
    </row>
    <row r="128" spans="1:49" x14ac:dyDescent="0.3">
      <c r="A128" s="51">
        <v>69</v>
      </c>
      <c r="B128" s="38" t="s">
        <v>49</v>
      </c>
      <c r="C128" s="36">
        <v>7095136</v>
      </c>
      <c r="D128" s="36" t="s">
        <v>190</v>
      </c>
      <c r="E128" s="137" t="s">
        <v>191</v>
      </c>
      <c r="F128" s="104"/>
      <c r="G128" s="104"/>
      <c r="H128" s="104"/>
      <c r="I128" s="104">
        <v>1</v>
      </c>
      <c r="J128" s="104">
        <v>1</v>
      </c>
      <c r="K128" s="104">
        <v>1</v>
      </c>
      <c r="L128" s="104">
        <v>1</v>
      </c>
      <c r="M128" s="104"/>
      <c r="N128" s="104"/>
      <c r="O128" s="104"/>
      <c r="P128" s="104">
        <v>1</v>
      </c>
      <c r="Q128" s="104"/>
      <c r="R128" s="104"/>
      <c r="S128" s="104"/>
      <c r="T128" s="104"/>
      <c r="U128" s="104"/>
      <c r="V128" s="104"/>
      <c r="W128" s="104"/>
      <c r="X128" s="104"/>
      <c r="Y128" s="104"/>
      <c r="Z128" s="105">
        <v>1</v>
      </c>
      <c r="AA128" s="105">
        <v>1</v>
      </c>
      <c r="AB128" s="115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3">
      <c r="A129" s="43"/>
      <c r="B129" s="39"/>
      <c r="C129" s="36">
        <v>7403653</v>
      </c>
      <c r="D129" s="36" t="s">
        <v>513</v>
      </c>
      <c r="E129" s="137" t="s">
        <v>514</v>
      </c>
      <c r="F129" s="104">
        <v>1</v>
      </c>
      <c r="G129" s="104"/>
      <c r="H129" s="104">
        <v>1</v>
      </c>
      <c r="I129" s="104"/>
      <c r="J129" s="104"/>
      <c r="K129" s="104">
        <v>1</v>
      </c>
      <c r="L129" s="104"/>
      <c r="M129" s="104"/>
      <c r="N129" s="104"/>
      <c r="O129" s="104"/>
      <c r="P129" s="104"/>
      <c r="Q129" s="104"/>
      <c r="R129" s="104"/>
      <c r="S129" s="104"/>
      <c r="T129" s="104">
        <v>1</v>
      </c>
      <c r="U129" s="104"/>
      <c r="V129" s="104"/>
      <c r="W129" s="104"/>
      <c r="X129" s="104"/>
      <c r="Y129" s="104"/>
      <c r="Z129" s="105"/>
      <c r="AA129" s="105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3">
      <c r="A130" s="140">
        <v>120</v>
      </c>
      <c r="B130" s="38" t="s">
        <v>200</v>
      </c>
      <c r="C130" s="36">
        <v>7402480</v>
      </c>
      <c r="D130" s="36" t="s">
        <v>431</v>
      </c>
      <c r="E130" s="137" t="s">
        <v>432</v>
      </c>
      <c r="F130" s="104">
        <v>1</v>
      </c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5">
        <v>1</v>
      </c>
      <c r="AA130" s="105">
        <v>1</v>
      </c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>
        <v>1</v>
      </c>
      <c r="AM130" s="104">
        <v>1</v>
      </c>
      <c r="AN130" s="104"/>
      <c r="AO130" s="104"/>
      <c r="AP130" s="104"/>
      <c r="AQ130" s="104"/>
      <c r="AR130" s="104"/>
      <c r="AS130" s="104"/>
      <c r="AT130" s="104"/>
      <c r="AU130" s="104"/>
      <c r="AV130" s="104">
        <v>1</v>
      </c>
      <c r="AW130" s="104"/>
    </row>
    <row r="131" spans="1:49" x14ac:dyDescent="0.3">
      <c r="A131" s="43">
        <v>45</v>
      </c>
      <c r="B131" s="121" t="s">
        <v>49</v>
      </c>
      <c r="C131" s="36">
        <v>7092904</v>
      </c>
      <c r="D131" s="36" t="s">
        <v>130</v>
      </c>
      <c r="E131" s="37" t="s">
        <v>131</v>
      </c>
      <c r="F131" s="104">
        <v>1</v>
      </c>
      <c r="G131" s="104"/>
      <c r="H131" s="104">
        <v>1</v>
      </c>
      <c r="I131" s="104"/>
      <c r="J131" s="104"/>
      <c r="K131" s="104"/>
      <c r="L131" s="104">
        <v>1</v>
      </c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>
        <v>1</v>
      </c>
      <c r="X131" s="104"/>
      <c r="Y131" s="104"/>
      <c r="Z131" s="105">
        <v>1</v>
      </c>
      <c r="AA131" s="105">
        <v>1</v>
      </c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3">
      <c r="A132" s="43">
        <v>2</v>
      </c>
      <c r="B132" s="46" t="s">
        <v>46</v>
      </c>
      <c r="C132" s="36">
        <v>26804</v>
      </c>
      <c r="D132" s="36" t="s">
        <v>132</v>
      </c>
      <c r="E132" s="37" t="s">
        <v>133</v>
      </c>
      <c r="F132" s="104"/>
      <c r="G132" s="118"/>
      <c r="H132" s="118"/>
      <c r="I132" s="118"/>
      <c r="J132" s="118"/>
      <c r="K132" s="118"/>
      <c r="L132" s="118"/>
      <c r="M132" s="118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31"/>
      <c r="AA132" s="131"/>
      <c r="AB132" s="118"/>
      <c r="AC132" s="118"/>
      <c r="AD132" s="118"/>
      <c r="AE132" s="118"/>
      <c r="AF132" s="118"/>
      <c r="AG132" s="118"/>
      <c r="AH132" s="118"/>
      <c r="AI132" s="118"/>
      <c r="AJ132" s="118"/>
      <c r="AK132" s="118"/>
      <c r="AL132" s="118"/>
      <c r="AM132" s="118"/>
      <c r="AN132" s="118"/>
      <c r="AO132" s="118"/>
      <c r="AP132" s="118"/>
      <c r="AQ132" s="118"/>
      <c r="AR132" s="118"/>
      <c r="AS132" s="118"/>
      <c r="AT132" s="118"/>
      <c r="AU132" s="118"/>
      <c r="AV132" s="118"/>
      <c r="AW132" s="118"/>
    </row>
    <row r="133" spans="1:49" x14ac:dyDescent="0.3">
      <c r="A133" s="140">
        <v>108</v>
      </c>
      <c r="B133" s="38" t="s">
        <v>200</v>
      </c>
      <c r="C133" s="36">
        <v>7401055</v>
      </c>
      <c r="D133" s="36" t="s">
        <v>421</v>
      </c>
      <c r="E133" s="46" t="s">
        <v>422</v>
      </c>
      <c r="F133" s="104">
        <v>1</v>
      </c>
      <c r="G133" s="104"/>
      <c r="H133" s="104"/>
      <c r="I133" s="104">
        <v>1</v>
      </c>
      <c r="J133" s="104">
        <v>1</v>
      </c>
      <c r="K133" s="104">
        <v>1</v>
      </c>
      <c r="L133" s="104">
        <v>1</v>
      </c>
      <c r="M133" s="104">
        <v>1</v>
      </c>
      <c r="N133" s="104">
        <v>1</v>
      </c>
      <c r="O133" s="104"/>
      <c r="P133" s="104"/>
      <c r="Q133" s="104"/>
      <c r="R133" s="104">
        <v>1</v>
      </c>
      <c r="S133" s="104"/>
      <c r="T133" s="104"/>
      <c r="U133" s="104"/>
      <c r="V133" s="104"/>
      <c r="W133" s="104"/>
      <c r="X133" s="104"/>
      <c r="Y133" s="104"/>
      <c r="Z133" s="105">
        <v>1</v>
      </c>
      <c r="AA133" s="105">
        <v>1</v>
      </c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>
        <v>1</v>
      </c>
      <c r="AW133" s="104"/>
    </row>
    <row r="134" spans="1:49" x14ac:dyDescent="0.3">
      <c r="A134" s="140">
        <v>94</v>
      </c>
      <c r="B134" s="38" t="s">
        <v>49</v>
      </c>
      <c r="C134" s="104">
        <v>7400954</v>
      </c>
      <c r="D134" s="104" t="s">
        <v>375</v>
      </c>
      <c r="E134" s="104" t="s">
        <v>376</v>
      </c>
      <c r="F134" s="104">
        <v>1</v>
      </c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5">
        <v>1</v>
      </c>
      <c r="AA134" s="105">
        <v>1</v>
      </c>
      <c r="AB134" s="104"/>
      <c r="AC134" s="104"/>
      <c r="AD134" s="104"/>
      <c r="AE134" s="104"/>
      <c r="AF134" s="104">
        <v>1</v>
      </c>
      <c r="AG134" s="104"/>
      <c r="AH134" s="104"/>
      <c r="AI134" s="104">
        <v>1</v>
      </c>
      <c r="AJ134" s="104">
        <v>1</v>
      </c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3">
      <c r="A135" s="51"/>
      <c r="B135" s="38"/>
      <c r="C135" s="36">
        <v>7403383</v>
      </c>
      <c r="D135" s="36" t="s">
        <v>509</v>
      </c>
      <c r="E135" s="137" t="s">
        <v>510</v>
      </c>
      <c r="F135" s="104">
        <v>1</v>
      </c>
      <c r="G135" s="104"/>
      <c r="H135" s="104">
        <v>1</v>
      </c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>
        <v>1</v>
      </c>
      <c r="V135" s="104"/>
      <c r="W135" s="104"/>
      <c r="X135" s="104"/>
      <c r="Y135" s="104">
        <v>1</v>
      </c>
      <c r="Z135" s="105"/>
      <c r="AA135" s="105"/>
      <c r="AB135" s="115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3">
      <c r="A136" s="140">
        <v>200</v>
      </c>
      <c r="B136" s="38" t="s">
        <v>43</v>
      </c>
      <c r="C136" s="36">
        <v>7026786</v>
      </c>
      <c r="D136" s="36" t="s">
        <v>135</v>
      </c>
      <c r="E136" s="37" t="s">
        <v>101</v>
      </c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5"/>
      <c r="AA136" s="105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3">
      <c r="A137" s="43">
        <v>49</v>
      </c>
      <c r="B137" s="38" t="s">
        <v>49</v>
      </c>
      <c r="C137" s="36">
        <v>7093554</v>
      </c>
      <c r="D137" s="36" t="s">
        <v>136</v>
      </c>
      <c r="E137" s="37" t="s">
        <v>137</v>
      </c>
      <c r="F137" s="104">
        <v>1</v>
      </c>
      <c r="G137" s="104"/>
      <c r="H137" s="104">
        <v>1</v>
      </c>
      <c r="I137" s="104"/>
      <c r="J137" s="104"/>
      <c r="K137" s="104">
        <v>1</v>
      </c>
      <c r="L137" s="104"/>
      <c r="M137" s="104"/>
      <c r="N137" s="104"/>
      <c r="O137" s="104"/>
      <c r="P137" s="104"/>
      <c r="Q137" s="104"/>
      <c r="R137" s="104"/>
      <c r="S137" s="104"/>
      <c r="T137" s="104"/>
      <c r="U137" s="104">
        <v>1</v>
      </c>
      <c r="V137" s="104">
        <v>1</v>
      </c>
      <c r="W137" s="104">
        <v>1</v>
      </c>
      <c r="X137" s="104"/>
      <c r="Y137" s="104"/>
      <c r="Z137" s="105">
        <v>1</v>
      </c>
      <c r="AA137" s="105">
        <v>1</v>
      </c>
      <c r="AB137" s="104">
        <v>1</v>
      </c>
      <c r="AC137" s="104"/>
      <c r="AD137" s="104"/>
      <c r="AE137" s="104">
        <v>1</v>
      </c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>
        <v>1</v>
      </c>
      <c r="AW137" s="104"/>
    </row>
    <row r="138" spans="1:49" x14ac:dyDescent="0.3">
      <c r="A138" s="43">
        <v>100</v>
      </c>
      <c r="B138" s="38" t="s">
        <v>385</v>
      </c>
      <c r="C138" s="36">
        <v>7096593</v>
      </c>
      <c r="D138" s="36" t="s">
        <v>386</v>
      </c>
      <c r="E138" s="37" t="s">
        <v>196</v>
      </c>
      <c r="F138" s="104">
        <v>1</v>
      </c>
      <c r="G138" s="104"/>
      <c r="H138" s="104"/>
      <c r="I138" s="104"/>
      <c r="J138" s="104"/>
      <c r="K138" s="104"/>
      <c r="L138" s="104">
        <v>1</v>
      </c>
      <c r="M138" s="104"/>
      <c r="N138" s="104"/>
      <c r="O138" s="104"/>
      <c r="P138" s="104">
        <v>1</v>
      </c>
      <c r="Q138" s="104"/>
      <c r="R138" s="104"/>
      <c r="S138" s="104"/>
      <c r="T138" s="104"/>
      <c r="U138" s="104"/>
      <c r="V138" s="104"/>
      <c r="W138" s="104"/>
      <c r="X138" s="104"/>
      <c r="Y138" s="104"/>
      <c r="Z138" s="105">
        <v>1</v>
      </c>
      <c r="AA138" s="105">
        <v>1</v>
      </c>
      <c r="AB138" s="115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>
        <v>1</v>
      </c>
      <c r="AW138" s="104"/>
    </row>
    <row r="139" spans="1:49" x14ac:dyDescent="0.3">
      <c r="A139" s="43"/>
      <c r="B139" s="44"/>
      <c r="C139" s="38">
        <v>7095746</v>
      </c>
      <c r="D139" s="38" t="s">
        <v>471</v>
      </c>
      <c r="E139" s="38" t="s">
        <v>113</v>
      </c>
      <c r="F139" s="104">
        <v>1</v>
      </c>
      <c r="G139" s="104"/>
      <c r="H139" s="104"/>
      <c r="I139" s="104"/>
      <c r="J139" s="104"/>
      <c r="K139" s="104"/>
      <c r="L139" s="104">
        <v>1</v>
      </c>
      <c r="M139" s="104"/>
      <c r="N139" s="104"/>
      <c r="O139" s="104"/>
      <c r="P139" s="104"/>
      <c r="Q139" s="104"/>
      <c r="R139" s="104"/>
      <c r="S139" s="104"/>
      <c r="T139" s="104"/>
      <c r="U139" s="104">
        <v>1</v>
      </c>
      <c r="V139" s="104">
        <v>1</v>
      </c>
      <c r="W139" s="104"/>
      <c r="X139" s="104"/>
      <c r="Y139" s="104"/>
      <c r="Z139" s="105"/>
      <c r="AA139" s="105">
        <v>1</v>
      </c>
      <c r="AB139" s="115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>
        <v>1</v>
      </c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>
        <v>1</v>
      </c>
      <c r="AW139" s="104"/>
    </row>
    <row r="140" spans="1:49" x14ac:dyDescent="0.3">
      <c r="A140" s="43">
        <v>4</v>
      </c>
      <c r="B140" s="157" t="s">
        <v>343</v>
      </c>
      <c r="C140" s="36">
        <v>7027005</v>
      </c>
      <c r="D140" s="36" t="s">
        <v>138</v>
      </c>
      <c r="E140" s="137" t="s">
        <v>134</v>
      </c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5"/>
      <c r="AA140" s="105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3">
      <c r="A141" s="140">
        <v>54</v>
      </c>
      <c r="B141" s="38" t="s">
        <v>43</v>
      </c>
      <c r="C141" s="36">
        <v>7093548</v>
      </c>
      <c r="D141" s="36" t="s">
        <v>139</v>
      </c>
      <c r="E141" s="137" t="s">
        <v>140</v>
      </c>
      <c r="F141" s="104">
        <v>1</v>
      </c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5">
        <v>1</v>
      </c>
      <c r="AA141" s="105">
        <v>1</v>
      </c>
      <c r="AB141" s="104">
        <v>1</v>
      </c>
      <c r="AC141" s="104"/>
      <c r="AD141" s="104"/>
      <c r="AE141" s="104"/>
      <c r="AF141" s="104">
        <v>1</v>
      </c>
      <c r="AG141" s="104"/>
      <c r="AH141" s="104">
        <v>1</v>
      </c>
      <c r="AI141" s="104">
        <v>1</v>
      </c>
      <c r="AJ141" s="104">
        <v>1</v>
      </c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>
        <v>1</v>
      </c>
      <c r="AW141" s="104"/>
    </row>
    <row r="142" spans="1:49" x14ac:dyDescent="0.3">
      <c r="A142" s="43">
        <v>101</v>
      </c>
      <c r="B142" s="39" t="s">
        <v>49</v>
      </c>
      <c r="C142" s="52">
        <v>7095821</v>
      </c>
      <c r="D142" s="52" t="s">
        <v>139</v>
      </c>
      <c r="E142" s="52" t="s">
        <v>134</v>
      </c>
      <c r="F142" s="104">
        <v>1</v>
      </c>
      <c r="G142" s="104"/>
      <c r="H142" s="104"/>
      <c r="I142" s="104">
        <v>1</v>
      </c>
      <c r="J142" s="104">
        <v>1</v>
      </c>
      <c r="K142" s="104">
        <v>1</v>
      </c>
      <c r="L142" s="104">
        <v>1</v>
      </c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5">
        <v>1</v>
      </c>
      <c r="AA142" s="105">
        <v>1</v>
      </c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>
        <v>1</v>
      </c>
      <c r="AT142" s="104">
        <v>1</v>
      </c>
      <c r="AU142" s="104">
        <v>1</v>
      </c>
      <c r="AV142" s="104">
        <v>1</v>
      </c>
      <c r="AW142" s="104"/>
    </row>
    <row r="143" spans="1:49" x14ac:dyDescent="0.3">
      <c r="A143" s="43">
        <v>23</v>
      </c>
      <c r="B143" s="39" t="s">
        <v>42</v>
      </c>
      <c r="C143" s="36">
        <v>7051765</v>
      </c>
      <c r="D143" s="36" t="s">
        <v>139</v>
      </c>
      <c r="E143" s="37" t="s">
        <v>55</v>
      </c>
      <c r="F143" s="104">
        <v>1</v>
      </c>
      <c r="G143" s="104"/>
      <c r="H143" s="104">
        <v>1</v>
      </c>
      <c r="I143" s="104">
        <v>1</v>
      </c>
      <c r="J143" s="104">
        <v>1</v>
      </c>
      <c r="K143" s="104">
        <v>1</v>
      </c>
      <c r="L143" s="104">
        <v>1</v>
      </c>
      <c r="M143" s="104"/>
      <c r="N143" s="104">
        <v>1</v>
      </c>
      <c r="O143" s="104"/>
      <c r="P143" s="104"/>
      <c r="Q143" s="104">
        <v>1</v>
      </c>
      <c r="R143" s="104">
        <v>1</v>
      </c>
      <c r="S143" s="104">
        <v>1</v>
      </c>
      <c r="T143" s="104">
        <v>1</v>
      </c>
      <c r="U143" s="104"/>
      <c r="V143" s="104">
        <v>1</v>
      </c>
      <c r="W143" s="104"/>
      <c r="X143" s="104"/>
      <c r="Y143" s="104"/>
      <c r="Z143" s="105">
        <v>1</v>
      </c>
      <c r="AA143" s="105">
        <v>1</v>
      </c>
      <c r="AB143" s="104">
        <v>1</v>
      </c>
      <c r="AC143" s="104"/>
      <c r="AD143" s="104"/>
      <c r="AE143" s="104">
        <v>1</v>
      </c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>
        <v>1</v>
      </c>
      <c r="AU143" s="104">
        <v>1</v>
      </c>
      <c r="AV143" s="104">
        <v>1</v>
      </c>
      <c r="AW143" s="104"/>
    </row>
    <row r="144" spans="1:49" x14ac:dyDescent="0.3">
      <c r="A144" s="43"/>
      <c r="B144" s="39"/>
      <c r="C144" s="36">
        <v>7403386</v>
      </c>
      <c r="D144" s="36" t="s">
        <v>472</v>
      </c>
      <c r="E144" s="137" t="s">
        <v>186</v>
      </c>
      <c r="F144" s="104"/>
      <c r="G144" s="104"/>
      <c r="H144" s="104"/>
      <c r="I144" s="104">
        <v>1</v>
      </c>
      <c r="J144" s="104">
        <v>1</v>
      </c>
      <c r="K144" s="104">
        <v>1</v>
      </c>
      <c r="L144" s="104">
        <v>1</v>
      </c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5"/>
      <c r="AA144" s="105">
        <v>1</v>
      </c>
      <c r="AB144" s="115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3">
      <c r="A145" s="43">
        <v>129</v>
      </c>
      <c r="B145" s="39" t="s">
        <v>200</v>
      </c>
      <c r="C145" s="36">
        <v>7403076</v>
      </c>
      <c r="D145" s="53" t="s">
        <v>442</v>
      </c>
      <c r="E145" s="53" t="s">
        <v>443</v>
      </c>
      <c r="F145" s="104">
        <v>1</v>
      </c>
      <c r="G145" s="104"/>
      <c r="H145" s="104"/>
      <c r="I145" s="104"/>
      <c r="J145" s="104"/>
      <c r="K145" s="104">
        <v>1</v>
      </c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5">
        <v>1</v>
      </c>
      <c r="AA145" s="105">
        <v>1</v>
      </c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>
        <v>1</v>
      </c>
      <c r="AW145" s="104"/>
    </row>
    <row r="146" spans="1:49" x14ac:dyDescent="0.3">
      <c r="A146" s="43"/>
      <c r="B146" s="39"/>
      <c r="C146" s="36"/>
      <c r="D146" s="53"/>
      <c r="E146" s="53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5"/>
      <c r="AA146" s="105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8" spans="1:49" x14ac:dyDescent="0.3">
      <c r="E148" s="107" t="s">
        <v>218</v>
      </c>
      <c r="F148" s="120">
        <v>4</v>
      </c>
      <c r="G148" s="120">
        <v>5</v>
      </c>
      <c r="H148" s="120">
        <v>6</v>
      </c>
      <c r="I148" s="120">
        <v>7</v>
      </c>
      <c r="J148" s="120">
        <v>8</v>
      </c>
      <c r="K148" s="120">
        <v>9</v>
      </c>
      <c r="L148" s="120">
        <v>10</v>
      </c>
      <c r="M148" s="120">
        <v>11</v>
      </c>
      <c r="N148" s="120">
        <v>12</v>
      </c>
      <c r="O148" s="120">
        <v>13</v>
      </c>
      <c r="P148" s="120">
        <v>14</v>
      </c>
      <c r="Q148" s="120">
        <v>15</v>
      </c>
      <c r="R148" s="120">
        <v>16</v>
      </c>
      <c r="S148" s="120">
        <v>17</v>
      </c>
      <c r="T148" s="120">
        <v>18</v>
      </c>
      <c r="U148" s="120">
        <v>19</v>
      </c>
      <c r="V148" s="120">
        <v>20</v>
      </c>
      <c r="W148" s="120">
        <v>21</v>
      </c>
      <c r="X148" s="120">
        <v>22</v>
      </c>
      <c r="Y148" s="120">
        <v>23</v>
      </c>
      <c r="Z148" s="120">
        <v>24</v>
      </c>
      <c r="AA148" s="120">
        <v>25</v>
      </c>
      <c r="AB148" s="120">
        <v>26</v>
      </c>
      <c r="AC148" s="120">
        <v>27</v>
      </c>
      <c r="AD148" s="120">
        <v>28</v>
      </c>
      <c r="AE148" s="120">
        <v>29</v>
      </c>
      <c r="AF148" s="120">
        <v>30</v>
      </c>
      <c r="AG148" s="120">
        <v>31</v>
      </c>
      <c r="AH148" s="120">
        <v>32</v>
      </c>
      <c r="AI148" s="120">
        <v>33</v>
      </c>
      <c r="AJ148" s="120">
        <v>34</v>
      </c>
      <c r="AK148" s="120">
        <v>35</v>
      </c>
      <c r="AL148" s="120">
        <v>36</v>
      </c>
      <c r="AM148" s="120">
        <v>37</v>
      </c>
      <c r="AN148" s="120">
        <v>38</v>
      </c>
      <c r="AO148" s="120">
        <v>39</v>
      </c>
      <c r="AP148" s="120">
        <v>40</v>
      </c>
      <c r="AQ148" s="120">
        <v>41</v>
      </c>
      <c r="AR148" s="120">
        <v>42</v>
      </c>
      <c r="AS148" s="120">
        <v>43</v>
      </c>
      <c r="AT148" s="120">
        <v>44</v>
      </c>
      <c r="AU148" s="120">
        <v>45</v>
      </c>
      <c r="AV148" s="120">
        <v>46</v>
      </c>
      <c r="AW148" s="120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89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43" t="s">
        <v>219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</row>
    <row r="2" spans="1:14" ht="16.5" customHeight="1" x14ac:dyDescent="0.3">
      <c r="A2" s="65" t="s">
        <v>220</v>
      </c>
      <c r="B2" s="66">
        <v>42866</v>
      </c>
      <c r="C2" s="67" t="s">
        <v>221</v>
      </c>
      <c r="D2" s="68"/>
      <c r="E2" s="69"/>
      <c r="F2" s="70" t="s">
        <v>222</v>
      </c>
      <c r="G2" s="71"/>
      <c r="H2" s="72"/>
    </row>
    <row r="3" spans="1:14" ht="28.8" x14ac:dyDescent="0.3">
      <c r="A3" s="73" t="s">
        <v>223</v>
      </c>
      <c r="B3" s="73" t="s">
        <v>224</v>
      </c>
      <c r="C3" s="74" t="s">
        <v>225</v>
      </c>
      <c r="D3" s="73" t="s">
        <v>226</v>
      </c>
      <c r="E3" s="73" t="s">
        <v>227</v>
      </c>
      <c r="F3" s="74" t="s">
        <v>228</v>
      </c>
      <c r="G3" s="73" t="s">
        <v>229</v>
      </c>
      <c r="H3" s="73" t="s">
        <v>230</v>
      </c>
      <c r="I3" s="74" t="s">
        <v>231</v>
      </c>
      <c r="J3" s="73" t="s">
        <v>232</v>
      </c>
      <c r="K3" s="73" t="s">
        <v>233</v>
      </c>
      <c r="L3" s="73" t="s">
        <v>234</v>
      </c>
      <c r="M3" s="73" t="s">
        <v>235</v>
      </c>
      <c r="N3" s="75" t="s">
        <v>236</v>
      </c>
    </row>
    <row r="4" spans="1:14" x14ac:dyDescent="0.3">
      <c r="A4" s="76" t="s">
        <v>237</v>
      </c>
      <c r="B4" s="77"/>
      <c r="C4" s="78"/>
      <c r="D4" s="79"/>
      <c r="E4" s="79"/>
      <c r="F4" s="78"/>
      <c r="G4" s="79"/>
      <c r="H4" s="79"/>
      <c r="I4" s="78"/>
      <c r="J4" s="79"/>
      <c r="K4" s="79"/>
      <c r="L4" s="79"/>
      <c r="M4" s="79"/>
      <c r="N4" s="80"/>
    </row>
    <row r="5" spans="1:14" x14ac:dyDescent="0.3">
      <c r="A5" t="s">
        <v>238</v>
      </c>
      <c r="B5" s="81" t="s">
        <v>151</v>
      </c>
      <c r="C5" s="82">
        <v>4</v>
      </c>
      <c r="D5" s="81">
        <v>4</v>
      </c>
      <c r="E5" s="81">
        <f>C5*D5</f>
        <v>16</v>
      </c>
      <c r="F5" s="82">
        <v>3</v>
      </c>
      <c r="G5" s="81">
        <v>4</v>
      </c>
      <c r="H5" s="81">
        <f>F5*G5</f>
        <v>12</v>
      </c>
      <c r="I5" s="82" t="s">
        <v>239</v>
      </c>
      <c r="J5" s="81" t="s">
        <v>240</v>
      </c>
      <c r="K5" s="81"/>
      <c r="L5" s="81">
        <v>216531</v>
      </c>
      <c r="M5" s="81" t="s">
        <v>241</v>
      </c>
    </row>
    <row r="6" spans="1:14" x14ac:dyDescent="0.3">
      <c r="B6" s="81" t="s">
        <v>242</v>
      </c>
      <c r="C6" s="82">
        <v>1</v>
      </c>
      <c r="D6" s="81">
        <v>8</v>
      </c>
      <c r="E6" s="81">
        <f t="shared" ref="E6:E40" si="0">C6*D6</f>
        <v>8</v>
      </c>
      <c r="F6" s="82">
        <v>1</v>
      </c>
      <c r="G6" s="81">
        <v>6</v>
      </c>
      <c r="H6" s="81">
        <f t="shared" ref="H6:H40" si="1">F6*G6</f>
        <v>6</v>
      </c>
      <c r="I6" s="82" t="s">
        <v>243</v>
      </c>
      <c r="J6" s="81" t="s">
        <v>240</v>
      </c>
      <c r="K6" s="81"/>
      <c r="L6" s="81">
        <v>216565</v>
      </c>
      <c r="M6" s="81" t="s">
        <v>244</v>
      </c>
    </row>
    <row r="7" spans="1:14" x14ac:dyDescent="0.3">
      <c r="B7" s="81" t="s">
        <v>245</v>
      </c>
      <c r="C7" s="82">
        <v>1</v>
      </c>
      <c r="D7" s="81">
        <v>2</v>
      </c>
      <c r="E7" s="81">
        <v>2</v>
      </c>
      <c r="F7" s="82">
        <v>1</v>
      </c>
      <c r="G7" s="81">
        <v>2</v>
      </c>
      <c r="H7" s="81">
        <f t="shared" si="1"/>
        <v>2</v>
      </c>
      <c r="I7" s="82" t="s">
        <v>246</v>
      </c>
      <c r="J7" s="81" t="s">
        <v>240</v>
      </c>
      <c r="K7" s="81"/>
      <c r="L7" s="81">
        <v>216521</v>
      </c>
      <c r="M7" s="81" t="s">
        <v>244</v>
      </c>
    </row>
    <row r="8" spans="1:14" x14ac:dyDescent="0.3">
      <c r="B8" s="81" t="s">
        <v>247</v>
      </c>
      <c r="C8" s="82">
        <v>1</v>
      </c>
      <c r="D8" s="81">
        <v>2</v>
      </c>
      <c r="E8" s="81">
        <v>2</v>
      </c>
      <c r="F8" s="82"/>
      <c r="G8" s="81"/>
      <c r="H8" s="81"/>
      <c r="I8" s="82"/>
      <c r="J8" s="81"/>
      <c r="K8" s="81"/>
      <c r="L8" s="81"/>
      <c r="M8" s="81" t="s">
        <v>244</v>
      </c>
    </row>
    <row r="9" spans="1:14" x14ac:dyDescent="0.3">
      <c r="B9" s="81" t="s">
        <v>248</v>
      </c>
      <c r="C9" s="82">
        <v>1</v>
      </c>
      <c r="D9" s="81">
        <v>2</v>
      </c>
      <c r="E9" s="81">
        <f t="shared" si="0"/>
        <v>2</v>
      </c>
      <c r="F9" s="82">
        <v>1</v>
      </c>
      <c r="G9" s="81">
        <v>2</v>
      </c>
      <c r="H9" s="81">
        <f t="shared" si="1"/>
        <v>2</v>
      </c>
      <c r="I9" s="82" t="s">
        <v>249</v>
      </c>
      <c r="J9" s="83" t="s">
        <v>250</v>
      </c>
      <c r="K9" s="81" t="s">
        <v>251</v>
      </c>
      <c r="L9" s="81">
        <v>215770</v>
      </c>
      <c r="M9" s="81" t="s">
        <v>152</v>
      </c>
    </row>
    <row r="10" spans="1:14" x14ac:dyDescent="0.3">
      <c r="B10" s="81" t="s">
        <v>252</v>
      </c>
      <c r="C10" s="82">
        <v>1</v>
      </c>
      <c r="D10" s="81">
        <v>4</v>
      </c>
      <c r="E10" s="81">
        <f t="shared" si="0"/>
        <v>4</v>
      </c>
      <c r="F10" s="82">
        <v>1</v>
      </c>
      <c r="G10" s="81">
        <v>2</v>
      </c>
      <c r="H10" s="81">
        <f t="shared" si="1"/>
        <v>2</v>
      </c>
      <c r="I10" s="82" t="s">
        <v>253</v>
      </c>
      <c r="J10" s="81" t="s">
        <v>240</v>
      </c>
      <c r="K10" s="81"/>
      <c r="L10" s="81">
        <v>214660</v>
      </c>
      <c r="M10" s="81" t="s">
        <v>254</v>
      </c>
    </row>
    <row r="11" spans="1:14" x14ac:dyDescent="0.3">
      <c r="B11" s="81" t="s">
        <v>143</v>
      </c>
      <c r="C11" s="82">
        <v>2</v>
      </c>
      <c r="D11" s="81">
        <v>4</v>
      </c>
      <c r="E11" s="81">
        <f t="shared" si="0"/>
        <v>8</v>
      </c>
      <c r="F11" s="82">
        <v>2</v>
      </c>
      <c r="G11" s="81">
        <v>3</v>
      </c>
      <c r="H11" s="81">
        <f t="shared" si="1"/>
        <v>6</v>
      </c>
      <c r="I11" s="82" t="s">
        <v>255</v>
      </c>
      <c r="J11" s="81" t="s">
        <v>240</v>
      </c>
      <c r="K11" s="81"/>
      <c r="L11" s="81" t="s">
        <v>256</v>
      </c>
      <c r="M11" s="81" t="s">
        <v>257</v>
      </c>
    </row>
    <row r="12" spans="1:14" x14ac:dyDescent="0.3">
      <c r="B12" s="81" t="s">
        <v>258</v>
      </c>
      <c r="C12" s="82">
        <v>2</v>
      </c>
      <c r="D12" s="81">
        <v>4</v>
      </c>
      <c r="E12" s="81">
        <f t="shared" si="0"/>
        <v>8</v>
      </c>
      <c r="F12" s="82">
        <v>2</v>
      </c>
      <c r="G12" s="81">
        <v>3</v>
      </c>
      <c r="H12" s="81">
        <f t="shared" si="1"/>
        <v>6</v>
      </c>
      <c r="I12" s="82" t="s">
        <v>259</v>
      </c>
      <c r="J12" s="81" t="s">
        <v>240</v>
      </c>
      <c r="K12" s="81"/>
      <c r="L12" s="81">
        <v>214525</v>
      </c>
      <c r="M12" s="81" t="s">
        <v>260</v>
      </c>
    </row>
    <row r="13" spans="1:14" x14ac:dyDescent="0.3">
      <c r="B13" s="81" t="s">
        <v>261</v>
      </c>
      <c r="C13" s="82">
        <v>2</v>
      </c>
      <c r="D13" s="81">
        <v>4</v>
      </c>
      <c r="E13" s="81">
        <f t="shared" si="0"/>
        <v>8</v>
      </c>
      <c r="F13" s="82">
        <v>2</v>
      </c>
      <c r="G13" s="81">
        <v>3</v>
      </c>
      <c r="H13" s="81">
        <f t="shared" si="1"/>
        <v>6</v>
      </c>
      <c r="I13" s="82" t="s">
        <v>262</v>
      </c>
      <c r="J13" s="81" t="s">
        <v>240</v>
      </c>
      <c r="K13" s="81"/>
      <c r="L13" s="81">
        <v>214618</v>
      </c>
      <c r="M13" s="81" t="s">
        <v>263</v>
      </c>
    </row>
    <row r="14" spans="1:14" x14ac:dyDescent="0.3">
      <c r="B14" s="81"/>
      <c r="C14" s="82"/>
      <c r="D14" s="81"/>
      <c r="E14" s="81"/>
      <c r="F14" s="82"/>
      <c r="G14" s="81"/>
      <c r="H14" s="81"/>
      <c r="I14" s="82"/>
      <c r="J14" s="81"/>
      <c r="K14" s="81"/>
      <c r="L14" s="81"/>
      <c r="M14" s="81"/>
    </row>
    <row r="15" spans="1:14" x14ac:dyDescent="0.3">
      <c r="A15" t="s">
        <v>264</v>
      </c>
      <c r="B15" s="81" t="s">
        <v>151</v>
      </c>
      <c r="C15" s="82">
        <v>4</v>
      </c>
      <c r="D15" s="81">
        <v>4</v>
      </c>
      <c r="E15" s="81">
        <f t="shared" si="0"/>
        <v>16</v>
      </c>
      <c r="F15" s="82">
        <v>3</v>
      </c>
      <c r="G15" s="81">
        <v>4</v>
      </c>
      <c r="H15" s="81">
        <f t="shared" si="1"/>
        <v>12</v>
      </c>
      <c r="I15" s="82" t="s">
        <v>239</v>
      </c>
      <c r="J15" s="81" t="s">
        <v>240</v>
      </c>
      <c r="K15" s="81"/>
      <c r="L15" s="81">
        <v>216554</v>
      </c>
      <c r="M15" s="81" t="s">
        <v>265</v>
      </c>
    </row>
    <row r="16" spans="1:14" x14ac:dyDescent="0.3">
      <c r="B16" s="81" t="s">
        <v>266</v>
      </c>
      <c r="C16" s="82">
        <v>1</v>
      </c>
      <c r="D16" s="81">
        <v>8</v>
      </c>
      <c r="E16" s="81">
        <f t="shared" si="0"/>
        <v>8</v>
      </c>
      <c r="F16" s="82">
        <v>1</v>
      </c>
      <c r="G16" s="81">
        <v>6</v>
      </c>
      <c r="H16" s="81">
        <f t="shared" si="1"/>
        <v>6</v>
      </c>
      <c r="I16" s="82" t="s">
        <v>243</v>
      </c>
      <c r="J16" s="81" t="s">
        <v>240</v>
      </c>
      <c r="K16" s="81"/>
      <c r="L16" s="81">
        <v>216565</v>
      </c>
      <c r="M16" s="81" t="s">
        <v>244</v>
      </c>
    </row>
    <row r="17" spans="1:14" x14ac:dyDescent="0.3">
      <c r="B17" s="81" t="s">
        <v>267</v>
      </c>
      <c r="C17" s="82">
        <v>1</v>
      </c>
      <c r="D17" s="81">
        <v>8</v>
      </c>
      <c r="E17" s="81">
        <f t="shared" si="0"/>
        <v>8</v>
      </c>
      <c r="F17" s="82">
        <v>1</v>
      </c>
      <c r="G17" s="81">
        <v>6</v>
      </c>
      <c r="H17" s="81">
        <f t="shared" si="1"/>
        <v>6</v>
      </c>
      <c r="I17" s="82" t="s">
        <v>268</v>
      </c>
      <c r="J17" s="81" t="s">
        <v>240</v>
      </c>
      <c r="K17" s="81"/>
      <c r="L17" s="81" t="s">
        <v>269</v>
      </c>
      <c r="M17" s="81" t="s">
        <v>244</v>
      </c>
    </row>
    <row r="18" spans="1:14" x14ac:dyDescent="0.3">
      <c r="B18" s="81" t="s">
        <v>248</v>
      </c>
      <c r="C18" s="82">
        <v>1</v>
      </c>
      <c r="D18" s="81">
        <v>2</v>
      </c>
      <c r="E18" s="81">
        <f t="shared" si="0"/>
        <v>2</v>
      </c>
      <c r="F18" s="82">
        <v>1</v>
      </c>
      <c r="G18" s="81">
        <v>2</v>
      </c>
      <c r="H18" s="81">
        <f t="shared" si="1"/>
        <v>2</v>
      </c>
      <c r="I18" s="82" t="s">
        <v>249</v>
      </c>
      <c r="J18" s="81" t="s">
        <v>240</v>
      </c>
      <c r="K18" s="81"/>
      <c r="L18" s="81" t="s">
        <v>270</v>
      </c>
      <c r="M18" s="81" t="s">
        <v>152</v>
      </c>
    </row>
    <row r="19" spans="1:14" x14ac:dyDescent="0.3">
      <c r="B19" s="81" t="s">
        <v>252</v>
      </c>
      <c r="C19" s="82">
        <v>1</v>
      </c>
      <c r="D19" s="81">
        <v>4</v>
      </c>
      <c r="E19" s="81">
        <f t="shared" si="0"/>
        <v>4</v>
      </c>
      <c r="F19" s="82">
        <v>1</v>
      </c>
      <c r="G19" s="81">
        <v>3</v>
      </c>
      <c r="H19" s="81">
        <f t="shared" si="1"/>
        <v>3</v>
      </c>
      <c r="I19" s="82" t="s">
        <v>271</v>
      </c>
      <c r="J19" s="81" t="s">
        <v>240</v>
      </c>
      <c r="K19" s="81"/>
      <c r="L19" s="81" t="s">
        <v>272</v>
      </c>
      <c r="M19" s="81" t="s">
        <v>254</v>
      </c>
    </row>
    <row r="20" spans="1:14" x14ac:dyDescent="0.3">
      <c r="B20" s="81" t="s">
        <v>143</v>
      </c>
      <c r="C20" s="82">
        <v>2</v>
      </c>
      <c r="D20" s="81">
        <v>4</v>
      </c>
      <c r="E20" s="81">
        <f t="shared" si="0"/>
        <v>8</v>
      </c>
      <c r="F20" s="82">
        <v>2</v>
      </c>
      <c r="G20" s="81">
        <v>3</v>
      </c>
      <c r="H20" s="81">
        <f t="shared" si="1"/>
        <v>6</v>
      </c>
      <c r="I20" s="82" t="s">
        <v>255</v>
      </c>
      <c r="J20" s="81" t="s">
        <v>240</v>
      </c>
      <c r="K20" s="81"/>
      <c r="L20" s="81" t="s">
        <v>256</v>
      </c>
      <c r="M20" s="81" t="s">
        <v>273</v>
      </c>
    </row>
    <row r="21" spans="1:14" x14ac:dyDescent="0.3">
      <c r="B21" s="81" t="s">
        <v>274</v>
      </c>
      <c r="C21" s="82">
        <v>4</v>
      </c>
      <c r="D21" s="81">
        <v>4</v>
      </c>
      <c r="E21" s="81">
        <f t="shared" si="0"/>
        <v>16</v>
      </c>
      <c r="F21" s="82">
        <v>3</v>
      </c>
      <c r="G21" s="81">
        <v>4</v>
      </c>
      <c r="H21" s="81">
        <f t="shared" si="1"/>
        <v>12</v>
      </c>
      <c r="I21" s="82" t="s">
        <v>275</v>
      </c>
      <c r="J21" s="81" t="s">
        <v>240</v>
      </c>
      <c r="K21" s="81"/>
      <c r="L21" s="81">
        <v>214551</v>
      </c>
      <c r="M21" s="81" t="s">
        <v>276</v>
      </c>
      <c r="N21" s="98" t="s">
        <v>340</v>
      </c>
    </row>
    <row r="22" spans="1:14" x14ac:dyDescent="0.3">
      <c r="B22" s="81" t="s">
        <v>277</v>
      </c>
      <c r="C22" s="82">
        <v>1</v>
      </c>
      <c r="D22" s="81">
        <v>2</v>
      </c>
      <c r="E22" s="81">
        <f t="shared" si="0"/>
        <v>2</v>
      </c>
      <c r="F22" s="82">
        <v>1</v>
      </c>
      <c r="G22" s="81">
        <v>2</v>
      </c>
      <c r="H22" s="81">
        <f t="shared" si="1"/>
        <v>2</v>
      </c>
      <c r="I22" s="82" t="s">
        <v>278</v>
      </c>
      <c r="J22" s="81" t="s">
        <v>240</v>
      </c>
      <c r="K22" s="81"/>
      <c r="L22" s="81">
        <v>214475</v>
      </c>
      <c r="M22" s="81" t="s">
        <v>279</v>
      </c>
    </row>
    <row r="23" spans="1:14" x14ac:dyDescent="0.3">
      <c r="B23" s="81" t="s">
        <v>280</v>
      </c>
      <c r="C23" s="82">
        <v>1</v>
      </c>
      <c r="D23" s="81">
        <v>2</v>
      </c>
      <c r="E23" s="81">
        <f t="shared" si="0"/>
        <v>2</v>
      </c>
      <c r="F23" s="82">
        <v>1</v>
      </c>
      <c r="G23" s="81">
        <v>2</v>
      </c>
      <c r="H23" s="81">
        <f t="shared" si="1"/>
        <v>2</v>
      </c>
      <c r="I23" s="82" t="s">
        <v>278</v>
      </c>
      <c r="J23" s="81" t="s">
        <v>240</v>
      </c>
      <c r="K23" s="81"/>
      <c r="L23" s="81">
        <v>214464</v>
      </c>
      <c r="M23" s="81" t="s">
        <v>279</v>
      </c>
    </row>
    <row r="24" spans="1:14" x14ac:dyDescent="0.3">
      <c r="B24" s="81" t="s">
        <v>281</v>
      </c>
      <c r="C24" s="82">
        <v>1</v>
      </c>
      <c r="D24" s="81">
        <v>2</v>
      </c>
      <c r="E24" s="81">
        <f t="shared" si="0"/>
        <v>2</v>
      </c>
      <c r="F24" s="82">
        <v>1</v>
      </c>
      <c r="G24" s="81">
        <v>2</v>
      </c>
      <c r="H24" s="81">
        <f t="shared" si="1"/>
        <v>2</v>
      </c>
      <c r="I24" s="82" t="s">
        <v>282</v>
      </c>
      <c r="J24" s="83" t="s">
        <v>250</v>
      </c>
      <c r="K24" s="81"/>
      <c r="L24" s="81"/>
      <c r="M24" s="81" t="s">
        <v>279</v>
      </c>
    </row>
    <row r="25" spans="1:14" x14ac:dyDescent="0.3">
      <c r="B25" s="81" t="s">
        <v>283</v>
      </c>
      <c r="C25" s="82">
        <v>1</v>
      </c>
      <c r="D25" s="81">
        <v>2</v>
      </c>
      <c r="E25" s="81">
        <f t="shared" si="0"/>
        <v>2</v>
      </c>
      <c r="F25" s="82">
        <v>1</v>
      </c>
      <c r="G25" s="81">
        <v>2</v>
      </c>
      <c r="H25" s="81">
        <f t="shared" si="1"/>
        <v>2</v>
      </c>
      <c r="I25" s="82" t="s">
        <v>282</v>
      </c>
      <c r="J25" s="83" t="s">
        <v>250</v>
      </c>
      <c r="K25" s="81"/>
      <c r="L25" s="81"/>
      <c r="M25" s="81" t="s">
        <v>279</v>
      </c>
    </row>
    <row r="26" spans="1:14" x14ac:dyDescent="0.3">
      <c r="B26" s="81" t="s">
        <v>284</v>
      </c>
      <c r="C26" s="82">
        <v>1</v>
      </c>
      <c r="D26" s="81">
        <v>2</v>
      </c>
      <c r="E26" s="81">
        <f t="shared" si="0"/>
        <v>2</v>
      </c>
      <c r="F26" s="82">
        <v>1</v>
      </c>
      <c r="G26" s="81">
        <v>2</v>
      </c>
      <c r="H26" s="81">
        <f t="shared" si="1"/>
        <v>2</v>
      </c>
      <c r="I26" s="82" t="s">
        <v>282</v>
      </c>
      <c r="J26" s="81" t="s">
        <v>240</v>
      </c>
      <c r="K26" s="81"/>
      <c r="L26" s="81">
        <v>214419</v>
      </c>
      <c r="M26" s="81" t="s">
        <v>285</v>
      </c>
    </row>
    <row r="27" spans="1:14" x14ac:dyDescent="0.3">
      <c r="B27" s="81" t="s">
        <v>212</v>
      </c>
      <c r="C27" s="82">
        <v>1</v>
      </c>
      <c r="D27" s="81">
        <v>2</v>
      </c>
      <c r="E27" s="81">
        <f t="shared" si="0"/>
        <v>2</v>
      </c>
      <c r="F27" s="82">
        <v>1</v>
      </c>
      <c r="G27" s="81">
        <v>2</v>
      </c>
      <c r="H27" s="81">
        <f t="shared" si="1"/>
        <v>2</v>
      </c>
      <c r="I27" s="82" t="s">
        <v>282</v>
      </c>
      <c r="J27" s="83" t="s">
        <v>250</v>
      </c>
      <c r="K27" s="81"/>
      <c r="L27" s="81"/>
      <c r="M27" s="81" t="s">
        <v>285</v>
      </c>
    </row>
    <row r="28" spans="1:14" hidden="1" x14ac:dyDescent="0.3">
      <c r="B28" s="81"/>
      <c r="C28" s="82"/>
      <c r="D28" s="81"/>
      <c r="E28" s="81"/>
      <c r="F28" s="82"/>
      <c r="G28" s="81"/>
      <c r="H28" s="81"/>
      <c r="I28" s="82"/>
      <c r="J28" s="81"/>
      <c r="K28" s="81"/>
      <c r="L28" s="81"/>
      <c r="M28" s="81"/>
    </row>
    <row r="29" spans="1:14" hidden="1" x14ac:dyDescent="0.3">
      <c r="A29" t="s">
        <v>286</v>
      </c>
      <c r="B29" s="81" t="s">
        <v>151</v>
      </c>
      <c r="C29" s="82">
        <v>4</v>
      </c>
      <c r="D29" s="81">
        <v>4</v>
      </c>
      <c r="E29" s="81">
        <f t="shared" si="0"/>
        <v>16</v>
      </c>
      <c r="F29" s="82">
        <v>3</v>
      </c>
      <c r="G29" s="81">
        <v>4</v>
      </c>
      <c r="H29" s="81">
        <f t="shared" si="1"/>
        <v>12</v>
      </c>
      <c r="I29" s="82" t="s">
        <v>239</v>
      </c>
      <c r="J29" s="81" t="s">
        <v>240</v>
      </c>
      <c r="K29" s="81"/>
      <c r="L29" s="81">
        <v>216562</v>
      </c>
      <c r="M29" s="81" t="s">
        <v>287</v>
      </c>
    </row>
    <row r="30" spans="1:14" hidden="1" x14ac:dyDescent="0.3">
      <c r="B30" s="81" t="s">
        <v>288</v>
      </c>
      <c r="C30" s="82">
        <v>1</v>
      </c>
      <c r="D30" s="81">
        <v>8</v>
      </c>
      <c r="E30" s="81">
        <f t="shared" si="0"/>
        <v>8</v>
      </c>
      <c r="F30" s="82">
        <v>1</v>
      </c>
      <c r="G30" s="81">
        <v>6</v>
      </c>
      <c r="H30" s="81">
        <f t="shared" si="1"/>
        <v>6</v>
      </c>
      <c r="I30" s="82" t="s">
        <v>243</v>
      </c>
      <c r="J30" s="81" t="s">
        <v>240</v>
      </c>
      <c r="K30" s="81"/>
      <c r="L30" s="81">
        <v>216565</v>
      </c>
      <c r="M30" s="81" t="s">
        <v>244</v>
      </c>
    </row>
    <row r="31" spans="1:14" hidden="1" x14ac:dyDescent="0.3">
      <c r="B31" s="81" t="s">
        <v>248</v>
      </c>
      <c r="C31" s="82">
        <v>1</v>
      </c>
      <c r="D31" s="81">
        <v>2</v>
      </c>
      <c r="E31" s="81">
        <f t="shared" si="0"/>
        <v>2</v>
      </c>
      <c r="F31" s="82">
        <v>1</v>
      </c>
      <c r="G31" s="81">
        <v>2</v>
      </c>
      <c r="H31" s="81">
        <f t="shared" si="1"/>
        <v>2</v>
      </c>
      <c r="I31" s="82" t="s">
        <v>249</v>
      </c>
      <c r="J31" s="83" t="s">
        <v>250</v>
      </c>
      <c r="K31" s="81" t="s">
        <v>251</v>
      </c>
      <c r="L31" s="81">
        <v>215770</v>
      </c>
      <c r="M31" s="81" t="s">
        <v>152</v>
      </c>
    </row>
    <row r="32" spans="1:14" hidden="1" x14ac:dyDescent="0.3">
      <c r="B32" s="81" t="s">
        <v>252</v>
      </c>
      <c r="C32" s="82">
        <v>1</v>
      </c>
      <c r="D32" s="81">
        <v>4</v>
      </c>
      <c r="E32" s="81">
        <f t="shared" si="0"/>
        <v>4</v>
      </c>
      <c r="F32" s="82">
        <v>1</v>
      </c>
      <c r="G32" s="81">
        <v>2</v>
      </c>
      <c r="H32" s="81">
        <f t="shared" si="1"/>
        <v>2</v>
      </c>
      <c r="I32" s="82" t="s">
        <v>271</v>
      </c>
      <c r="J32" s="83" t="s">
        <v>250</v>
      </c>
      <c r="K32" s="81"/>
      <c r="L32" s="81"/>
      <c r="M32" s="81" t="s">
        <v>254</v>
      </c>
    </row>
    <row r="33" spans="1:14" hidden="1" x14ac:dyDescent="0.3">
      <c r="B33" s="81" t="s">
        <v>143</v>
      </c>
      <c r="C33" s="82">
        <v>2</v>
      </c>
      <c r="D33" s="81">
        <v>4</v>
      </c>
      <c r="E33" s="81">
        <f t="shared" si="0"/>
        <v>8</v>
      </c>
      <c r="F33" s="82">
        <v>2</v>
      </c>
      <c r="G33" s="81">
        <v>3</v>
      </c>
      <c r="H33" s="81">
        <f t="shared" si="1"/>
        <v>6</v>
      </c>
      <c r="I33" s="82" t="s">
        <v>255</v>
      </c>
      <c r="J33" s="81" t="s">
        <v>240</v>
      </c>
      <c r="K33" s="81"/>
      <c r="L33" s="81" t="s">
        <v>256</v>
      </c>
      <c r="M33" s="81" t="s">
        <v>273</v>
      </c>
    </row>
    <row r="34" spans="1:14" hidden="1" x14ac:dyDescent="0.3">
      <c r="B34" s="81" t="s">
        <v>258</v>
      </c>
      <c r="C34" s="82">
        <v>2</v>
      </c>
      <c r="D34" s="81">
        <v>4</v>
      </c>
      <c r="E34" s="81">
        <f t="shared" si="0"/>
        <v>8</v>
      </c>
      <c r="F34" s="82">
        <v>2</v>
      </c>
      <c r="G34" s="81">
        <v>3</v>
      </c>
      <c r="H34" s="81">
        <f t="shared" si="1"/>
        <v>6</v>
      </c>
      <c r="I34" s="82" t="s">
        <v>259</v>
      </c>
      <c r="J34" s="81" t="s">
        <v>240</v>
      </c>
      <c r="K34" s="81"/>
      <c r="L34" s="81">
        <v>214588</v>
      </c>
      <c r="M34" s="81" t="s">
        <v>260</v>
      </c>
    </row>
    <row r="35" spans="1:14" x14ac:dyDescent="0.3">
      <c r="B35" s="81"/>
      <c r="C35" s="82"/>
      <c r="D35" s="81"/>
      <c r="E35" s="81"/>
      <c r="F35" s="82"/>
      <c r="G35" s="81"/>
      <c r="H35" s="81"/>
      <c r="I35" s="82"/>
      <c r="J35" s="81"/>
      <c r="K35" s="81"/>
      <c r="L35" s="81"/>
      <c r="M35" s="81"/>
    </row>
    <row r="36" spans="1:14" x14ac:dyDescent="0.3">
      <c r="A36" t="s">
        <v>289</v>
      </c>
      <c r="B36" s="81" t="s">
        <v>210</v>
      </c>
      <c r="C36" s="82">
        <v>2</v>
      </c>
      <c r="D36" s="81">
        <v>4</v>
      </c>
      <c r="E36" s="81">
        <f t="shared" si="0"/>
        <v>8</v>
      </c>
      <c r="F36" s="82">
        <v>1</v>
      </c>
      <c r="G36" s="81">
        <v>4</v>
      </c>
      <c r="H36" s="81">
        <f t="shared" si="1"/>
        <v>4</v>
      </c>
      <c r="I36" s="82" t="s">
        <v>290</v>
      </c>
      <c r="J36" s="81" t="s">
        <v>240</v>
      </c>
      <c r="K36" s="84" t="s">
        <v>291</v>
      </c>
      <c r="L36" s="81">
        <v>214341</v>
      </c>
      <c r="M36" s="81" t="s">
        <v>292</v>
      </c>
    </row>
    <row r="37" spans="1:14" x14ac:dyDescent="0.3">
      <c r="B37" s="81" t="s">
        <v>211</v>
      </c>
      <c r="C37" s="82">
        <v>3</v>
      </c>
      <c r="D37" s="81">
        <v>4</v>
      </c>
      <c r="E37" s="81">
        <f t="shared" si="0"/>
        <v>12</v>
      </c>
      <c r="F37" s="82">
        <v>2</v>
      </c>
      <c r="G37" s="81">
        <v>4</v>
      </c>
      <c r="H37" s="81">
        <f t="shared" si="1"/>
        <v>8</v>
      </c>
      <c r="I37" s="82" t="s">
        <v>293</v>
      </c>
      <c r="J37" s="81" t="s">
        <v>240</v>
      </c>
      <c r="K37" s="81"/>
      <c r="L37" s="81">
        <v>215595</v>
      </c>
      <c r="M37" s="81" t="s">
        <v>292</v>
      </c>
    </row>
    <row r="38" spans="1:14" x14ac:dyDescent="0.3">
      <c r="B38" s="81" t="s">
        <v>150</v>
      </c>
      <c r="C38" s="82">
        <v>1</v>
      </c>
      <c r="D38" s="81">
        <v>4</v>
      </c>
      <c r="E38" s="81">
        <f t="shared" si="0"/>
        <v>4</v>
      </c>
      <c r="F38" s="82">
        <v>1</v>
      </c>
      <c r="G38" s="81">
        <v>2</v>
      </c>
      <c r="H38" s="81">
        <f t="shared" si="1"/>
        <v>2</v>
      </c>
      <c r="I38" s="82" t="s">
        <v>294</v>
      </c>
      <c r="J38" s="81" t="s">
        <v>240</v>
      </c>
      <c r="K38" s="81"/>
      <c r="L38" s="81">
        <v>214347</v>
      </c>
      <c r="M38" s="81" t="s">
        <v>295</v>
      </c>
    </row>
    <row r="39" spans="1:14" x14ac:dyDescent="0.3">
      <c r="B39" s="81" t="s">
        <v>296</v>
      </c>
      <c r="C39" s="82">
        <v>2</v>
      </c>
      <c r="D39" s="81">
        <v>4</v>
      </c>
      <c r="E39" s="81">
        <f t="shared" si="0"/>
        <v>8</v>
      </c>
      <c r="F39" s="82">
        <v>1</v>
      </c>
      <c r="G39" s="81">
        <v>3</v>
      </c>
      <c r="H39" s="81">
        <f t="shared" si="1"/>
        <v>3</v>
      </c>
      <c r="I39" s="82" t="s">
        <v>297</v>
      </c>
      <c r="J39" s="81" t="s">
        <v>240</v>
      </c>
      <c r="K39" s="81" t="s">
        <v>291</v>
      </c>
      <c r="L39" s="81">
        <v>214329</v>
      </c>
      <c r="M39" s="81" t="s">
        <v>298</v>
      </c>
    </row>
    <row r="40" spans="1:14" x14ac:dyDescent="0.3">
      <c r="B40" s="81" t="s">
        <v>148</v>
      </c>
      <c r="C40" s="82">
        <v>1</v>
      </c>
      <c r="D40" s="81">
        <v>3</v>
      </c>
      <c r="E40" s="81">
        <f t="shared" si="0"/>
        <v>3</v>
      </c>
      <c r="F40" s="82">
        <v>1</v>
      </c>
      <c r="G40" s="81">
        <v>3</v>
      </c>
      <c r="H40" s="81">
        <f t="shared" si="1"/>
        <v>3</v>
      </c>
      <c r="I40" s="82" t="s">
        <v>299</v>
      </c>
      <c r="J40" s="83" t="s">
        <v>250</v>
      </c>
      <c r="K40" s="81" t="s">
        <v>300</v>
      </c>
      <c r="L40" s="81">
        <v>214687</v>
      </c>
      <c r="M40" s="81" t="s">
        <v>301</v>
      </c>
    </row>
    <row r="41" spans="1:14" x14ac:dyDescent="0.3">
      <c r="A41" s="85" t="s">
        <v>302</v>
      </c>
      <c r="B41" s="81"/>
      <c r="C41" s="86"/>
      <c r="D41" s="81"/>
      <c r="E41" s="81"/>
      <c r="F41" s="86"/>
      <c r="G41" s="81"/>
      <c r="H41" s="81"/>
      <c r="I41" s="86"/>
      <c r="J41" s="84"/>
      <c r="K41" s="81"/>
      <c r="L41" s="81"/>
      <c r="M41" s="81"/>
    </row>
    <row r="42" spans="1:14" x14ac:dyDescent="0.3">
      <c r="A42" s="87" t="s">
        <v>303</v>
      </c>
      <c r="B42" s="88"/>
      <c r="C42" s="81"/>
      <c r="D42" s="81"/>
      <c r="E42" s="81"/>
      <c r="F42" s="81"/>
      <c r="G42" s="81"/>
      <c r="H42" s="81"/>
      <c r="N42" s="99" t="s">
        <v>341</v>
      </c>
    </row>
    <row r="43" spans="1:14" x14ac:dyDescent="0.3">
      <c r="A43" t="s">
        <v>304</v>
      </c>
      <c r="B43" s="89" t="s">
        <v>305</v>
      </c>
      <c r="C43" s="90">
        <v>4</v>
      </c>
      <c r="D43" s="81">
        <v>8</v>
      </c>
      <c r="E43" s="91">
        <f t="shared" ref="E43:E63" si="2">C43*D43</f>
        <v>32</v>
      </c>
      <c r="F43" s="90">
        <v>4</v>
      </c>
      <c r="G43" s="81">
        <v>8</v>
      </c>
      <c r="H43" s="91">
        <f t="shared" ref="H43:H47" si="3">F43*G43</f>
        <v>32</v>
      </c>
      <c r="I43" s="61" t="s">
        <v>306</v>
      </c>
      <c r="J43" s="84" t="s">
        <v>240</v>
      </c>
      <c r="L43" s="81">
        <v>214840</v>
      </c>
      <c r="M43" s="81" t="s">
        <v>307</v>
      </c>
    </row>
    <row r="44" spans="1:14" x14ac:dyDescent="0.3">
      <c r="B44" s="89" t="s">
        <v>308</v>
      </c>
      <c r="C44" s="90">
        <v>4</v>
      </c>
      <c r="D44" s="81">
        <v>8</v>
      </c>
      <c r="E44" s="91">
        <f t="shared" si="2"/>
        <v>32</v>
      </c>
      <c r="F44" s="90">
        <v>4</v>
      </c>
      <c r="G44" s="81">
        <v>8</v>
      </c>
      <c r="H44" s="91">
        <f t="shared" si="3"/>
        <v>32</v>
      </c>
      <c r="I44" s="61" t="s">
        <v>309</v>
      </c>
      <c r="J44" s="84" t="s">
        <v>240</v>
      </c>
      <c r="L44" t="s">
        <v>310</v>
      </c>
      <c r="M44" s="81" t="s">
        <v>311</v>
      </c>
      <c r="N44" t="s">
        <v>312</v>
      </c>
    </row>
    <row r="45" spans="1:14" x14ac:dyDescent="0.3">
      <c r="B45" s="89" t="s">
        <v>213</v>
      </c>
      <c r="C45" s="90">
        <v>1</v>
      </c>
      <c r="D45" s="81">
        <v>8</v>
      </c>
      <c r="E45" s="91">
        <f t="shared" si="2"/>
        <v>8</v>
      </c>
      <c r="F45" s="90">
        <v>1</v>
      </c>
      <c r="G45" s="81">
        <v>8</v>
      </c>
      <c r="H45" s="91">
        <f t="shared" si="3"/>
        <v>8</v>
      </c>
      <c r="I45" s="61" t="s">
        <v>313</v>
      </c>
      <c r="J45" s="84" t="s">
        <v>240</v>
      </c>
      <c r="L45" s="81">
        <v>214835</v>
      </c>
      <c r="M45" s="81" t="s">
        <v>314</v>
      </c>
    </row>
    <row r="46" spans="1:14" x14ac:dyDescent="0.3">
      <c r="B46" s="89" t="s">
        <v>214</v>
      </c>
      <c r="C46" s="90">
        <v>2</v>
      </c>
      <c r="D46" s="81">
        <v>8</v>
      </c>
      <c r="E46" s="91">
        <f t="shared" si="2"/>
        <v>16</v>
      </c>
      <c r="F46" s="90">
        <v>2</v>
      </c>
      <c r="G46" s="81">
        <v>8</v>
      </c>
      <c r="H46" s="91">
        <f t="shared" si="3"/>
        <v>16</v>
      </c>
      <c r="I46" s="61" t="s">
        <v>315</v>
      </c>
      <c r="J46" s="81" t="s">
        <v>240</v>
      </c>
      <c r="L46" t="s">
        <v>316</v>
      </c>
      <c r="M46" s="81" t="s">
        <v>314</v>
      </c>
    </row>
    <row r="47" spans="1:14" x14ac:dyDescent="0.3">
      <c r="B47" s="89" t="s">
        <v>215</v>
      </c>
      <c r="C47" s="90">
        <v>2</v>
      </c>
      <c r="D47" s="81">
        <v>16</v>
      </c>
      <c r="E47" s="91">
        <f t="shared" si="2"/>
        <v>32</v>
      </c>
      <c r="F47" s="90">
        <v>2</v>
      </c>
      <c r="G47" s="81">
        <v>16</v>
      </c>
      <c r="H47" s="91">
        <f t="shared" si="3"/>
        <v>32</v>
      </c>
      <c r="J47" s="97" t="s">
        <v>317</v>
      </c>
      <c r="M47" s="81" t="s">
        <v>314</v>
      </c>
    </row>
    <row r="48" spans="1:14" x14ac:dyDescent="0.3">
      <c r="A48" s="92" t="s">
        <v>318</v>
      </c>
      <c r="B48" s="93"/>
      <c r="L48" s="81"/>
    </row>
    <row r="49" spans="1:13" x14ac:dyDescent="0.3">
      <c r="A49" t="s">
        <v>238</v>
      </c>
      <c r="B49" s="89" t="s">
        <v>151</v>
      </c>
      <c r="C49" s="90">
        <v>2</v>
      </c>
      <c r="D49" s="86">
        <v>1</v>
      </c>
      <c r="E49" s="91">
        <f t="shared" si="2"/>
        <v>2</v>
      </c>
      <c r="F49" s="90">
        <v>2</v>
      </c>
      <c r="G49" s="86">
        <v>1</v>
      </c>
      <c r="H49" s="91">
        <f t="shared" ref="H49:H63" si="4">F49*G49</f>
        <v>2</v>
      </c>
      <c r="J49" s="81" t="s">
        <v>240</v>
      </c>
      <c r="L49" s="81">
        <v>216515</v>
      </c>
      <c r="M49" s="81" t="s">
        <v>319</v>
      </c>
    </row>
    <row r="50" spans="1:13" x14ac:dyDescent="0.3">
      <c r="B50" s="89" t="s">
        <v>320</v>
      </c>
      <c r="C50" s="90">
        <v>2</v>
      </c>
      <c r="D50" s="86">
        <v>1</v>
      </c>
      <c r="E50" s="91">
        <f t="shared" si="2"/>
        <v>2</v>
      </c>
      <c r="F50" s="90">
        <v>2</v>
      </c>
      <c r="G50" s="86">
        <v>1</v>
      </c>
      <c r="H50" s="91">
        <f t="shared" si="4"/>
        <v>2</v>
      </c>
      <c r="J50" s="81" t="s">
        <v>240</v>
      </c>
      <c r="L50" s="81">
        <v>216545</v>
      </c>
      <c r="M50" s="81" t="s">
        <v>321</v>
      </c>
    </row>
    <row r="51" spans="1:13" x14ac:dyDescent="0.3">
      <c r="B51" s="89" t="s">
        <v>23</v>
      </c>
      <c r="C51" s="90">
        <v>1</v>
      </c>
      <c r="D51" s="86">
        <v>3</v>
      </c>
      <c r="E51" s="91">
        <f t="shared" si="2"/>
        <v>3</v>
      </c>
      <c r="F51" s="90">
        <v>1</v>
      </c>
      <c r="G51" s="86">
        <v>3</v>
      </c>
      <c r="H51" s="91">
        <f t="shared" si="4"/>
        <v>3</v>
      </c>
      <c r="J51" s="81" t="s">
        <v>240</v>
      </c>
      <c r="L51" s="81">
        <v>215823</v>
      </c>
      <c r="M51" s="81" t="s">
        <v>322</v>
      </c>
    </row>
    <row r="52" spans="1:13" x14ac:dyDescent="0.3">
      <c r="B52" s="89" t="s">
        <v>323</v>
      </c>
      <c r="C52" s="94">
        <v>1</v>
      </c>
      <c r="D52" s="95">
        <v>1</v>
      </c>
      <c r="E52" s="96">
        <f t="shared" si="2"/>
        <v>1</v>
      </c>
      <c r="F52" s="90">
        <v>1</v>
      </c>
      <c r="G52" s="86">
        <v>1</v>
      </c>
      <c r="H52" s="91">
        <f t="shared" si="4"/>
        <v>1</v>
      </c>
      <c r="J52" s="81" t="s">
        <v>240</v>
      </c>
      <c r="L52" s="81">
        <v>215942</v>
      </c>
      <c r="M52" s="81" t="s">
        <v>324</v>
      </c>
    </row>
    <row r="53" spans="1:13" x14ac:dyDescent="0.3">
      <c r="B53" s="89" t="s">
        <v>325</v>
      </c>
      <c r="C53" s="94">
        <v>1</v>
      </c>
      <c r="D53" s="95">
        <v>1</v>
      </c>
      <c r="E53" s="96">
        <v>1</v>
      </c>
      <c r="F53" s="90"/>
      <c r="G53" s="86"/>
      <c r="H53" s="91"/>
      <c r="J53" s="81" t="s">
        <v>240</v>
      </c>
      <c r="L53" s="81">
        <v>214823</v>
      </c>
      <c r="M53" s="81" t="s">
        <v>324</v>
      </c>
    </row>
    <row r="54" spans="1:13" x14ac:dyDescent="0.3">
      <c r="A54" t="s">
        <v>264</v>
      </c>
      <c r="B54" s="89" t="s">
        <v>151</v>
      </c>
      <c r="C54" s="90">
        <v>2</v>
      </c>
      <c r="D54" s="86">
        <v>1</v>
      </c>
      <c r="E54" s="91">
        <f t="shared" si="2"/>
        <v>2</v>
      </c>
      <c r="F54" s="90">
        <v>2</v>
      </c>
      <c r="G54" s="86">
        <v>1</v>
      </c>
      <c r="H54" s="91">
        <f t="shared" si="4"/>
        <v>2</v>
      </c>
      <c r="J54" s="81" t="s">
        <v>240</v>
      </c>
      <c r="L54" s="81">
        <v>216552</v>
      </c>
      <c r="M54" s="81" t="s">
        <v>319</v>
      </c>
    </row>
    <row r="55" spans="1:13" x14ac:dyDescent="0.3">
      <c r="B55" s="89" t="s">
        <v>143</v>
      </c>
      <c r="C55" s="90">
        <v>1</v>
      </c>
      <c r="D55" s="86">
        <v>3</v>
      </c>
      <c r="E55" s="91">
        <f t="shared" si="2"/>
        <v>3</v>
      </c>
      <c r="F55" s="90">
        <v>1</v>
      </c>
      <c r="G55" s="86">
        <v>3</v>
      </c>
      <c r="H55" s="91">
        <f t="shared" si="4"/>
        <v>3</v>
      </c>
      <c r="J55" s="81" t="s">
        <v>240</v>
      </c>
      <c r="L55" s="81">
        <v>215961</v>
      </c>
      <c r="M55" s="81" t="s">
        <v>326</v>
      </c>
    </row>
    <row r="56" spans="1:13" x14ac:dyDescent="0.3">
      <c r="B56" s="89" t="s">
        <v>323</v>
      </c>
      <c r="C56" s="94">
        <v>1</v>
      </c>
      <c r="D56" s="95">
        <v>1</v>
      </c>
      <c r="E56" s="96">
        <f t="shared" si="2"/>
        <v>1</v>
      </c>
      <c r="F56" s="90">
        <v>1</v>
      </c>
      <c r="G56" s="86">
        <v>1</v>
      </c>
      <c r="H56" s="91">
        <f t="shared" si="4"/>
        <v>1</v>
      </c>
      <c r="J56" s="81" t="s">
        <v>240</v>
      </c>
      <c r="L56" s="81">
        <v>215942</v>
      </c>
      <c r="M56" s="81" t="s">
        <v>327</v>
      </c>
    </row>
    <row r="57" spans="1:13" x14ac:dyDescent="0.3">
      <c r="B57" s="89" t="s">
        <v>328</v>
      </c>
      <c r="C57" s="90">
        <v>1</v>
      </c>
      <c r="D57" s="86">
        <v>1</v>
      </c>
      <c r="E57" s="91">
        <f t="shared" si="2"/>
        <v>1</v>
      </c>
      <c r="F57" s="90">
        <v>1</v>
      </c>
      <c r="G57" s="86">
        <v>1</v>
      </c>
      <c r="H57" s="91">
        <f t="shared" si="4"/>
        <v>1</v>
      </c>
      <c r="J57" s="81" t="s">
        <v>240</v>
      </c>
      <c r="L57" s="81">
        <v>214828</v>
      </c>
      <c r="M57" s="81" t="s">
        <v>329</v>
      </c>
    </row>
    <row r="58" spans="1:13" x14ac:dyDescent="0.3">
      <c r="B58" s="89" t="s">
        <v>258</v>
      </c>
      <c r="C58" s="90">
        <v>1</v>
      </c>
      <c r="D58" s="86">
        <v>2</v>
      </c>
      <c r="E58" s="91">
        <f t="shared" si="2"/>
        <v>2</v>
      </c>
      <c r="F58" s="90">
        <v>1</v>
      </c>
      <c r="G58" s="86">
        <v>2</v>
      </c>
      <c r="H58" s="91">
        <f t="shared" si="4"/>
        <v>2</v>
      </c>
      <c r="J58" s="81" t="s">
        <v>240</v>
      </c>
      <c r="L58" s="81" t="s">
        <v>330</v>
      </c>
      <c r="M58" s="81" t="s">
        <v>331</v>
      </c>
    </row>
    <row r="59" spans="1:13" x14ac:dyDescent="0.3">
      <c r="A59" t="s">
        <v>289</v>
      </c>
      <c r="B59" s="89" t="s">
        <v>332</v>
      </c>
      <c r="C59" s="90">
        <v>2</v>
      </c>
      <c r="D59" s="86">
        <v>1</v>
      </c>
      <c r="E59" s="91">
        <f t="shared" si="2"/>
        <v>2</v>
      </c>
      <c r="F59" s="90">
        <v>2</v>
      </c>
      <c r="G59" s="86">
        <v>1</v>
      </c>
      <c r="H59" s="91">
        <f t="shared" si="4"/>
        <v>2</v>
      </c>
      <c r="J59" s="81" t="s">
        <v>240</v>
      </c>
      <c r="L59" s="81">
        <v>214338</v>
      </c>
      <c r="M59" s="81" t="s">
        <v>292</v>
      </c>
    </row>
    <row r="60" spans="1:13" x14ac:dyDescent="0.3">
      <c r="A60" t="s">
        <v>333</v>
      </c>
      <c r="B60" s="89" t="s">
        <v>208</v>
      </c>
      <c r="C60" s="90">
        <v>1</v>
      </c>
      <c r="D60" s="86">
        <v>2</v>
      </c>
      <c r="E60" s="91">
        <f t="shared" si="2"/>
        <v>2</v>
      </c>
      <c r="F60" s="90">
        <v>1</v>
      </c>
      <c r="G60" s="86">
        <v>1.5</v>
      </c>
      <c r="H60" s="91">
        <f t="shared" si="4"/>
        <v>1.5</v>
      </c>
      <c r="J60" s="81" t="s">
        <v>240</v>
      </c>
      <c r="L60" s="81">
        <v>214337</v>
      </c>
      <c r="M60" s="81" t="s">
        <v>334</v>
      </c>
    </row>
    <row r="61" spans="1:13" x14ac:dyDescent="0.3">
      <c r="A61" t="s">
        <v>335</v>
      </c>
      <c r="B61" s="89" t="s">
        <v>211</v>
      </c>
      <c r="C61" s="90">
        <v>4</v>
      </c>
      <c r="D61" s="86">
        <v>1</v>
      </c>
      <c r="E61" s="91">
        <f t="shared" si="2"/>
        <v>4</v>
      </c>
      <c r="F61" s="90">
        <v>4</v>
      </c>
      <c r="G61" s="86">
        <v>1</v>
      </c>
      <c r="H61" s="91">
        <f t="shared" si="4"/>
        <v>4</v>
      </c>
      <c r="J61" s="81" t="s">
        <v>240</v>
      </c>
      <c r="L61" s="81">
        <v>215600</v>
      </c>
      <c r="M61" s="81" t="s">
        <v>292</v>
      </c>
    </row>
    <row r="62" spans="1:13" x14ac:dyDescent="0.3">
      <c r="B62" s="89" t="s">
        <v>209</v>
      </c>
      <c r="C62" s="90">
        <v>1</v>
      </c>
      <c r="D62" s="86">
        <v>1.5</v>
      </c>
      <c r="E62" s="91">
        <f t="shared" si="2"/>
        <v>1.5</v>
      </c>
      <c r="F62" s="90">
        <v>1</v>
      </c>
      <c r="G62" s="86">
        <v>1.5</v>
      </c>
      <c r="H62" s="91">
        <f t="shared" si="4"/>
        <v>1.5</v>
      </c>
      <c r="J62" s="81" t="s">
        <v>240</v>
      </c>
      <c r="L62" s="81">
        <v>216567</v>
      </c>
      <c r="M62" s="81" t="s">
        <v>334</v>
      </c>
    </row>
    <row r="63" spans="1:13" x14ac:dyDescent="0.3">
      <c r="B63" s="89" t="s">
        <v>32</v>
      </c>
      <c r="C63" s="90">
        <v>1</v>
      </c>
      <c r="D63" s="86">
        <v>1</v>
      </c>
      <c r="E63" s="91">
        <f t="shared" si="2"/>
        <v>1</v>
      </c>
      <c r="F63" s="90">
        <v>1</v>
      </c>
      <c r="G63" s="86">
        <v>1</v>
      </c>
      <c r="H63" s="91">
        <f t="shared" si="4"/>
        <v>1</v>
      </c>
      <c r="J63" s="81" t="s">
        <v>240</v>
      </c>
      <c r="L63" s="81" t="s">
        <v>336</v>
      </c>
      <c r="M63" s="81" t="s">
        <v>337</v>
      </c>
    </row>
    <row r="64" spans="1:13" x14ac:dyDescent="0.3">
      <c r="A64" s="85" t="s">
        <v>338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2022-09-09T00:25:55Z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