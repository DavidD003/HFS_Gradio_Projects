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Cloned_Repositories\HFS_Gradio_Projects\Wknd_Sched_Builder\"/>
    </mc:Choice>
  </mc:AlternateContent>
  <xr:revisionPtr revIDLastSave="0" documentId="8_{F3D7C29C-E975-4DAA-87A3-C3A425C5744A}" xr6:coauthVersionLast="47" xr6:coauthVersionMax="47" xr10:uidLastSave="{00000000-0000-0000-0000-000000000000}"/>
  <bookViews>
    <workbookView xWindow="29760" yWindow="960" windowWidth="23790" windowHeight="14085" tabRatio="718" xr2:uid="{00000000-000D-0000-FFFF-FFFF00000000}"/>
  </bookViews>
  <sheets>
    <sheet name="Temp Refusal" sheetId="1" r:id="rId1"/>
    <sheet name="Look up" sheetId="2" r:id="rId2"/>
  </sheets>
  <definedNames>
    <definedName name="_xlnm._FilterDatabase" localSheetId="1" hidden="1">'Look up'!$A$2:$AT$148</definedName>
    <definedName name="_xlnm._FilterDatabase" localSheetId="0" hidden="1">'Temp Refusal'!$A$3:$AZ$4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Z4" i="1" l="1"/>
  <c r="BW4" i="1"/>
  <c r="BT4" i="1"/>
  <c r="BQ4" i="1"/>
  <c r="BN4" i="1"/>
  <c r="BK4" i="1"/>
  <c r="BH4" i="1"/>
  <c r="BE4" i="1"/>
  <c r="BB4" i="1"/>
</calcChain>
</file>

<file path=xl/sharedStrings.xml><?xml version="1.0" encoding="utf-8"?>
<sst xmlns="http://schemas.openxmlformats.org/spreadsheetml/2006/main" count="457" uniqueCount="354">
  <si>
    <t>Seniority</t>
  </si>
  <si>
    <t>Crew</t>
  </si>
  <si>
    <t>Empl.#</t>
  </si>
  <si>
    <t>Last Name</t>
  </si>
  <si>
    <t>First Name</t>
  </si>
  <si>
    <t>TOTAL OT HOURS (YTD - Worked &amp; Ref)</t>
  </si>
  <si>
    <t>Total Refused Hours</t>
  </si>
  <si>
    <t>Total Refused Hours charged</t>
  </si>
  <si>
    <t>Total Hours Worked</t>
  </si>
  <si>
    <t xml:space="preserve">Refused Hours PLUS Worked Hours </t>
  </si>
  <si>
    <t>Early/ Late</t>
  </si>
  <si>
    <t>BOTTLE SUPPLY</t>
  </si>
  <si>
    <t>DEPAL RESTRICTED</t>
  </si>
  <si>
    <t>LINE 4 LABELER</t>
  </si>
  <si>
    <t>CANDLING</t>
  </si>
  <si>
    <t>PALLETIZER</t>
  </si>
  <si>
    <t>LINE 4 UTILITY</t>
  </si>
  <si>
    <t>MFU</t>
  </si>
  <si>
    <t>BULK GLASS</t>
  </si>
  <si>
    <t>SOAKER</t>
  </si>
  <si>
    <t>PFT</t>
  </si>
  <si>
    <t>HACCP CLEANER</t>
  </si>
  <si>
    <t>PROMO/PROMO PREP</t>
  </si>
  <si>
    <t>QC REWORK</t>
  </si>
  <si>
    <t>KEG LINE</t>
  </si>
  <si>
    <t>Start Up</t>
  </si>
  <si>
    <t>Monday</t>
  </si>
  <si>
    <t>Tuesday</t>
  </si>
  <si>
    <t>Wednesday</t>
  </si>
  <si>
    <t>Thursday</t>
  </si>
  <si>
    <t>Friday</t>
  </si>
  <si>
    <t>Clean Up</t>
  </si>
  <si>
    <t>Saturday</t>
  </si>
  <si>
    <t>Sunday</t>
  </si>
  <si>
    <t>OT Refused</t>
  </si>
  <si>
    <t>Refused Hours Charged</t>
  </si>
  <si>
    <t>OT Hours Accepted</t>
  </si>
  <si>
    <t>ROBINSON</t>
  </si>
  <si>
    <t>George</t>
  </si>
  <si>
    <t>Bottle supply</t>
  </si>
  <si>
    <t>Depal restricted</t>
  </si>
  <si>
    <t>Line 4 Labeler</t>
  </si>
  <si>
    <t>Candling</t>
  </si>
  <si>
    <t>Palletizer</t>
  </si>
  <si>
    <t>Line 4 Utility</t>
  </si>
  <si>
    <t>Bulk Glass</t>
  </si>
  <si>
    <t>Soaker</t>
  </si>
  <si>
    <t>HACCP cleaner</t>
  </si>
  <si>
    <t>QC Rework</t>
  </si>
  <si>
    <t>Can filler</t>
  </si>
  <si>
    <t>Can Utility</t>
  </si>
  <si>
    <t>Keg Line</t>
  </si>
  <si>
    <t>Work Stab</t>
  </si>
  <si>
    <t>Working at Heights</t>
  </si>
  <si>
    <t>Confined Space</t>
  </si>
  <si>
    <t>Fall Arrest</t>
  </si>
  <si>
    <t>Work stab</t>
  </si>
  <si>
    <t>Can line Work Stab</t>
  </si>
  <si>
    <t>Steven</t>
  </si>
  <si>
    <t>Production</t>
  </si>
  <si>
    <t>1) Production
2) Cleaning/ Startup</t>
  </si>
  <si>
    <t>Column for vlookup</t>
  </si>
  <si>
    <t>L4 HARTNESS PACKER</t>
  </si>
  <si>
    <t>Line 4 Hartness Packer</t>
  </si>
  <si>
    <t>ELABED</t>
  </si>
  <si>
    <t>Mohammed</t>
  </si>
  <si>
    <t>Darren</t>
  </si>
  <si>
    <t>Variopac</t>
  </si>
  <si>
    <t>MCKENZIE</t>
  </si>
  <si>
    <t>Charles</t>
  </si>
  <si>
    <t>BLISSETT</t>
  </si>
  <si>
    <t>Noah</t>
  </si>
  <si>
    <t>TYE</t>
  </si>
  <si>
    <t>PATERSON</t>
  </si>
  <si>
    <t>Jeffrey</t>
  </si>
  <si>
    <t>SMITH</t>
  </si>
  <si>
    <t xml:space="preserve">Week of:  </t>
  </si>
  <si>
    <t>WEEDMARK</t>
  </si>
  <si>
    <t>David</t>
  </si>
  <si>
    <t>Joshua</t>
  </si>
  <si>
    <t>Crafer</t>
  </si>
  <si>
    <t>POUCH PACKER</t>
  </si>
  <si>
    <t>POUCH FILLER</t>
  </si>
  <si>
    <t>Pouch packer</t>
  </si>
  <si>
    <t>Pouch Filler</t>
  </si>
  <si>
    <t>ROY</t>
  </si>
  <si>
    <t>Anju</t>
  </si>
  <si>
    <t>CMU Support trays</t>
  </si>
  <si>
    <t>CMU SUPPORT TRAYS</t>
  </si>
  <si>
    <t>CMU SUPPORT 
6S</t>
  </si>
  <si>
    <t>Promo/ promo prep</t>
  </si>
  <si>
    <t>SINGH</t>
  </si>
  <si>
    <t>Gagandeep</t>
  </si>
  <si>
    <t>KNOX</t>
  </si>
  <si>
    <t>Tina</t>
  </si>
  <si>
    <t>CMU Support 6s</t>
  </si>
  <si>
    <t>Can Packer</t>
  </si>
  <si>
    <t>Can Depal</t>
  </si>
  <si>
    <t>John</t>
  </si>
  <si>
    <t>SAUNDERS</t>
  </si>
  <si>
    <t>Dylan</t>
  </si>
  <si>
    <t>BERRILL</t>
  </si>
  <si>
    <t>Kevin</t>
  </si>
  <si>
    <t>IVANOVICH</t>
  </si>
  <si>
    <t>Nicole</t>
  </si>
  <si>
    <t>SKUBIC</t>
  </si>
  <si>
    <t>Emily</t>
  </si>
  <si>
    <t>DEAN</t>
  </si>
  <si>
    <t>Jackson</t>
  </si>
  <si>
    <t>Aidan</t>
  </si>
  <si>
    <t>PRATT</t>
  </si>
  <si>
    <t>SATIMOV</t>
  </si>
  <si>
    <t>Amirbek</t>
  </si>
  <si>
    <t>SEARS</t>
  </si>
  <si>
    <t>Christian</t>
  </si>
  <si>
    <t>JONES</t>
  </si>
  <si>
    <t>Parker</t>
  </si>
  <si>
    <t>MUTATUZI</t>
  </si>
  <si>
    <t>Emmanuel</t>
  </si>
  <si>
    <t>NEAL</t>
  </si>
  <si>
    <t>Aivery</t>
  </si>
  <si>
    <t>MACKIE</t>
  </si>
  <si>
    <t>Steve</t>
  </si>
  <si>
    <t>RUSAT</t>
  </si>
  <si>
    <t>Milap</t>
  </si>
  <si>
    <t>VALLIERE</t>
  </si>
  <si>
    <t>Sedez</t>
  </si>
  <si>
    <t>VANDEN HOUVEL</t>
  </si>
  <si>
    <t>Loukas</t>
  </si>
  <si>
    <t>Aaron</t>
  </si>
  <si>
    <t>PALMER</t>
  </si>
  <si>
    <t>PLAYFORD</t>
  </si>
  <si>
    <t>Natalie</t>
  </si>
  <si>
    <t>Praniteshreddy</t>
  </si>
  <si>
    <t>GUENTHER</t>
  </si>
  <si>
    <t>Christopher</t>
  </si>
  <si>
    <t>MITTAPALI</t>
  </si>
  <si>
    <t>PAIVA</t>
  </si>
  <si>
    <t>Matt</t>
  </si>
  <si>
    <t>Sinn</t>
  </si>
  <si>
    <t>Ethan</t>
  </si>
  <si>
    <t>GIANNOPOULOS</t>
  </si>
  <si>
    <t>Sam</t>
  </si>
  <si>
    <t>HUDSON</t>
  </si>
  <si>
    <t>Alisha</t>
  </si>
  <si>
    <t>JOHNSTON</t>
  </si>
  <si>
    <t>Benett</t>
  </si>
  <si>
    <t>SANTILLAN</t>
  </si>
  <si>
    <t>Yvan</t>
  </si>
  <si>
    <t>VAN DEUREN</t>
  </si>
  <si>
    <t>Amanda</t>
  </si>
  <si>
    <t>LALONDE</t>
  </si>
  <si>
    <t>Caleb</t>
  </si>
  <si>
    <t>LOVE</t>
  </si>
  <si>
    <t>Conrad</t>
  </si>
  <si>
    <t>MILLER</t>
  </si>
  <si>
    <t>MORRIS</t>
  </si>
  <si>
    <t>Rory</t>
  </si>
  <si>
    <t>Forrest</t>
  </si>
  <si>
    <t>Ajay</t>
  </si>
  <si>
    <t>LINDSAY</t>
  </si>
  <si>
    <t>MCGEAN</t>
  </si>
  <si>
    <t>Matthew</t>
  </si>
  <si>
    <t>MULLEN</t>
  </si>
  <si>
    <t>Erin</t>
  </si>
  <si>
    <t>SCHUSTER</t>
  </si>
  <si>
    <t>HENDRIKSON</t>
  </si>
  <si>
    <t>Jacob</t>
  </si>
  <si>
    <t>KING</t>
  </si>
  <si>
    <t>Rinser</t>
  </si>
  <si>
    <t>RINSER</t>
  </si>
  <si>
    <t>GLASSER</t>
  </si>
  <si>
    <t>Jeremy</t>
  </si>
  <si>
    <t>KLASSEN</t>
  </si>
  <si>
    <t>Autum</t>
  </si>
  <si>
    <t>MANN</t>
  </si>
  <si>
    <t>MOIR</t>
  </si>
  <si>
    <t>Karen</t>
  </si>
  <si>
    <t>SOTNIKOV</t>
  </si>
  <si>
    <t>Anastasia</t>
  </si>
  <si>
    <t>POUCH CMU</t>
  </si>
  <si>
    <t>Pouch CMU</t>
  </si>
  <si>
    <t>BULK GLASS PALLETIZER</t>
  </si>
  <si>
    <t>Bulk Glass Palletizer</t>
  </si>
  <si>
    <t>JONES PACKER</t>
  </si>
  <si>
    <t>Jones Packer</t>
  </si>
  <si>
    <t>Blank Space</t>
  </si>
  <si>
    <t>LC2 Depal</t>
  </si>
  <si>
    <t>LC2 Filler</t>
  </si>
  <si>
    <t>LC2 GPI Quikflex</t>
  </si>
  <si>
    <t>LC2 Keelclip</t>
  </si>
  <si>
    <t>LC2 OCME Shrink</t>
  </si>
  <si>
    <t>LC2 OCME Tray</t>
  </si>
  <si>
    <t>LC2 Palletizer</t>
  </si>
  <si>
    <t>ANDERSON</t>
  </si>
  <si>
    <t>Rebecca</t>
  </si>
  <si>
    <t>BEGGS-SHREVE</t>
  </si>
  <si>
    <t>Hunter</t>
  </si>
  <si>
    <t>QUINNEY</t>
  </si>
  <si>
    <t>Tristan</t>
  </si>
  <si>
    <t>Jake</t>
  </si>
  <si>
    <t>HENRY</t>
  </si>
  <si>
    <t>Mark</t>
  </si>
  <si>
    <t>GARRETT</t>
  </si>
  <si>
    <t>Brianna</t>
  </si>
  <si>
    <t>RUIZ</t>
  </si>
  <si>
    <t>Carlos</t>
  </si>
  <si>
    <t>ALDERSON</t>
  </si>
  <si>
    <t>Diana</t>
  </si>
  <si>
    <t>CUADRA-COULTER</t>
  </si>
  <si>
    <t>Dominic</t>
  </si>
  <si>
    <t>WILLIAMSON</t>
  </si>
  <si>
    <t>Hope</t>
  </si>
  <si>
    <t>TYSZKA</t>
  </si>
  <si>
    <t>Lance</t>
  </si>
  <si>
    <t>GLENDON</t>
  </si>
  <si>
    <t>Mathew</t>
  </si>
  <si>
    <t>KYLE</t>
  </si>
  <si>
    <t>Thomas</t>
  </si>
  <si>
    <t>ADDLEY</t>
  </si>
  <si>
    <t>William</t>
  </si>
  <si>
    <t>WILSON</t>
  </si>
  <si>
    <t>Holly</t>
  </si>
  <si>
    <t>GUPTA</t>
  </si>
  <si>
    <t>Karan</t>
  </si>
  <si>
    <t>Cody</t>
  </si>
  <si>
    <t>HEMMINGS</t>
  </si>
  <si>
    <t>Tevin</t>
  </si>
  <si>
    <t>BEST</t>
  </si>
  <si>
    <t>Curtis</t>
  </si>
  <si>
    <t>KALTHIYA</t>
  </si>
  <si>
    <t>Mihar</t>
  </si>
  <si>
    <t>LOUCKS</t>
  </si>
  <si>
    <t>Dakota</t>
  </si>
  <si>
    <t>ROSS</t>
  </si>
  <si>
    <t>SOULLIERE</t>
  </si>
  <si>
    <t>Michelle</t>
  </si>
  <si>
    <t>UCHENDU</t>
  </si>
  <si>
    <t>Onyekika</t>
  </si>
  <si>
    <t>MACGREGOR</t>
  </si>
  <si>
    <t>Bryan</t>
  </si>
  <si>
    <t>REFFLE</t>
  </si>
  <si>
    <t>Sarah</t>
  </si>
  <si>
    <t>BENTO</t>
  </si>
  <si>
    <t>Adam</t>
  </si>
  <si>
    <t>BOTSFORD</t>
  </si>
  <si>
    <t>BOWDEN</t>
  </si>
  <si>
    <t xml:space="preserve">BUCHANAN </t>
  </si>
  <si>
    <t>Jaime</t>
  </si>
  <si>
    <t>Laura</t>
  </si>
  <si>
    <t>DICK</t>
  </si>
  <si>
    <t>EBREO</t>
  </si>
  <si>
    <t>CJ</t>
  </si>
  <si>
    <t>ELLIOT</t>
  </si>
  <si>
    <t>Nathan</t>
  </si>
  <si>
    <t>GOLDBURN</t>
  </si>
  <si>
    <t>Avonte</t>
  </si>
  <si>
    <t>MAZZA</t>
  </si>
  <si>
    <t>Nick</t>
  </si>
  <si>
    <t>MCINERNEY</t>
  </si>
  <si>
    <t>James</t>
  </si>
  <si>
    <t>METIVIER</t>
  </si>
  <si>
    <t>Ashley</t>
  </si>
  <si>
    <t>OMAR</t>
  </si>
  <si>
    <t>Joan</t>
  </si>
  <si>
    <t>PIEROTTI</t>
  </si>
  <si>
    <t>PILD</t>
  </si>
  <si>
    <t>RUTLEDGE</t>
  </si>
  <si>
    <t>Spencer</t>
  </si>
  <si>
    <t>Miheer</t>
  </si>
  <si>
    <t>STRACHAN</t>
  </si>
  <si>
    <t>VANDERWEYST</t>
  </si>
  <si>
    <t>VEZINA</t>
  </si>
  <si>
    <t>Faith</t>
  </si>
  <si>
    <t>SHRESTHA</t>
  </si>
  <si>
    <t>COOK</t>
  </si>
  <si>
    <t>Zachary</t>
  </si>
  <si>
    <t>DENNIS</t>
  </si>
  <si>
    <t>Kailey</t>
  </si>
  <si>
    <t>ELLIS</t>
  </si>
  <si>
    <t>Jaimeison</t>
  </si>
  <si>
    <t>KESSIE</t>
  </si>
  <si>
    <t>Derrick</t>
  </si>
  <si>
    <t>NTIRWIHISHA</t>
  </si>
  <si>
    <t>Ganix-hess</t>
  </si>
  <si>
    <t>RAMIREZ</t>
  </si>
  <si>
    <t>Geovani</t>
  </si>
  <si>
    <t>XIA</t>
  </si>
  <si>
    <t>Jaden</t>
  </si>
  <si>
    <t>Steinsland</t>
  </si>
  <si>
    <t>EEDY</t>
  </si>
  <si>
    <t>ENIKEEVA</t>
  </si>
  <si>
    <t>KLOETSTRA</t>
  </si>
  <si>
    <t>PARKER</t>
  </si>
  <si>
    <t>SILVERTHORN</t>
  </si>
  <si>
    <t>STEVENS</t>
  </si>
  <si>
    <t>VARGHESE</t>
  </si>
  <si>
    <t>Vanessa</t>
  </si>
  <si>
    <t>Alina</t>
  </si>
  <si>
    <t>Akym</t>
  </si>
  <si>
    <t>Morgan</t>
  </si>
  <si>
    <t>Taylar</t>
  </si>
  <si>
    <t>Andrew</t>
  </si>
  <si>
    <t>Alicia</t>
  </si>
  <si>
    <t>Poul</t>
  </si>
  <si>
    <t>DAVEY</t>
  </si>
  <si>
    <t>DE VEYRA</t>
  </si>
  <si>
    <t>EVERSON</t>
  </si>
  <si>
    <t>HORVAT</t>
  </si>
  <si>
    <t>JOHN</t>
  </si>
  <si>
    <t>KYRIAKOPOULOS</t>
  </si>
  <si>
    <t>MANHANGA</t>
  </si>
  <si>
    <t>MORE</t>
  </si>
  <si>
    <t>NWAGBOSO</t>
  </si>
  <si>
    <t>PHAN</t>
  </si>
  <si>
    <t>SYNNOTT</t>
  </si>
  <si>
    <t>Nicholas</t>
  </si>
  <si>
    <t>Enrico</t>
  </si>
  <si>
    <t>Kirk</t>
  </si>
  <si>
    <t xml:space="preserve">Matt </t>
  </si>
  <si>
    <t>Elias</t>
  </si>
  <si>
    <t>Celine</t>
  </si>
  <si>
    <t>April</t>
  </si>
  <si>
    <t>Trimneil</t>
  </si>
  <si>
    <t>TJ</t>
  </si>
  <si>
    <t>Stuart</t>
  </si>
  <si>
    <t>BEAUDRY</t>
  </si>
  <si>
    <t>BOWEN</t>
  </si>
  <si>
    <t>LANGLEY</t>
  </si>
  <si>
    <t>SEIFU</t>
  </si>
  <si>
    <t>Hanna</t>
  </si>
  <si>
    <t>Coby</t>
  </si>
  <si>
    <t>Justin</t>
  </si>
  <si>
    <t>Bethelihem</t>
  </si>
  <si>
    <t>CHENIER</t>
  </si>
  <si>
    <t>FINLEY</t>
  </si>
  <si>
    <t>TUDOR</t>
  </si>
  <si>
    <t>Brandon</t>
  </si>
  <si>
    <t>Aiden</t>
  </si>
  <si>
    <t>COELHO</t>
  </si>
  <si>
    <t>Robbie</t>
  </si>
  <si>
    <t>BOLIBRUCH</t>
  </si>
  <si>
    <t>OUELLETTE</t>
  </si>
  <si>
    <t>TERRA-TURGEON</t>
  </si>
  <si>
    <t>Dan</t>
  </si>
  <si>
    <t>Stephanie</t>
  </si>
  <si>
    <t>Yuri</t>
  </si>
  <si>
    <t>SHHADEH</t>
  </si>
  <si>
    <t>LC1 CAN FILLER</t>
  </si>
  <si>
    <t>LC1 CAN UTILITY</t>
  </si>
  <si>
    <t>VarioPak</t>
  </si>
  <si>
    <t>LC1 CAN PACKER</t>
  </si>
  <si>
    <t>LC1 CAN DEPAL</t>
  </si>
  <si>
    <t>Bud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</si>
</sst>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;@"/>
    <numFmt numFmtId="165" formatCode="[$-409]d\-mmm\-yy;@"/>
  </numFmts>
  <fonts count="14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0"/>
      <name val="Verdana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Verdana"/>
      <family val="2"/>
    </font>
    <font>
      <b/>
      <sz val="12"/>
      <name val="Verdana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indexed="52"/>
      <name val="Verdana"/>
      <family val="2"/>
    </font>
    <font>
      <sz val="10"/>
      <name val="Times New Roman"/>
      <family val="1"/>
    </font>
    <font>
      <sz val="10"/>
      <color rgb="FF000000"/>
      <name val="Arial"/>
      <family val="2"/>
    </font>
    <font>
      <sz val="8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8" fillId="0" borderId="0"/>
    <xf numFmtId="0" fontId="5" fillId="0" borderId="0"/>
    <xf numFmtId="0" fontId="9" fillId="0" borderId="0"/>
  </cellStyleXfs>
  <cellXfs count="109">
    <xf numFmtId="0" fontId="0" fillId="0" borderId="0" xfId="0"/>
    <xf numFmtId="0" fontId="7" fillId="4" borderId="1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5" borderId="4" xfId="0" applyNumberFormat="1" applyFill="1" applyBorder="1" applyAlignment="1">
      <alignment horizontal="center"/>
    </xf>
    <xf numFmtId="0" fontId="7" fillId="7" borderId="1" xfId="0" applyFont="1" applyFill="1" applyBorder="1" applyAlignment="1">
      <alignment horizontal="center"/>
    </xf>
    <xf numFmtId="0" fontId="0" fillId="7" borderId="3" xfId="0" applyFill="1" applyBorder="1"/>
    <xf numFmtId="0" fontId="6" fillId="0" borderId="1" xfId="0" applyFont="1" applyFill="1" applyBorder="1"/>
    <xf numFmtId="2" fontId="9" fillId="0" borderId="4" xfId="3" applyNumberFormat="1" applyBorder="1"/>
    <xf numFmtId="164" fontId="1" fillId="0" borderId="0" xfId="0" applyNumberFormat="1" applyFont="1" applyFill="1" applyBorder="1" applyAlignment="1">
      <alignment vertical="center"/>
    </xf>
    <xf numFmtId="164" fontId="2" fillId="0" borderId="0" xfId="0" applyNumberFormat="1" applyFont="1" applyFill="1" applyBorder="1" applyAlignment="1">
      <alignment vertical="center"/>
    </xf>
    <xf numFmtId="1" fontId="1" fillId="0" borderId="0" xfId="0" applyNumberFormat="1" applyFont="1" applyFill="1" applyBorder="1" applyAlignment="1">
      <alignment vertical="center"/>
    </xf>
    <xf numFmtId="1" fontId="1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 wrapText="1"/>
    </xf>
    <xf numFmtId="49" fontId="4" fillId="0" borderId="0" xfId="0" applyNumberFormat="1" applyFont="1" applyFill="1" applyBorder="1" applyAlignment="1">
      <alignment vertical="center" textRotation="75" wrapText="1"/>
    </xf>
    <xf numFmtId="0" fontId="1" fillId="0" borderId="0" xfId="0" applyNumberFormat="1" applyFont="1" applyFill="1" applyBorder="1" applyAlignment="1">
      <alignment vertical="center" textRotation="75" wrapText="1"/>
    </xf>
    <xf numFmtId="0" fontId="4" fillId="0" borderId="0" xfId="0" applyNumberFormat="1" applyFont="1" applyFill="1" applyBorder="1" applyAlignment="1">
      <alignment vertical="center" textRotation="75" wrapText="1"/>
    </xf>
    <xf numFmtId="0" fontId="4" fillId="0" borderId="0" xfId="0" applyNumberFormat="1" applyFont="1" applyFill="1" applyBorder="1" applyAlignment="1">
      <alignment vertical="center" textRotation="75"/>
    </xf>
    <xf numFmtId="164" fontId="1" fillId="0" borderId="13" xfId="0" applyNumberFormat="1" applyFont="1" applyBorder="1" applyAlignment="1">
      <alignment vertical="center"/>
    </xf>
    <xf numFmtId="164" fontId="2" fillId="0" borderId="7" xfId="0" applyNumberFormat="1" applyFont="1" applyBorder="1" applyAlignment="1">
      <alignment vertical="center"/>
    </xf>
    <xf numFmtId="1" fontId="1" fillId="0" borderId="14" xfId="0" applyNumberFormat="1" applyFont="1" applyBorder="1" applyAlignment="1">
      <alignment vertical="center"/>
    </xf>
    <xf numFmtId="0" fontId="5" fillId="0" borderId="7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0" fillId="0" borderId="0" xfId="0" applyBorder="1"/>
    <xf numFmtId="0" fontId="0" fillId="8" borderId="1" xfId="0" applyFill="1" applyBorder="1"/>
    <xf numFmtId="165" fontId="6" fillId="0" borderId="1" xfId="0" applyNumberFormat="1" applyFont="1" applyFill="1" applyBorder="1" applyAlignment="1">
      <alignment horizontal="center"/>
    </xf>
    <xf numFmtId="0" fontId="10" fillId="0" borderId="1" xfId="0" applyFont="1" applyFill="1" applyBorder="1" applyAlignment="1">
      <alignment horizontal="left"/>
    </xf>
    <xf numFmtId="0" fontId="6" fillId="0" borderId="1" xfId="0" applyFont="1" applyBorder="1" applyAlignment="1"/>
    <xf numFmtId="1" fontId="6" fillId="0" borderId="1" xfId="0" applyNumberFormat="1" applyFont="1" applyFill="1" applyBorder="1" applyAlignment="1"/>
    <xf numFmtId="0" fontId="6" fillId="0" borderId="1" xfId="0" applyFont="1" applyBorder="1"/>
    <xf numFmtId="0" fontId="0" fillId="0" borderId="0" xfId="0" applyFill="1"/>
    <xf numFmtId="0" fontId="0" fillId="0" borderId="1" xfId="0" applyBorder="1" applyAlignment="1">
      <alignment horizontal="center" wrapText="1"/>
    </xf>
    <xf numFmtId="0" fontId="6" fillId="8" borderId="1" xfId="0" applyFont="1" applyFill="1" applyBorder="1"/>
    <xf numFmtId="165" fontId="6" fillId="8" borderId="1" xfId="0" applyNumberFormat="1" applyFont="1" applyFill="1" applyBorder="1" applyAlignment="1">
      <alignment horizontal="center"/>
    </xf>
    <xf numFmtId="0" fontId="10" fillId="8" borderId="1" xfId="0" applyFont="1" applyFill="1" applyBorder="1" applyAlignment="1">
      <alignment horizontal="left"/>
    </xf>
    <xf numFmtId="1" fontId="6" fillId="8" borderId="1" xfId="0" applyNumberFormat="1" applyFont="1" applyFill="1" applyBorder="1" applyAlignment="1"/>
    <xf numFmtId="0" fontId="0" fillId="0" borderId="0" xfId="0" applyFill="1" applyBorder="1"/>
    <xf numFmtId="165" fontId="0" fillId="8" borderId="1" xfId="0" applyNumberFormat="1" applyFill="1" applyBorder="1"/>
    <xf numFmtId="1" fontId="0" fillId="8" borderId="1" xfId="0" applyNumberFormat="1" applyFill="1" applyBorder="1"/>
    <xf numFmtId="0" fontId="0" fillId="0" borderId="1" xfId="0" applyBorder="1"/>
    <xf numFmtId="0" fontId="0" fillId="0" borderId="1" xfId="0" applyFill="1" applyBorder="1"/>
    <xf numFmtId="0" fontId="0" fillId="9" borderId="1" xfId="0" applyFill="1" applyBorder="1"/>
    <xf numFmtId="0" fontId="0" fillId="4" borderId="2" xfId="0" applyFill="1" applyBorder="1"/>
    <xf numFmtId="0" fontId="7" fillId="4" borderId="3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15" fontId="6" fillId="0" borderId="1" xfId="0" applyNumberFormat="1" applyFon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1" fontId="6" fillId="0" borderId="1" xfId="0" applyNumberFormat="1" applyFont="1" applyBorder="1" applyAlignment="1">
      <alignment horizontal="right"/>
    </xf>
    <xf numFmtId="0" fontId="12" fillId="0" borderId="1" xfId="0" applyFont="1" applyBorder="1"/>
    <xf numFmtId="165" fontId="6" fillId="0" borderId="1" xfId="0" applyNumberFormat="1" applyFont="1" applyBorder="1" applyAlignment="1">
      <alignment horizontal="center"/>
    </xf>
    <xf numFmtId="0" fontId="10" fillId="0" borderId="1" xfId="0" applyFont="1" applyBorder="1" applyAlignment="1">
      <alignment horizontal="left"/>
    </xf>
    <xf numFmtId="1" fontId="6" fillId="0" borderId="1" xfId="0" applyNumberFormat="1" applyFont="1" applyBorder="1"/>
    <xf numFmtId="0" fontId="11" fillId="0" borderId="1" xfId="0" applyFont="1" applyBorder="1"/>
    <xf numFmtId="0" fontId="5" fillId="0" borderId="1" xfId="0" applyFont="1" applyBorder="1"/>
    <xf numFmtId="0" fontId="0" fillId="11" borderId="0" xfId="0" applyFill="1"/>
    <xf numFmtId="1" fontId="1" fillId="0" borderId="18" xfId="0" applyNumberFormat="1" applyFont="1" applyBorder="1" applyAlignment="1">
      <alignment vertical="center" wrapText="1"/>
    </xf>
    <xf numFmtId="0" fontId="3" fillId="5" borderId="18" xfId="0" applyFont="1" applyFill="1" applyBorder="1" applyAlignment="1">
      <alignment vertical="center" wrapText="1"/>
    </xf>
    <xf numFmtId="0" fontId="4" fillId="0" borderId="18" xfId="0" applyFont="1" applyBorder="1" applyAlignment="1">
      <alignment vertical="center" wrapText="1"/>
    </xf>
    <xf numFmtId="0" fontId="4" fillId="5" borderId="18" xfId="0" applyFont="1" applyFill="1" applyBorder="1" applyAlignment="1">
      <alignment vertical="center" wrapText="1"/>
    </xf>
    <xf numFmtId="0" fontId="7" fillId="2" borderId="10" xfId="0" applyFont="1" applyFill="1" applyBorder="1" applyAlignment="1">
      <alignment vertical="center" wrapText="1"/>
    </xf>
    <xf numFmtId="49" fontId="4" fillId="5" borderId="19" xfId="0" applyNumberFormat="1" applyFont="1" applyFill="1" applyBorder="1" applyAlignment="1">
      <alignment vertical="center" textRotation="75" wrapText="1"/>
    </xf>
    <xf numFmtId="0" fontId="1" fillId="5" borderId="19" xfId="0" applyNumberFormat="1" applyFont="1" applyFill="1" applyBorder="1" applyAlignment="1">
      <alignment vertical="center" textRotation="75" wrapText="1"/>
    </xf>
    <xf numFmtId="0" fontId="4" fillId="5" borderId="19" xfId="0" applyNumberFormat="1" applyFont="1" applyFill="1" applyBorder="1" applyAlignment="1">
      <alignment vertical="center" textRotation="75"/>
    </xf>
    <xf numFmtId="0" fontId="4" fillId="5" borderId="19" xfId="0" applyNumberFormat="1" applyFont="1" applyFill="1" applyBorder="1" applyAlignment="1">
      <alignment vertical="center" textRotation="75" wrapText="1"/>
    </xf>
    <xf numFmtId="0" fontId="4" fillId="3" borderId="19" xfId="0" applyNumberFormat="1" applyFont="1" applyFill="1" applyBorder="1" applyAlignment="1">
      <alignment vertical="center" textRotation="75" wrapText="1"/>
    </xf>
    <xf numFmtId="0" fontId="4" fillId="3" borderId="19" xfId="0" applyNumberFormat="1" applyFont="1" applyFill="1" applyBorder="1" applyAlignment="1">
      <alignment vertical="center" textRotation="75"/>
    </xf>
    <xf numFmtId="0" fontId="4" fillId="0" borderId="19" xfId="0" applyNumberFormat="1" applyFont="1" applyFill="1" applyBorder="1" applyAlignment="1">
      <alignment vertical="center" textRotation="75" wrapText="1"/>
    </xf>
    <xf numFmtId="0" fontId="4" fillId="4" borderId="19" xfId="0" applyNumberFormat="1" applyFont="1" applyFill="1" applyBorder="1" applyAlignment="1">
      <alignment vertical="center" textRotation="75" wrapText="1"/>
    </xf>
    <xf numFmtId="0" fontId="4" fillId="6" borderId="19" xfId="0" applyNumberFormat="1" applyFont="1" applyFill="1" applyBorder="1" applyAlignment="1">
      <alignment vertical="center" textRotation="75" wrapText="1"/>
    </xf>
    <xf numFmtId="0" fontId="3" fillId="10" borderId="19" xfId="0" applyNumberFormat="1" applyFont="1" applyFill="1" applyBorder="1" applyAlignment="1">
      <alignment vertical="center" textRotation="75" wrapText="1"/>
    </xf>
    <xf numFmtId="0" fontId="4" fillId="11" borderId="19" xfId="0" applyNumberFormat="1" applyFont="1" applyFill="1" applyBorder="1" applyAlignment="1">
      <alignment vertical="center" textRotation="75" wrapText="1"/>
    </xf>
    <xf numFmtId="0" fontId="4" fillId="0" borderId="20" xfId="0" applyNumberFormat="1" applyFont="1" applyFill="1" applyBorder="1" applyAlignment="1">
      <alignment vertical="center" textRotation="90" wrapText="1"/>
    </xf>
    <xf numFmtId="0" fontId="4" fillId="0" borderId="1" xfId="0" applyNumberFormat="1" applyFont="1" applyFill="1" applyBorder="1" applyAlignment="1">
      <alignment vertical="center" textRotation="90" wrapText="1"/>
    </xf>
    <xf numFmtId="0" fontId="0" fillId="7" borderId="22" xfId="0" applyFill="1" applyBorder="1"/>
    <xf numFmtId="0" fontId="0" fillId="5" borderId="1" xfId="0" applyNumberFormat="1" applyFill="1" applyBorder="1" applyAlignment="1">
      <alignment horizontal="center"/>
    </xf>
    <xf numFmtId="0" fontId="0" fillId="3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center"/>
    </xf>
    <xf numFmtId="0" fontId="0" fillId="6" borderId="1" xfId="0" applyNumberFormat="1" applyFill="1" applyBorder="1" applyAlignment="1">
      <alignment horizontal="center"/>
    </xf>
    <xf numFmtId="0" fontId="0" fillId="10" borderId="1" xfId="0" applyNumberForma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1" fontId="6" fillId="0" borderId="21" xfId="0" applyNumberFormat="1" applyFont="1" applyBorder="1"/>
    <xf numFmtId="1" fontId="13" fillId="0" borderId="1" xfId="0" applyNumberFormat="1" applyFont="1" applyFill="1" applyBorder="1" applyAlignment="1"/>
    <xf numFmtId="1" fontId="6" fillId="0" borderId="23" xfId="0" applyNumberFormat="1" applyFont="1" applyBorder="1"/>
    <xf numFmtId="0" fontId="5" fillId="8" borderId="1" xfId="0" applyFont="1" applyFill="1" applyBorder="1"/>
    <xf numFmtId="0" fontId="6" fillId="0" borderId="23" xfId="0" applyFont="1" applyBorder="1"/>
    <xf numFmtId="1" fontId="1" fillId="0" borderId="14" xfId="0" applyNumberFormat="1" applyFont="1" applyFill="1" applyBorder="1" applyAlignment="1">
      <alignment vertical="center"/>
    </xf>
    <xf numFmtId="1" fontId="6" fillId="0" borderId="1" xfId="0" applyNumberFormat="1" applyFont="1" applyFill="1" applyBorder="1"/>
    <xf numFmtId="0" fontId="5" fillId="0" borderId="21" xfId="0" applyFont="1" applyBorder="1"/>
    <xf numFmtId="0" fontId="0" fillId="0" borderId="9" xfId="0" applyBorder="1" applyAlignment="1">
      <alignment horizontal="left"/>
    </xf>
    <xf numFmtId="0" fontId="4" fillId="0" borderId="7" xfId="0" applyFont="1" applyFill="1" applyBorder="1" applyAlignment="1">
      <alignment horizontal="center" vertical="center"/>
    </xf>
    <xf numFmtId="0" fontId="0" fillId="0" borderId="17" xfId="0" applyBorder="1"/>
    <xf numFmtId="0" fontId="0" fillId="0" borderId="8" xfId="0" applyBorder="1"/>
    <xf numFmtId="0" fontId="4" fillId="0" borderId="12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</cellXfs>
  <cellStyles count="4">
    <cellStyle name="Normal" xfId="0" builtinId="0"/>
    <cellStyle name="Normal 2" xfId="2" xr:uid="{00000000-0005-0000-0000-000001000000}"/>
    <cellStyle name="Normal 3" xfId="1" xr:uid="{00000000-0005-0000-0000-000002000000}"/>
    <cellStyle name="Normal 4" xfId="3" xr:uid="{00000000-0005-0000-0000-000003000000}"/>
  </cellStyles>
  <dxfs count="113"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CCFF"/>
      <color rgb="FF17AD0B"/>
      <color rgb="FFFFCC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80</xdr:col>
      <xdr:colOff>59532</xdr:colOff>
      <xdr:row>1</xdr:row>
      <xdr:rowOff>250031</xdr:rowOff>
    </xdr:from>
    <xdr:to>
      <xdr:col>83</xdr:col>
      <xdr:colOff>583406</xdr:colOff>
      <xdr:row>2</xdr:row>
      <xdr:rowOff>762000</xdr:rowOff>
    </xdr:to>
    <xdr:sp macro="[0]!Temp_Polling_Sheets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6384251" y="452437"/>
          <a:ext cx="2345530" cy="110728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114300">
            <a:prstClr val="black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 eaLnBrk="1" fontAlgn="auto" latinLnBrk="0" hangingPunct="1"/>
          <a:r>
            <a:rPr lang="en-US" sz="1600" b="1" i="0" cap="all" baseline="0">
              <a:solidFill>
                <a:srgbClr val="17AD0B"/>
              </a:solidFill>
              <a:effectLst/>
              <a:latin typeface="+mn-lt"/>
              <a:ea typeface="+mn-ea"/>
              <a:cs typeface="+mn-cs"/>
            </a:rPr>
            <a:t>Polling Preference </a:t>
          </a:r>
          <a:endParaRPr lang="en-US" sz="1600" b="1">
            <a:solidFill>
              <a:srgbClr val="17AD0B"/>
            </a:solidFill>
            <a:effectLst/>
          </a:endParaRPr>
        </a:p>
        <a:p>
          <a:pPr algn="ctr" eaLnBrk="1" fontAlgn="auto" latinLnBrk="0" hangingPunct="1"/>
          <a:r>
            <a:rPr lang="en-US" sz="1600" b="1" i="0" cap="all" baseline="0">
              <a:solidFill>
                <a:srgbClr val="17AD0B"/>
              </a:solidFill>
              <a:effectLst/>
              <a:latin typeface="+mn-lt"/>
              <a:ea typeface="+mn-ea"/>
              <a:cs typeface="+mn-cs"/>
            </a:rPr>
            <a:t>Press here to add X's  </a:t>
          </a:r>
          <a:r>
            <a:rPr lang="en-US" sz="1600" b="1" i="0" cap="all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Note: "pKG OT </a:t>
          </a:r>
          <a:r>
            <a:rPr lang="en-US" sz="1600" b="1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template" must be open</a:t>
          </a:r>
          <a:endParaRPr lang="en-US" sz="1600" b="1">
            <a:solidFill>
              <a:srgbClr val="FF0000"/>
            </a:solidFill>
            <a:effectLst/>
          </a:endParaRPr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H4"/>
  <sheetViews>
    <sheetView tabSelected="1" zoomScale="85" zoomScaleNormal="85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E98" sqref="E98"/>
    </sheetView>
  </sheetViews>
  <sheetFormatPr defaultRowHeight="14.4" outlineLevelCol="1" x14ac:dyDescent="0.3"/>
  <cols>
    <col min="1" max="1" width="13" bestFit="1" customWidth="1"/>
    <col min="2" max="2" width="12.44140625" customWidth="1"/>
    <col min="3" max="3" width="12" bestFit="1" customWidth="1"/>
    <col min="4" max="4" width="24.109375" style="35" customWidth="1"/>
    <col min="5" max="5" width="18.33203125" style="35" customWidth="1"/>
    <col min="11" max="11" width="7.88671875" customWidth="1"/>
    <col min="12" max="43" width="7" customWidth="1" outlineLevel="1"/>
    <col min="44" max="50" width="7" style="62" customWidth="1" outlineLevel="1"/>
    <col min="51" max="51" width="7" customWidth="1" outlineLevel="1"/>
    <col min="52" max="52" width="7.88671875" style="35" customWidth="1"/>
    <col min="53" max="53" width="11.33203125" customWidth="1"/>
    <col min="81" max="84" width="9.109375" customWidth="1"/>
  </cols>
  <sheetData>
    <row r="1" spans="1:86" ht="15" thickBot="1" x14ac:dyDescent="0.35">
      <c r="A1" s="96" t="s">
        <v>76</v>
      </c>
      <c r="B1" s="96"/>
      <c r="C1" s="96"/>
      <c r="D1" s="96"/>
      <c r="E1" s="96"/>
      <c r="F1" s="28"/>
      <c r="AR1" s="35"/>
      <c r="AS1" s="35"/>
      <c r="AT1" s="35"/>
      <c r="AU1" s="35"/>
      <c r="AV1" s="35"/>
      <c r="AW1" s="35"/>
      <c r="AX1" s="35"/>
      <c r="AZ1"/>
      <c r="CB1" s="28"/>
      <c r="CC1" s="28"/>
      <c r="CD1" s="28"/>
      <c r="CE1" s="28"/>
      <c r="CF1" s="28"/>
      <c r="CG1" s="28"/>
      <c r="CH1" s="28"/>
    </row>
    <row r="2" spans="1:86" s="35" customFormat="1" ht="47.25" customHeight="1" thickBot="1" x14ac:dyDescent="0.35">
      <c r="A2" s="9"/>
      <c r="B2" s="10"/>
      <c r="C2" s="11"/>
      <c r="D2" s="11"/>
      <c r="E2" s="11"/>
      <c r="F2" s="12"/>
      <c r="G2" s="13"/>
      <c r="H2" s="14"/>
      <c r="I2" s="14"/>
      <c r="J2" s="14"/>
      <c r="K2" s="15"/>
      <c r="L2" s="16"/>
      <c r="M2" s="17"/>
      <c r="N2" s="17"/>
      <c r="O2" s="19"/>
      <c r="P2" s="19"/>
      <c r="Q2" s="18"/>
      <c r="R2" s="18"/>
      <c r="S2" s="19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97" t="s">
        <v>25</v>
      </c>
      <c r="BB2" s="98"/>
      <c r="BC2" s="99"/>
      <c r="BD2" s="103" t="s">
        <v>26</v>
      </c>
      <c r="BE2" s="104"/>
      <c r="BF2" s="105"/>
      <c r="BG2" s="103" t="s">
        <v>27</v>
      </c>
      <c r="BH2" s="104"/>
      <c r="BI2" s="105"/>
      <c r="BJ2" s="103" t="s">
        <v>28</v>
      </c>
      <c r="BK2" s="104"/>
      <c r="BL2" s="105"/>
      <c r="BM2" s="100" t="s">
        <v>29</v>
      </c>
      <c r="BN2" s="101"/>
      <c r="BO2" s="102"/>
      <c r="BP2" s="100" t="s">
        <v>30</v>
      </c>
      <c r="BQ2" s="101"/>
      <c r="BR2" s="102"/>
      <c r="BS2" s="106" t="s">
        <v>31</v>
      </c>
      <c r="BT2" s="107"/>
      <c r="BU2" s="108"/>
      <c r="BV2" s="100" t="s">
        <v>32</v>
      </c>
      <c r="BW2" s="101"/>
      <c r="BX2" s="102"/>
      <c r="BY2" s="100" t="s">
        <v>33</v>
      </c>
      <c r="BZ2" s="101"/>
      <c r="CA2" s="102"/>
      <c r="CB2" s="41"/>
      <c r="CC2" s="41"/>
      <c r="CD2" s="41"/>
      <c r="CE2" s="41"/>
      <c r="CF2" s="41"/>
      <c r="CG2" s="41"/>
      <c r="CH2" s="41"/>
    </row>
    <row r="3" spans="1:86" s="35" customFormat="1" ht="109.5" customHeight="1" thickBot="1" x14ac:dyDescent="0.35">
      <c r="A3" s="20" t="s">
        <v>0</v>
      </c>
      <c r="B3" s="21" t="s">
        <v>1</v>
      </c>
      <c r="C3" s="22" t="s">
        <v>2</v>
      </c>
      <c r="D3" s="93" t="s">
        <v>3</v>
      </c>
      <c r="E3" s="93" t="s">
        <v>4</v>
      </c>
      <c r="F3" s="63" t="s">
        <v>5</v>
      </c>
      <c r="G3" s="64" t="s">
        <v>6</v>
      </c>
      <c r="H3" s="65" t="s">
        <v>7</v>
      </c>
      <c r="I3" s="66" t="s">
        <v>8</v>
      </c>
      <c r="J3" s="65" t="s">
        <v>9</v>
      </c>
      <c r="K3" s="67" t="s">
        <v>10</v>
      </c>
      <c r="L3" s="68" t="s">
        <v>11</v>
      </c>
      <c r="M3" s="69" t="s">
        <v>12</v>
      </c>
      <c r="N3" s="69" t="s">
        <v>170</v>
      </c>
      <c r="O3" s="70" t="s">
        <v>81</v>
      </c>
      <c r="P3" s="70" t="s">
        <v>180</v>
      </c>
      <c r="Q3" s="71" t="s">
        <v>82</v>
      </c>
      <c r="R3" s="72" t="s">
        <v>13</v>
      </c>
      <c r="S3" s="73" t="s">
        <v>14</v>
      </c>
      <c r="T3" s="72" t="s">
        <v>62</v>
      </c>
      <c r="U3" s="72" t="s">
        <v>184</v>
      </c>
      <c r="V3" s="72" t="s">
        <v>15</v>
      </c>
      <c r="W3" s="71" t="s">
        <v>16</v>
      </c>
      <c r="X3" s="71" t="s">
        <v>17</v>
      </c>
      <c r="Y3" s="72" t="s">
        <v>88</v>
      </c>
      <c r="Z3" s="74" t="s">
        <v>89</v>
      </c>
      <c r="AA3" s="71" t="s">
        <v>18</v>
      </c>
      <c r="AB3" s="71" t="s">
        <v>182</v>
      </c>
      <c r="AC3" s="71" t="s">
        <v>19</v>
      </c>
      <c r="AD3" s="71" t="s">
        <v>20</v>
      </c>
      <c r="AE3" s="71" t="s">
        <v>21</v>
      </c>
      <c r="AF3" s="75" t="s">
        <v>22</v>
      </c>
      <c r="AG3" s="75" t="s">
        <v>23</v>
      </c>
      <c r="AH3" s="76" t="s">
        <v>52</v>
      </c>
      <c r="AI3" s="76" t="s">
        <v>53</v>
      </c>
      <c r="AJ3" s="76" t="s">
        <v>54</v>
      </c>
      <c r="AK3" s="76" t="s">
        <v>55</v>
      </c>
      <c r="AL3" s="71" t="s">
        <v>348</v>
      </c>
      <c r="AM3" s="71" t="s">
        <v>349</v>
      </c>
      <c r="AN3" s="77" t="s">
        <v>350</v>
      </c>
      <c r="AO3" s="71" t="s">
        <v>351</v>
      </c>
      <c r="AP3" s="71" t="s">
        <v>352</v>
      </c>
      <c r="AQ3" s="76" t="s">
        <v>57</v>
      </c>
      <c r="AR3" s="78" t="s">
        <v>187</v>
      </c>
      <c r="AS3" s="78" t="s">
        <v>188</v>
      </c>
      <c r="AT3" s="78" t="s">
        <v>189</v>
      </c>
      <c r="AU3" s="78" t="s">
        <v>190</v>
      </c>
      <c r="AV3" s="78" t="s">
        <v>191</v>
      </c>
      <c r="AW3" s="78" t="s">
        <v>192</v>
      </c>
      <c r="AX3" s="78" t="s">
        <v>193</v>
      </c>
      <c r="AY3" s="71" t="s">
        <v>24</v>
      </c>
      <c r="AZ3" s="79" t="s">
        <v>60</v>
      </c>
      <c r="BA3" s="23" t="s">
        <v>34</v>
      </c>
      <c r="BB3" s="24" t="s">
        <v>35</v>
      </c>
      <c r="BC3" s="25" t="s">
        <v>36</v>
      </c>
      <c r="BD3" s="26" t="s">
        <v>34</v>
      </c>
      <c r="BE3" s="24" t="s">
        <v>35</v>
      </c>
      <c r="BF3" s="27" t="s">
        <v>36</v>
      </c>
      <c r="BG3" s="23" t="s">
        <v>34</v>
      </c>
      <c r="BH3" s="24" t="s">
        <v>35</v>
      </c>
      <c r="BI3" s="25" t="s">
        <v>36</v>
      </c>
      <c r="BJ3" s="23" t="s">
        <v>34</v>
      </c>
      <c r="BK3" s="24" t="s">
        <v>35</v>
      </c>
      <c r="BL3" s="27" t="s">
        <v>36</v>
      </c>
      <c r="BM3" s="23" t="s">
        <v>34</v>
      </c>
      <c r="BN3" s="24" t="s">
        <v>35</v>
      </c>
      <c r="BO3" s="27" t="s">
        <v>36</v>
      </c>
      <c r="BP3" s="23" t="s">
        <v>34</v>
      </c>
      <c r="BQ3" s="24" t="s">
        <v>35</v>
      </c>
      <c r="BR3" s="27" t="s">
        <v>36</v>
      </c>
      <c r="BS3" s="23" t="s">
        <v>34</v>
      </c>
      <c r="BT3" s="24" t="s">
        <v>35</v>
      </c>
      <c r="BU3" s="25" t="s">
        <v>36</v>
      </c>
      <c r="BV3" s="23" t="s">
        <v>34</v>
      </c>
      <c r="BW3" s="24" t="s">
        <v>35</v>
      </c>
      <c r="BX3" s="27" t="s">
        <v>36</v>
      </c>
      <c r="BY3" s="23" t="s">
        <v>34</v>
      </c>
      <c r="BZ3" s="24" t="s">
        <v>35</v>
      </c>
      <c r="CA3" s="24" t="s">
        <v>36</v>
      </c>
      <c r="CB3" s="41"/>
      <c r="CC3" s="41"/>
      <c r="CD3" s="41"/>
      <c r="CE3" s="41"/>
      <c r="CF3" s="41"/>
      <c r="CG3" s="41"/>
      <c r="CH3" s="41"/>
    </row>
    <row r="4" spans="1:86" s="35" customFormat="1" ht="16.2" x14ac:dyDescent="0.3">
      <c r="A4" s="57">
        <v>44635</v>
      </c>
      <c r="B4" s="58" t="s">
        <v>353</v>
      </c>
      <c r="C4" s="34">
        <v>7104292</v>
      </c>
      <c r="D4" s="7" t="s">
        <v>219</v>
      </c>
      <c r="E4" s="94" t="s">
        <v>220</v>
      </c>
      <c r="F4" s="8">
        <v>1</v>
      </c>
      <c r="G4" s="4">
        <v>0</v>
      </c>
      <c r="H4" s="54">
        <v>0</v>
      </c>
      <c r="I4" s="4">
        <v>0</v>
      </c>
      <c r="J4" s="3">
        <v>0</v>
      </c>
      <c r="K4" s="44"/>
      <c r="L4" s="82">
        <v>1</v>
      </c>
      <c r="M4" s="82">
        <v>0</v>
      </c>
      <c r="N4" s="82">
        <v>1</v>
      </c>
      <c r="O4" s="82">
        <v>0</v>
      </c>
      <c r="P4" s="82">
        <v>0</v>
      </c>
      <c r="Q4" s="82">
        <v>0</v>
      </c>
      <c r="R4" s="83">
        <v>0</v>
      </c>
      <c r="S4" s="83">
        <v>0</v>
      </c>
      <c r="T4" s="83">
        <v>0</v>
      </c>
      <c r="U4" s="83">
        <v>0</v>
      </c>
      <c r="V4" s="83">
        <v>0</v>
      </c>
      <c r="W4" s="82">
        <v>0</v>
      </c>
      <c r="X4" s="82">
        <v>0</v>
      </c>
      <c r="Y4" s="83">
        <v>0</v>
      </c>
      <c r="Z4" s="84">
        <v>0</v>
      </c>
      <c r="AA4" s="82">
        <v>0</v>
      </c>
      <c r="AB4" s="82">
        <v>0</v>
      </c>
      <c r="AC4" s="82">
        <v>0</v>
      </c>
      <c r="AD4" s="82">
        <v>0</v>
      </c>
      <c r="AE4" s="82">
        <v>0</v>
      </c>
      <c r="AF4" s="84">
        <v>0</v>
      </c>
      <c r="AG4" s="84">
        <v>0</v>
      </c>
      <c r="AH4" s="85">
        <v>0</v>
      </c>
      <c r="AI4" s="85">
        <v>0</v>
      </c>
      <c r="AJ4" s="85">
        <v>0</v>
      </c>
      <c r="AK4" s="85">
        <v>0</v>
      </c>
      <c r="AL4" s="82">
        <v>0</v>
      </c>
      <c r="AM4" s="82">
        <v>0</v>
      </c>
      <c r="AN4" s="86">
        <v>0</v>
      </c>
      <c r="AO4" s="82">
        <v>0</v>
      </c>
      <c r="AP4" s="82">
        <v>0</v>
      </c>
      <c r="AQ4" s="82">
        <v>0</v>
      </c>
      <c r="AR4" s="87">
        <v>1</v>
      </c>
      <c r="AS4" s="87">
        <v>0</v>
      </c>
      <c r="AT4" s="87">
        <v>0</v>
      </c>
      <c r="AU4" s="87">
        <v>0</v>
      </c>
      <c r="AV4" s="87">
        <v>0</v>
      </c>
      <c r="AW4" s="87">
        <v>0</v>
      </c>
      <c r="AX4" s="87">
        <v>0</v>
      </c>
      <c r="AY4" s="82">
        <v>0</v>
      </c>
      <c r="AZ4" s="80"/>
      <c r="BA4" s="81"/>
      <c r="BB4" s="1">
        <f t="shared" ref="BB4" si="0">BA4*2.5</f>
        <v>0</v>
      </c>
      <c r="BC4" s="6"/>
      <c r="BD4" s="47"/>
      <c r="BE4" s="5">
        <f t="shared" ref="BE4" si="1">BD4*1.625</f>
        <v>0</v>
      </c>
      <c r="BF4" s="48"/>
      <c r="BG4" s="49"/>
      <c r="BH4" s="1">
        <f t="shared" ref="BH4" si="2">BG4*1.625</f>
        <v>0</v>
      </c>
      <c r="BI4" s="50"/>
      <c r="BJ4" s="51"/>
      <c r="BK4" s="5">
        <f t="shared" ref="BK4" si="3">BJ4*1.625</f>
        <v>0</v>
      </c>
      <c r="BL4" s="48"/>
      <c r="BM4" s="49"/>
      <c r="BN4" s="1">
        <f t="shared" ref="BN4" si="4">BM4*1.625</f>
        <v>0</v>
      </c>
      <c r="BO4" s="50"/>
      <c r="BP4" s="51"/>
      <c r="BQ4" s="5">
        <f t="shared" ref="BQ4" si="5">BP4*1.625</f>
        <v>0</v>
      </c>
      <c r="BR4" s="48"/>
      <c r="BS4" s="49"/>
      <c r="BT4" s="1">
        <f t="shared" ref="BT4" si="6">BS4*1.625</f>
        <v>0</v>
      </c>
      <c r="BU4" s="50"/>
      <c r="BV4" s="51"/>
      <c r="BW4" s="5">
        <f t="shared" ref="BW4" si="7">BV4*1.5</f>
        <v>0</v>
      </c>
      <c r="BX4" s="48"/>
      <c r="BY4" s="49"/>
      <c r="BZ4" s="2">
        <f t="shared" ref="BZ4" si="8">BY4*2.5</f>
        <v>0</v>
      </c>
      <c r="CA4" s="52"/>
      <c r="CB4" s="41"/>
      <c r="CC4" s="41"/>
      <c r="CD4" s="41"/>
      <c r="CE4" s="41"/>
      <c r="CF4" s="41"/>
      <c r="CG4" s="41"/>
      <c r="CH4" s="41"/>
    </row>
  </sheetData>
  <autoFilter ref="A3:AZ4" xr:uid="{00000000-0009-0000-0000-000000000000}"/>
  <mergeCells count="10">
    <mergeCell ref="A1:E1"/>
    <mergeCell ref="BA2:BC2"/>
    <mergeCell ref="BV2:BX2"/>
    <mergeCell ref="BY2:CA2"/>
    <mergeCell ref="BD2:BF2"/>
    <mergeCell ref="BG2:BI2"/>
    <mergeCell ref="BJ2:BL2"/>
    <mergeCell ref="BM2:BO2"/>
    <mergeCell ref="BP2:BR2"/>
    <mergeCell ref="BS2:BU2"/>
  </mergeCells>
  <conditionalFormatting sqref="I4">
    <cfRule type="cellIs" dxfId="112" priority="28" operator="greaterThanOrEqual">
      <formula>20</formula>
    </cfRule>
  </conditionalFormatting>
  <pageMargins left="0.7" right="0.7" top="0.75" bottom="0.75" header="0.3" footer="0.3"/>
  <pageSetup orientation="portrait" verticalDpi="599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T149"/>
  <sheetViews>
    <sheetView zoomScale="70" zoomScaleNormal="70" workbookViewId="0">
      <pane xSplit="5" ySplit="2" topLeftCell="M3" activePane="bottomRight" state="frozen"/>
      <selection pane="topRight" activeCell="F1" sqref="F1"/>
      <selection pane="bottomLeft" activeCell="A2" sqref="A2"/>
      <selection pane="bottomRight" activeCell="AD28" sqref="AD28"/>
    </sheetView>
  </sheetViews>
  <sheetFormatPr defaultColWidth="9.109375" defaultRowHeight="14.4" x14ac:dyDescent="0.3"/>
  <cols>
    <col min="1" max="2" width="9.109375" style="44"/>
    <col min="3" max="3" width="11.44140625" style="44" customWidth="1"/>
    <col min="4" max="4" width="22" style="44" customWidth="1"/>
    <col min="5" max="5" width="17.33203125" style="44" customWidth="1"/>
    <col min="6" max="6" width="9.109375" style="44"/>
    <col min="7" max="8" width="10.5546875" style="44" customWidth="1"/>
    <col min="9" max="46" width="9.109375" style="44"/>
    <col min="47" max="16384" width="9.109375" style="45"/>
  </cols>
  <sheetData>
    <row r="1" spans="1:46" x14ac:dyDescent="0.3">
      <c r="F1" s="44" t="s">
        <v>59</v>
      </c>
      <c r="G1" s="44" t="s">
        <v>59</v>
      </c>
      <c r="H1" s="44" t="s">
        <v>59</v>
      </c>
      <c r="I1" s="44" t="s">
        <v>59</v>
      </c>
      <c r="J1" s="44" t="s">
        <v>59</v>
      </c>
      <c r="K1" s="44" t="s">
        <v>59</v>
      </c>
      <c r="L1" s="44" t="s">
        <v>59</v>
      </c>
      <c r="M1" s="44" t="s">
        <v>59</v>
      </c>
      <c r="N1" s="44" t="s">
        <v>59</v>
      </c>
      <c r="P1" s="44" t="s">
        <v>59</v>
      </c>
      <c r="Q1" s="44" t="s">
        <v>59</v>
      </c>
      <c r="R1" s="44" t="s">
        <v>59</v>
      </c>
      <c r="S1" s="44" t="s">
        <v>59</v>
      </c>
      <c r="T1" s="44" t="s">
        <v>59</v>
      </c>
      <c r="U1" s="44" t="s">
        <v>59</v>
      </c>
      <c r="V1" s="44" t="s">
        <v>59</v>
      </c>
      <c r="W1" s="44" t="s">
        <v>59</v>
      </c>
      <c r="X1" s="44" t="s">
        <v>59</v>
      </c>
      <c r="Y1" s="44" t="s">
        <v>59</v>
      </c>
      <c r="Z1" s="44" t="s">
        <v>59</v>
      </c>
      <c r="AA1" s="44" t="s">
        <v>59</v>
      </c>
      <c r="AB1" s="44" t="s">
        <v>59</v>
      </c>
      <c r="AC1" s="44" t="s">
        <v>59</v>
      </c>
      <c r="AD1" s="44" t="s">
        <v>59</v>
      </c>
      <c r="AE1" s="44" t="s">
        <v>59</v>
      </c>
      <c r="AF1" s="44" t="s">
        <v>59</v>
      </c>
      <c r="AG1" s="44" t="s">
        <v>59</v>
      </c>
      <c r="AH1" s="44" t="s">
        <v>59</v>
      </c>
      <c r="AI1" s="44" t="s">
        <v>59</v>
      </c>
      <c r="AJ1" s="44" t="s">
        <v>59</v>
      </c>
      <c r="AK1" s="44" t="s">
        <v>59</v>
      </c>
      <c r="AL1" s="44" t="s">
        <v>59</v>
      </c>
      <c r="AM1" s="44" t="s">
        <v>59</v>
      </c>
      <c r="AN1" s="44" t="s">
        <v>59</v>
      </c>
      <c r="AO1" s="44" t="s">
        <v>59</v>
      </c>
      <c r="AP1" s="44" t="s">
        <v>59</v>
      </c>
      <c r="AQ1" s="44" t="s">
        <v>59</v>
      </c>
      <c r="AR1" s="44" t="s">
        <v>59</v>
      </c>
      <c r="AS1" s="44" t="s">
        <v>59</v>
      </c>
      <c r="AT1" s="44" t="s">
        <v>59</v>
      </c>
    </row>
    <row r="2" spans="1:46" ht="60.75" customHeight="1" x14ac:dyDescent="0.3">
      <c r="A2" s="44" t="s">
        <v>0</v>
      </c>
      <c r="B2" s="44" t="s">
        <v>1</v>
      </c>
      <c r="C2" s="44" t="s">
        <v>2</v>
      </c>
      <c r="D2" s="44" t="s">
        <v>3</v>
      </c>
      <c r="E2" s="44" t="s">
        <v>4</v>
      </c>
      <c r="F2" s="36" t="s">
        <v>39</v>
      </c>
      <c r="G2" s="36" t="s">
        <v>40</v>
      </c>
      <c r="H2" s="36" t="s">
        <v>169</v>
      </c>
      <c r="I2" s="36" t="s">
        <v>83</v>
      </c>
      <c r="J2" s="36" t="s">
        <v>181</v>
      </c>
      <c r="K2" s="36" t="s">
        <v>84</v>
      </c>
      <c r="L2" s="36" t="s">
        <v>41</v>
      </c>
      <c r="M2" s="36" t="s">
        <v>42</v>
      </c>
      <c r="N2" s="36" t="s">
        <v>63</v>
      </c>
      <c r="O2" s="36" t="s">
        <v>185</v>
      </c>
      <c r="P2" s="36" t="s">
        <v>43</v>
      </c>
      <c r="Q2" s="36" t="s">
        <v>44</v>
      </c>
      <c r="R2" s="36" t="s">
        <v>17</v>
      </c>
      <c r="S2" s="36" t="s">
        <v>87</v>
      </c>
      <c r="T2" s="36" t="s">
        <v>95</v>
      </c>
      <c r="U2" s="36" t="s">
        <v>45</v>
      </c>
      <c r="V2" s="36" t="s">
        <v>183</v>
      </c>
      <c r="W2" s="36" t="s">
        <v>46</v>
      </c>
      <c r="X2" s="36" t="s">
        <v>20</v>
      </c>
      <c r="Y2" s="36" t="s">
        <v>47</v>
      </c>
      <c r="Z2" s="36" t="s">
        <v>90</v>
      </c>
      <c r="AA2" s="36" t="s">
        <v>48</v>
      </c>
      <c r="AB2" s="36" t="s">
        <v>56</v>
      </c>
      <c r="AC2" s="36" t="s">
        <v>53</v>
      </c>
      <c r="AD2" s="36" t="s">
        <v>54</v>
      </c>
      <c r="AE2" s="36" t="s">
        <v>55</v>
      </c>
      <c r="AF2" s="36" t="s">
        <v>49</v>
      </c>
      <c r="AG2" s="36" t="s">
        <v>50</v>
      </c>
      <c r="AH2" s="36" t="s">
        <v>67</v>
      </c>
      <c r="AI2" s="36" t="s">
        <v>96</v>
      </c>
      <c r="AJ2" s="36" t="s">
        <v>97</v>
      </c>
      <c r="AK2" s="36" t="s">
        <v>57</v>
      </c>
      <c r="AL2" s="36" t="s">
        <v>187</v>
      </c>
      <c r="AM2" s="36" t="s">
        <v>188</v>
      </c>
      <c r="AN2" s="36" t="s">
        <v>189</v>
      </c>
      <c r="AO2" s="36" t="s">
        <v>190</v>
      </c>
      <c r="AP2" s="36" t="s">
        <v>191</v>
      </c>
      <c r="AQ2" s="36" t="s">
        <v>192</v>
      </c>
      <c r="AR2" s="36" t="s">
        <v>193</v>
      </c>
      <c r="AS2" s="36" t="s">
        <v>51</v>
      </c>
      <c r="AT2" s="36" t="s">
        <v>186</v>
      </c>
    </row>
    <row r="3" spans="1:46" x14ac:dyDescent="0.3">
      <c r="A3" s="29"/>
      <c r="B3" s="29"/>
      <c r="C3" s="34">
        <v>7104292</v>
      </c>
      <c r="D3" s="34" t="s">
        <v>219</v>
      </c>
      <c r="E3" s="59" t="s">
        <v>220</v>
      </c>
      <c r="F3" s="29">
        <v>1</v>
      </c>
      <c r="G3" s="29"/>
      <c r="H3" s="29">
        <v>1</v>
      </c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>
        <v>1</v>
      </c>
      <c r="AM3" s="29"/>
      <c r="AN3" s="29"/>
      <c r="AO3" s="29"/>
      <c r="AP3" s="29"/>
      <c r="AQ3" s="29"/>
      <c r="AR3" s="29"/>
      <c r="AS3" s="29"/>
      <c r="AT3" s="29"/>
    </row>
    <row r="4" spans="1:46" x14ac:dyDescent="0.3">
      <c r="A4" s="29"/>
      <c r="B4" s="29"/>
      <c r="C4" s="34">
        <v>7104212</v>
      </c>
      <c r="D4" s="34" t="s">
        <v>207</v>
      </c>
      <c r="E4" s="59" t="s">
        <v>208</v>
      </c>
      <c r="F4" s="29">
        <v>1</v>
      </c>
      <c r="G4" s="29"/>
      <c r="H4" s="29">
        <v>1</v>
      </c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</row>
    <row r="5" spans="1:46" x14ac:dyDescent="0.3">
      <c r="A5" s="29"/>
      <c r="B5" s="29"/>
      <c r="C5" s="34">
        <v>7104132</v>
      </c>
      <c r="D5" s="34" t="s">
        <v>194</v>
      </c>
      <c r="E5" s="59" t="s">
        <v>195</v>
      </c>
      <c r="F5" s="29">
        <v>1</v>
      </c>
      <c r="G5" s="29"/>
      <c r="H5" s="29"/>
      <c r="I5" s="29"/>
      <c r="J5" s="29"/>
      <c r="K5" s="29"/>
      <c r="L5" s="29"/>
      <c r="M5" s="29">
        <v>1</v>
      </c>
      <c r="N5" s="29">
        <v>1</v>
      </c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</row>
    <row r="6" spans="1:46" ht="15" customHeight="1" x14ac:dyDescent="0.3">
      <c r="A6" s="57"/>
      <c r="B6" s="58"/>
      <c r="C6" s="34">
        <v>7104972</v>
      </c>
      <c r="D6" s="7" t="s">
        <v>326</v>
      </c>
      <c r="E6" s="59" t="s">
        <v>330</v>
      </c>
      <c r="F6" s="29"/>
      <c r="G6" s="29"/>
      <c r="H6" s="29"/>
      <c r="I6" s="29">
        <v>1</v>
      </c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</row>
    <row r="7" spans="1:46" ht="15" customHeight="1" x14ac:dyDescent="0.3">
      <c r="A7" s="29"/>
      <c r="B7" s="29"/>
      <c r="C7" s="34">
        <v>7104178</v>
      </c>
      <c r="D7" s="34" t="s">
        <v>196</v>
      </c>
      <c r="E7" s="59" t="s">
        <v>197</v>
      </c>
      <c r="F7" s="29">
        <v>1</v>
      </c>
      <c r="G7" s="29"/>
      <c r="H7" s="29">
        <v>1</v>
      </c>
      <c r="I7" s="29"/>
      <c r="J7" s="29">
        <v>1</v>
      </c>
      <c r="K7" s="29"/>
      <c r="L7" s="29"/>
      <c r="M7" s="29">
        <v>1</v>
      </c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</row>
    <row r="8" spans="1:46" ht="15" customHeight="1" x14ac:dyDescent="0.3">
      <c r="A8" s="57"/>
      <c r="B8" s="58"/>
      <c r="C8" s="34">
        <v>7104337</v>
      </c>
      <c r="D8" s="34" t="s">
        <v>243</v>
      </c>
      <c r="E8" s="59" t="s">
        <v>244</v>
      </c>
    </row>
    <row r="9" spans="1:46" x14ac:dyDescent="0.3">
      <c r="A9" s="29"/>
      <c r="B9" s="29"/>
      <c r="C9" s="37">
        <v>7095873</v>
      </c>
      <c r="D9" s="37" t="s">
        <v>101</v>
      </c>
      <c r="E9" s="40" t="s">
        <v>98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>
        <v>1</v>
      </c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</row>
    <row r="10" spans="1:46" ht="15" customHeight="1" x14ac:dyDescent="0.3">
      <c r="C10" s="34">
        <v>7095780</v>
      </c>
      <c r="D10" s="34" t="s">
        <v>228</v>
      </c>
      <c r="E10" s="59" t="s">
        <v>229</v>
      </c>
      <c r="F10" s="44">
        <v>1</v>
      </c>
      <c r="U10" s="44">
        <v>1</v>
      </c>
      <c r="Y10" s="44">
        <v>1</v>
      </c>
    </row>
    <row r="11" spans="1:46" ht="15" customHeight="1" x14ac:dyDescent="0.3">
      <c r="A11" s="29"/>
      <c r="B11" s="29"/>
      <c r="C11" s="29">
        <v>7401154</v>
      </c>
      <c r="D11" s="29" t="s">
        <v>70</v>
      </c>
      <c r="E11" s="29" t="s">
        <v>71</v>
      </c>
      <c r="F11" s="29">
        <v>1</v>
      </c>
      <c r="G11" s="29"/>
      <c r="H11" s="29"/>
      <c r="I11" s="29">
        <v>1</v>
      </c>
      <c r="J11" s="29"/>
      <c r="K11" s="29"/>
      <c r="L11" s="29"/>
      <c r="M11" s="29">
        <v>1</v>
      </c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>
        <v>1</v>
      </c>
      <c r="AA11" s="29">
        <v>1</v>
      </c>
      <c r="AB11" s="29"/>
      <c r="AC11" s="29"/>
      <c r="AD11" s="29"/>
      <c r="AE11" s="29"/>
      <c r="AF11" s="29"/>
      <c r="AG11" s="29"/>
      <c r="AH11" s="29"/>
      <c r="AI11" s="29">
        <v>1</v>
      </c>
      <c r="AJ11" s="29">
        <v>1</v>
      </c>
      <c r="AK11" s="29"/>
      <c r="AL11" s="29"/>
      <c r="AM11" s="29"/>
      <c r="AN11" s="29"/>
      <c r="AO11" s="29"/>
      <c r="AP11" s="29"/>
      <c r="AQ11" s="29"/>
      <c r="AR11" s="29"/>
      <c r="AS11" s="29"/>
      <c r="AT11" s="29"/>
    </row>
    <row r="12" spans="1:46" x14ac:dyDescent="0.3">
      <c r="A12" s="57"/>
      <c r="B12" s="58"/>
      <c r="C12" s="34">
        <v>74030137</v>
      </c>
      <c r="D12" s="34" t="s">
        <v>341</v>
      </c>
      <c r="E12" s="59" t="s">
        <v>344</v>
      </c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</row>
    <row r="13" spans="1:46" x14ac:dyDescent="0.3">
      <c r="A13" s="57"/>
      <c r="B13" s="58"/>
      <c r="C13" s="34">
        <v>7104549</v>
      </c>
      <c r="D13" s="34" t="s">
        <v>245</v>
      </c>
      <c r="E13" s="59" t="s">
        <v>225</v>
      </c>
      <c r="H13" s="44">
        <v>1</v>
      </c>
    </row>
    <row r="14" spans="1:46" ht="15" customHeight="1" x14ac:dyDescent="0.3">
      <c r="A14" s="57"/>
      <c r="B14" s="58"/>
      <c r="C14" s="34">
        <v>7104332</v>
      </c>
      <c r="D14" s="34" t="s">
        <v>246</v>
      </c>
      <c r="E14" s="59" t="s">
        <v>74</v>
      </c>
      <c r="M14" s="44">
        <v>1</v>
      </c>
    </row>
    <row r="15" spans="1:46" x14ac:dyDescent="0.3">
      <c r="A15" s="57"/>
      <c r="B15" s="58"/>
      <c r="C15" s="34">
        <v>7109999</v>
      </c>
      <c r="D15" s="7" t="s">
        <v>327</v>
      </c>
      <c r="E15" s="59" t="s">
        <v>331</v>
      </c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</row>
    <row r="16" spans="1:46" ht="15" customHeight="1" x14ac:dyDescent="0.3">
      <c r="A16" s="57"/>
      <c r="B16" s="58"/>
      <c r="C16" s="34">
        <v>7104333</v>
      </c>
      <c r="D16" s="34" t="s">
        <v>247</v>
      </c>
      <c r="E16" s="59" t="s">
        <v>248</v>
      </c>
      <c r="F16" s="44">
        <v>1</v>
      </c>
      <c r="H16" s="44">
        <v>1</v>
      </c>
      <c r="T16" s="44">
        <v>1</v>
      </c>
    </row>
    <row r="17" spans="1:46" x14ac:dyDescent="0.3">
      <c r="A17" s="57"/>
      <c r="B17" s="58"/>
      <c r="C17" s="34">
        <v>7401147</v>
      </c>
      <c r="D17" s="34" t="s">
        <v>247</v>
      </c>
      <c r="E17" s="59" t="s">
        <v>249</v>
      </c>
      <c r="F17" s="44">
        <v>1</v>
      </c>
      <c r="H17" s="44">
        <v>1</v>
      </c>
      <c r="T17" s="44">
        <v>1</v>
      </c>
    </row>
    <row r="18" spans="1:46" ht="15" customHeight="1" x14ac:dyDescent="0.3">
      <c r="A18" s="57"/>
      <c r="B18" s="58"/>
      <c r="C18" s="34">
        <v>7105038</v>
      </c>
      <c r="D18" s="7" t="s">
        <v>334</v>
      </c>
      <c r="E18" s="94" t="s">
        <v>337</v>
      </c>
      <c r="F18" s="29"/>
      <c r="G18" s="29"/>
      <c r="H18" s="29">
        <v>1</v>
      </c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</row>
    <row r="19" spans="1:46" ht="15" customHeight="1" x14ac:dyDescent="0.3">
      <c r="A19" s="57"/>
      <c r="B19" s="58"/>
      <c r="C19" s="34">
        <v>7105087</v>
      </c>
      <c r="D19" s="34" t="s">
        <v>339</v>
      </c>
      <c r="E19" s="59" t="s">
        <v>340</v>
      </c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</row>
    <row r="20" spans="1:46" x14ac:dyDescent="0.3">
      <c r="A20" s="57"/>
      <c r="B20" s="58"/>
      <c r="C20" s="34">
        <v>7104754</v>
      </c>
      <c r="D20" s="34" t="s">
        <v>275</v>
      </c>
      <c r="E20" s="59" t="s">
        <v>276</v>
      </c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>
        <v>1</v>
      </c>
      <c r="AS20" s="29"/>
      <c r="AT20" s="29"/>
    </row>
    <row r="21" spans="1:46" x14ac:dyDescent="0.3">
      <c r="A21" s="30"/>
      <c r="B21" s="31"/>
      <c r="C21" s="29">
        <v>7402019</v>
      </c>
      <c r="D21" s="29" t="s">
        <v>80</v>
      </c>
      <c r="E21" s="43" t="s">
        <v>66</v>
      </c>
      <c r="F21" s="29">
        <v>1</v>
      </c>
      <c r="G21" s="29"/>
      <c r="H21" s="29"/>
      <c r="I21" s="29">
        <v>1</v>
      </c>
      <c r="J21" s="29"/>
      <c r="K21" s="29"/>
      <c r="L21" s="29"/>
      <c r="M21" s="29">
        <v>1</v>
      </c>
      <c r="N21" s="29"/>
      <c r="O21" s="29"/>
      <c r="P21" s="29">
        <v>1</v>
      </c>
      <c r="Q21" s="29"/>
      <c r="R21" s="29"/>
      <c r="S21" s="29"/>
      <c r="T21" s="29"/>
      <c r="U21" s="29"/>
      <c r="V21" s="29"/>
      <c r="W21" s="29"/>
      <c r="X21" s="29"/>
      <c r="Y21" s="29"/>
      <c r="Z21" s="29">
        <v>1</v>
      </c>
      <c r="AA21" s="29">
        <v>1</v>
      </c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>
        <v>1</v>
      </c>
      <c r="AS21" s="29"/>
      <c r="AT21" s="29"/>
    </row>
    <row r="22" spans="1:46" x14ac:dyDescent="0.3">
      <c r="A22" s="29"/>
      <c r="B22" s="29"/>
      <c r="C22" s="34">
        <v>7104227</v>
      </c>
      <c r="D22" s="34" t="s">
        <v>209</v>
      </c>
      <c r="E22" s="59" t="s">
        <v>210</v>
      </c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</row>
    <row r="23" spans="1:46" x14ac:dyDescent="0.3">
      <c r="A23" s="30"/>
      <c r="B23" s="31"/>
      <c r="C23" s="34">
        <v>7104882</v>
      </c>
      <c r="D23" s="37" t="s">
        <v>305</v>
      </c>
      <c r="E23" s="59" t="s">
        <v>316</v>
      </c>
      <c r="F23" s="29"/>
      <c r="G23" s="29"/>
      <c r="H23" s="29">
        <v>1</v>
      </c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</row>
    <row r="24" spans="1:46" x14ac:dyDescent="0.3">
      <c r="A24" s="57"/>
      <c r="B24" s="58"/>
      <c r="C24" s="34">
        <v>7104857</v>
      </c>
      <c r="D24" s="37" t="s">
        <v>306</v>
      </c>
      <c r="E24" s="59" t="s">
        <v>317</v>
      </c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>
        <v>1</v>
      </c>
      <c r="AS24" s="29"/>
      <c r="AT24" s="29"/>
    </row>
    <row r="25" spans="1:46" x14ac:dyDescent="0.3">
      <c r="A25" s="57"/>
      <c r="B25" s="58"/>
      <c r="C25" s="55">
        <v>7401354</v>
      </c>
      <c r="D25" s="32" t="s">
        <v>107</v>
      </c>
      <c r="E25" s="32" t="s">
        <v>108</v>
      </c>
      <c r="F25" s="29">
        <v>1</v>
      </c>
      <c r="G25" s="29"/>
      <c r="H25" s="29"/>
      <c r="I25" s="29">
        <v>1</v>
      </c>
      <c r="J25" s="29"/>
      <c r="K25" s="29"/>
      <c r="L25" s="29"/>
      <c r="M25" s="29">
        <v>1</v>
      </c>
      <c r="N25" s="29"/>
      <c r="O25" s="29"/>
      <c r="P25" s="29"/>
      <c r="Q25" s="29"/>
      <c r="R25" s="29"/>
      <c r="S25" s="29"/>
      <c r="T25" s="29">
        <v>1</v>
      </c>
      <c r="U25" s="29"/>
      <c r="V25" s="29"/>
      <c r="W25" s="29"/>
      <c r="X25" s="29"/>
      <c r="Y25" s="29"/>
      <c r="Z25" s="29"/>
      <c r="AA25" s="29">
        <v>1</v>
      </c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</row>
    <row r="26" spans="1:46" ht="15" customHeight="1" x14ac:dyDescent="0.3">
      <c r="A26" s="29"/>
      <c r="B26" s="29"/>
      <c r="C26" s="34">
        <v>7104370</v>
      </c>
      <c r="D26" s="34" t="s">
        <v>277</v>
      </c>
      <c r="E26" s="59" t="s">
        <v>278</v>
      </c>
      <c r="F26" s="44">
        <v>1</v>
      </c>
      <c r="M26" s="44">
        <v>1</v>
      </c>
    </row>
    <row r="27" spans="1:46" ht="15" customHeight="1" x14ac:dyDescent="0.3">
      <c r="A27" s="57"/>
      <c r="B27" s="58"/>
      <c r="C27" s="34">
        <v>7104238</v>
      </c>
      <c r="D27" s="34" t="s">
        <v>250</v>
      </c>
      <c r="E27" s="59" t="s">
        <v>242</v>
      </c>
      <c r="F27" s="44">
        <v>1</v>
      </c>
      <c r="M27" s="44">
        <v>1</v>
      </c>
    </row>
    <row r="28" spans="1:46" ht="15" customHeight="1" x14ac:dyDescent="0.3">
      <c r="A28" s="57"/>
      <c r="B28" s="58"/>
      <c r="C28" s="34">
        <v>7104257</v>
      </c>
      <c r="D28" s="34" t="s">
        <v>251</v>
      </c>
      <c r="E28" s="59" t="s">
        <v>252</v>
      </c>
      <c r="M28" s="44">
        <v>1</v>
      </c>
    </row>
    <row r="29" spans="1:46" ht="15" customHeight="1" x14ac:dyDescent="0.3">
      <c r="A29" s="29"/>
      <c r="B29" s="29"/>
      <c r="C29" s="34">
        <v>104</v>
      </c>
      <c r="D29" s="7" t="s">
        <v>290</v>
      </c>
      <c r="E29" s="59" t="s">
        <v>297</v>
      </c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</row>
    <row r="30" spans="1:46" ht="15" customHeight="1" x14ac:dyDescent="0.3">
      <c r="A30" s="29"/>
      <c r="B30" s="29"/>
      <c r="C30" s="37">
        <v>7400336</v>
      </c>
      <c r="D30" s="37" t="s">
        <v>64</v>
      </c>
      <c r="E30" s="40" t="s">
        <v>65</v>
      </c>
      <c r="F30" s="29">
        <v>1</v>
      </c>
      <c r="G30" s="29"/>
      <c r="H30" s="29">
        <v>1</v>
      </c>
      <c r="I30" s="29"/>
      <c r="J30" s="29"/>
      <c r="K30" s="29"/>
      <c r="L30" s="29"/>
      <c r="M30" s="29">
        <v>1</v>
      </c>
      <c r="N30" s="29"/>
      <c r="O30" s="29"/>
      <c r="P30" s="29"/>
      <c r="Q30" s="29"/>
      <c r="R30" s="29"/>
      <c r="S30" s="29"/>
      <c r="T30" s="29">
        <v>1</v>
      </c>
      <c r="U30" s="29"/>
      <c r="V30" s="29"/>
      <c r="W30" s="29"/>
      <c r="X30" s="29"/>
      <c r="Y30" s="29"/>
      <c r="Z30" s="29">
        <v>1</v>
      </c>
      <c r="AA30" s="29">
        <v>1</v>
      </c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</row>
    <row r="31" spans="1:46" ht="15" customHeight="1" x14ac:dyDescent="0.3">
      <c r="A31" s="29"/>
      <c r="B31" s="29"/>
      <c r="C31" s="34">
        <v>7104633</v>
      </c>
      <c r="D31" s="34" t="s">
        <v>253</v>
      </c>
      <c r="E31" s="59" t="s">
        <v>254</v>
      </c>
      <c r="M31" s="44">
        <v>1</v>
      </c>
    </row>
    <row r="32" spans="1:46" ht="15" customHeight="1" x14ac:dyDescent="0.3">
      <c r="A32" s="53"/>
      <c r="B32" s="31"/>
      <c r="C32" s="34">
        <v>24</v>
      </c>
      <c r="D32" s="34" t="s">
        <v>279</v>
      </c>
      <c r="E32" s="59" t="s">
        <v>280</v>
      </c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</row>
    <row r="33" spans="1:46" ht="15" customHeight="1" x14ac:dyDescent="0.3">
      <c r="A33" s="29"/>
      <c r="B33" s="29"/>
      <c r="C33" s="34">
        <v>102</v>
      </c>
      <c r="D33" s="7" t="s">
        <v>291</v>
      </c>
      <c r="E33" s="59" t="s">
        <v>298</v>
      </c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</row>
    <row r="34" spans="1:46" ht="15" customHeight="1" x14ac:dyDescent="0.3">
      <c r="A34" s="57"/>
      <c r="B34" s="58"/>
      <c r="C34" s="34">
        <v>7104866</v>
      </c>
      <c r="D34" s="37" t="s">
        <v>307</v>
      </c>
      <c r="E34" s="59" t="s">
        <v>318</v>
      </c>
      <c r="F34" s="29"/>
      <c r="G34" s="29"/>
      <c r="H34" s="29"/>
      <c r="I34" s="29">
        <v>1</v>
      </c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</row>
    <row r="35" spans="1:46" ht="15" customHeight="1" x14ac:dyDescent="0.3">
      <c r="A35" s="57"/>
      <c r="B35" s="58"/>
      <c r="C35" s="34">
        <v>7104568</v>
      </c>
      <c r="D35" s="7" t="s">
        <v>335</v>
      </c>
      <c r="E35" s="94" t="s">
        <v>338</v>
      </c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</row>
    <row r="36" spans="1:46" ht="15" customHeight="1" x14ac:dyDescent="0.3">
      <c r="A36" s="42"/>
      <c r="B36" s="29"/>
      <c r="C36" s="34">
        <v>7403267</v>
      </c>
      <c r="D36" s="34" t="s">
        <v>158</v>
      </c>
      <c r="E36" s="59" t="s">
        <v>159</v>
      </c>
      <c r="F36" s="29"/>
      <c r="G36" s="29"/>
      <c r="H36" s="29"/>
      <c r="I36" s="29"/>
      <c r="J36" s="29">
        <v>1</v>
      </c>
      <c r="K36" s="29"/>
      <c r="L36" s="29"/>
      <c r="M36" s="29">
        <v>1</v>
      </c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</row>
    <row r="37" spans="1:46" ht="15" customHeight="1" x14ac:dyDescent="0.3">
      <c r="A37" s="29"/>
      <c r="B37" s="29"/>
      <c r="C37" s="34">
        <v>7104220</v>
      </c>
      <c r="D37" s="34" t="s">
        <v>203</v>
      </c>
      <c r="E37" s="59" t="s">
        <v>204</v>
      </c>
      <c r="F37" s="29">
        <v>1</v>
      </c>
      <c r="G37" s="29"/>
      <c r="H37" s="29">
        <v>1</v>
      </c>
      <c r="I37" s="29"/>
      <c r="J37" s="29"/>
      <c r="K37" s="29"/>
      <c r="L37" s="29"/>
      <c r="M37" s="29">
        <v>1</v>
      </c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</row>
    <row r="38" spans="1:46" ht="15" customHeight="1" x14ac:dyDescent="0.3">
      <c r="A38" s="29"/>
      <c r="B38" s="29"/>
      <c r="C38" s="34">
        <v>7403368</v>
      </c>
      <c r="D38" s="34" t="s">
        <v>141</v>
      </c>
      <c r="E38" s="59" t="s">
        <v>142</v>
      </c>
      <c r="F38" s="29">
        <v>1</v>
      </c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>
        <v>1</v>
      </c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</row>
    <row r="39" spans="1:46" ht="15" customHeight="1" x14ac:dyDescent="0.3">
      <c r="A39" s="29"/>
      <c r="B39" s="29"/>
      <c r="C39" s="34">
        <v>7403655</v>
      </c>
      <c r="D39" s="34" t="s">
        <v>171</v>
      </c>
      <c r="E39" s="59" t="s">
        <v>172</v>
      </c>
      <c r="F39" s="44">
        <v>1</v>
      </c>
    </row>
    <row r="40" spans="1:46" ht="15" customHeight="1" x14ac:dyDescent="0.3">
      <c r="A40" s="29"/>
      <c r="B40" s="29"/>
      <c r="C40" s="34">
        <v>7104226</v>
      </c>
      <c r="D40" s="34" t="s">
        <v>215</v>
      </c>
      <c r="E40" s="59" t="s">
        <v>216</v>
      </c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</row>
    <row r="41" spans="1:46" ht="15" customHeight="1" x14ac:dyDescent="0.3">
      <c r="A41" s="29"/>
      <c r="B41" s="29"/>
      <c r="C41" s="34">
        <v>7104560</v>
      </c>
      <c r="D41" s="34" t="s">
        <v>255</v>
      </c>
      <c r="E41" s="59" t="s">
        <v>256</v>
      </c>
      <c r="H41" s="44">
        <v>1</v>
      </c>
      <c r="AM41" s="44">
        <v>1</v>
      </c>
    </row>
    <row r="42" spans="1:46" ht="15" customHeight="1" x14ac:dyDescent="0.3">
      <c r="A42" s="38"/>
      <c r="B42" s="39"/>
      <c r="C42" s="56">
        <v>7403138</v>
      </c>
      <c r="D42" s="7" t="s">
        <v>134</v>
      </c>
      <c r="E42" s="33" t="s">
        <v>135</v>
      </c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</row>
    <row r="43" spans="1:46" ht="15" customHeight="1" x14ac:dyDescent="0.3">
      <c r="A43" s="30"/>
      <c r="B43" s="31"/>
      <c r="C43" s="34">
        <v>7104207</v>
      </c>
      <c r="D43" s="34" t="s">
        <v>223</v>
      </c>
      <c r="E43" s="59" t="s">
        <v>224</v>
      </c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</row>
    <row r="44" spans="1:46" ht="15" customHeight="1" x14ac:dyDescent="0.3">
      <c r="A44" s="29"/>
      <c r="B44" s="29"/>
      <c r="C44" s="34">
        <v>7104322</v>
      </c>
      <c r="D44" s="34" t="s">
        <v>226</v>
      </c>
      <c r="E44" s="59" t="s">
        <v>227</v>
      </c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>
        <v>1</v>
      </c>
      <c r="AK44" s="29"/>
      <c r="AL44" s="29"/>
      <c r="AM44" s="29"/>
      <c r="AN44" s="29"/>
      <c r="AO44" s="29"/>
      <c r="AP44" s="29"/>
      <c r="AQ44" s="29"/>
      <c r="AR44" s="29"/>
      <c r="AS44" s="29"/>
      <c r="AT44" s="29"/>
    </row>
    <row r="45" spans="1:46" ht="15" customHeight="1" x14ac:dyDescent="0.3">
      <c r="A45" s="57"/>
      <c r="B45" s="58"/>
      <c r="C45" s="55">
        <v>7400376</v>
      </c>
      <c r="D45" s="61" t="s">
        <v>166</v>
      </c>
      <c r="E45" s="61" t="s">
        <v>167</v>
      </c>
      <c r="F45" s="29">
        <v>1</v>
      </c>
      <c r="G45" s="29"/>
      <c r="H45" s="29">
        <v>1</v>
      </c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</row>
    <row r="46" spans="1:46" ht="15" customHeight="1" x14ac:dyDescent="0.3">
      <c r="A46" s="57"/>
      <c r="B46" s="58"/>
      <c r="C46" s="55">
        <v>7104444</v>
      </c>
      <c r="D46" s="61" t="s">
        <v>201</v>
      </c>
      <c r="E46" s="61" t="s">
        <v>202</v>
      </c>
      <c r="F46" s="29">
        <v>1</v>
      </c>
      <c r="G46" s="29"/>
      <c r="H46" s="29">
        <v>1</v>
      </c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</row>
    <row r="47" spans="1:46" ht="15" customHeight="1" x14ac:dyDescent="0.3">
      <c r="A47" s="57"/>
      <c r="B47" s="58"/>
      <c r="C47" s="55">
        <v>7104867</v>
      </c>
      <c r="D47" s="91" t="s">
        <v>308</v>
      </c>
      <c r="E47" s="61" t="s">
        <v>319</v>
      </c>
      <c r="F47" s="29"/>
      <c r="G47" s="29"/>
      <c r="H47" s="29"/>
      <c r="I47" s="29">
        <v>1</v>
      </c>
      <c r="J47" s="29"/>
      <c r="K47" s="29"/>
      <c r="L47" s="29"/>
      <c r="M47" s="29">
        <v>1</v>
      </c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</row>
    <row r="48" spans="1:46" ht="15" customHeight="1" x14ac:dyDescent="0.3">
      <c r="A48" s="29"/>
      <c r="B48" s="29"/>
      <c r="C48" s="34">
        <v>7403366</v>
      </c>
      <c r="D48" s="34" t="s">
        <v>143</v>
      </c>
      <c r="E48" s="59" t="s">
        <v>144</v>
      </c>
      <c r="F48" s="29">
        <v>1</v>
      </c>
      <c r="G48" s="29"/>
      <c r="H48" s="29">
        <v>1</v>
      </c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</row>
    <row r="49" spans="1:46" ht="15" customHeight="1" x14ac:dyDescent="0.3">
      <c r="A49" s="30"/>
      <c r="B49" s="31"/>
      <c r="C49" s="37">
        <v>7402915</v>
      </c>
      <c r="D49" s="37" t="s">
        <v>103</v>
      </c>
      <c r="E49" s="40" t="s">
        <v>104</v>
      </c>
      <c r="F49" s="29">
        <v>1</v>
      </c>
      <c r="G49" s="29"/>
      <c r="H49" s="29">
        <v>1</v>
      </c>
      <c r="I49" s="29">
        <v>1</v>
      </c>
      <c r="J49" s="29"/>
      <c r="K49" s="29"/>
      <c r="L49" s="29">
        <v>1</v>
      </c>
      <c r="M49" s="29">
        <v>1</v>
      </c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>
        <v>1</v>
      </c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</row>
    <row r="50" spans="1:46" ht="15" customHeight="1" x14ac:dyDescent="0.3">
      <c r="A50" s="30"/>
      <c r="B50" s="31"/>
      <c r="C50" s="34">
        <v>107</v>
      </c>
      <c r="D50" s="7" t="s">
        <v>309</v>
      </c>
      <c r="E50" s="59" t="s">
        <v>299</v>
      </c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</row>
    <row r="51" spans="1:46" ht="15" customHeight="1" x14ac:dyDescent="0.3">
      <c r="A51" s="29"/>
      <c r="B51" s="29"/>
      <c r="C51" s="34">
        <v>7403370</v>
      </c>
      <c r="D51" s="34" t="s">
        <v>145</v>
      </c>
      <c r="E51" s="59" t="s">
        <v>146</v>
      </c>
      <c r="F51" s="29">
        <v>1</v>
      </c>
      <c r="G51" s="29"/>
      <c r="H51" s="29">
        <v>1</v>
      </c>
      <c r="I51" s="29"/>
      <c r="J51" s="29"/>
      <c r="K51" s="29"/>
      <c r="L51" s="29"/>
      <c r="M51" s="29">
        <v>1</v>
      </c>
      <c r="N51" s="29"/>
      <c r="O51" s="29"/>
      <c r="P51" s="29"/>
      <c r="Q51" s="29"/>
      <c r="R51" s="29"/>
      <c r="S51" s="29">
        <v>1</v>
      </c>
      <c r="T51" s="29">
        <v>1</v>
      </c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</row>
    <row r="52" spans="1:46" ht="15" customHeight="1" x14ac:dyDescent="0.3">
      <c r="A52" s="30"/>
      <c r="B52" s="31"/>
      <c r="C52" s="7">
        <v>7403025</v>
      </c>
      <c r="D52" s="7" t="s">
        <v>115</v>
      </c>
      <c r="E52" s="33" t="s">
        <v>116</v>
      </c>
      <c r="F52" s="29"/>
      <c r="G52" s="29"/>
      <c r="H52" s="29"/>
      <c r="I52" s="29">
        <v>1</v>
      </c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>
        <v>1</v>
      </c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</row>
    <row r="53" spans="1:46" ht="15" customHeight="1" x14ac:dyDescent="0.3">
      <c r="A53" s="29"/>
      <c r="B53" s="29"/>
      <c r="C53" s="34">
        <v>7105555</v>
      </c>
      <c r="D53" s="34" t="s">
        <v>230</v>
      </c>
      <c r="E53" s="59" t="s">
        <v>231</v>
      </c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</row>
    <row r="54" spans="1:46" ht="15" customHeight="1" x14ac:dyDescent="0.3">
      <c r="A54" s="57"/>
      <c r="B54" s="58"/>
      <c r="C54" s="34">
        <v>7104732</v>
      </c>
      <c r="D54" s="34" t="s">
        <v>281</v>
      </c>
      <c r="E54" s="88" t="s">
        <v>282</v>
      </c>
      <c r="F54" s="29"/>
      <c r="G54" s="29"/>
      <c r="H54" s="29"/>
      <c r="I54" s="29"/>
      <c r="J54" s="29"/>
      <c r="K54" s="29"/>
      <c r="L54" s="29"/>
      <c r="M54" s="29">
        <v>1</v>
      </c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</row>
    <row r="55" spans="1:46" ht="15" customHeight="1" x14ac:dyDescent="0.3">
      <c r="A55" s="29"/>
      <c r="B55" s="29"/>
      <c r="C55" s="55">
        <v>7403483</v>
      </c>
      <c r="D55" s="61" t="s">
        <v>168</v>
      </c>
      <c r="E55" s="95" t="s">
        <v>78</v>
      </c>
      <c r="F55" s="29">
        <v>1</v>
      </c>
      <c r="G55" s="29"/>
      <c r="H55" s="29">
        <v>1</v>
      </c>
      <c r="I55" s="29"/>
      <c r="J55" s="29"/>
      <c r="K55" s="29"/>
      <c r="L55" s="29"/>
      <c r="M55" s="29">
        <v>1</v>
      </c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</row>
    <row r="56" spans="1:46" ht="15" customHeight="1" x14ac:dyDescent="0.3">
      <c r="C56" s="34">
        <v>7101072</v>
      </c>
      <c r="D56" s="34" t="s">
        <v>173</v>
      </c>
      <c r="E56" s="59" t="s">
        <v>174</v>
      </c>
      <c r="F56" s="29">
        <v>1</v>
      </c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</row>
    <row r="57" spans="1:46" ht="15" customHeight="1" x14ac:dyDescent="0.3">
      <c r="A57" s="30"/>
      <c r="B57" s="31"/>
      <c r="C57" s="34">
        <v>103</v>
      </c>
      <c r="D57" s="7" t="s">
        <v>292</v>
      </c>
      <c r="E57" s="59" t="s">
        <v>300</v>
      </c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</row>
    <row r="58" spans="1:46" ht="15" customHeight="1" x14ac:dyDescent="0.3">
      <c r="A58" s="38"/>
      <c r="B58" s="39"/>
      <c r="C58" s="37">
        <v>7402425</v>
      </c>
      <c r="D58" s="37" t="s">
        <v>93</v>
      </c>
      <c r="E58" s="40" t="s">
        <v>94</v>
      </c>
      <c r="F58" s="29">
        <v>1</v>
      </c>
      <c r="G58" s="29"/>
      <c r="H58" s="29"/>
      <c r="I58" s="29">
        <v>1</v>
      </c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>
        <v>1</v>
      </c>
      <c r="AB58" s="29"/>
      <c r="AC58" s="29"/>
      <c r="AD58" s="29"/>
      <c r="AE58" s="29"/>
      <c r="AF58" s="29"/>
      <c r="AG58" s="29"/>
      <c r="AH58" s="29"/>
      <c r="AI58" s="29">
        <v>1</v>
      </c>
      <c r="AJ58" s="29">
        <v>1</v>
      </c>
      <c r="AK58" s="29"/>
      <c r="AL58" s="29"/>
      <c r="AM58" s="29"/>
      <c r="AN58" s="29"/>
      <c r="AO58" s="29"/>
      <c r="AP58" s="29"/>
      <c r="AQ58" s="29"/>
      <c r="AR58" s="29"/>
      <c r="AS58" s="29"/>
      <c r="AT58" s="29"/>
    </row>
    <row r="59" spans="1:46" ht="15" customHeight="1" x14ac:dyDescent="0.3">
      <c r="A59" s="57"/>
      <c r="B59" s="58"/>
      <c r="C59" s="34">
        <v>7104190</v>
      </c>
      <c r="D59" s="34" t="s">
        <v>217</v>
      </c>
      <c r="E59" s="59" t="s">
        <v>218</v>
      </c>
      <c r="F59" s="29">
        <v>1</v>
      </c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</row>
    <row r="60" spans="1:46" ht="15" customHeight="1" x14ac:dyDescent="0.3">
      <c r="A60" s="29"/>
      <c r="B60" s="29"/>
      <c r="C60" s="34">
        <v>7104863</v>
      </c>
      <c r="D60" s="37" t="s">
        <v>310</v>
      </c>
      <c r="E60" s="59" t="s">
        <v>320</v>
      </c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</row>
    <row r="61" spans="1:46" ht="15" customHeight="1" x14ac:dyDescent="0.3">
      <c r="A61" s="57"/>
      <c r="B61" s="58"/>
      <c r="C61" s="34">
        <v>7403411</v>
      </c>
      <c r="D61" s="34" t="s">
        <v>151</v>
      </c>
      <c r="E61" s="59" t="s">
        <v>152</v>
      </c>
      <c r="F61" s="29">
        <v>1</v>
      </c>
      <c r="G61" s="29"/>
      <c r="H61" s="29">
        <v>1</v>
      </c>
      <c r="I61" s="29"/>
      <c r="J61" s="29">
        <v>1</v>
      </c>
      <c r="K61" s="29"/>
      <c r="L61" s="29"/>
      <c r="M61" s="29">
        <v>1</v>
      </c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</row>
    <row r="62" spans="1:46" ht="15" customHeight="1" x14ac:dyDescent="0.3">
      <c r="A62" s="57"/>
      <c r="B62" s="58"/>
      <c r="C62" s="34">
        <v>7104924</v>
      </c>
      <c r="D62" s="7" t="s">
        <v>328</v>
      </c>
      <c r="E62" s="59" t="s">
        <v>332</v>
      </c>
      <c r="F62" s="29"/>
      <c r="G62" s="29"/>
      <c r="H62" s="29"/>
      <c r="I62" s="29"/>
      <c r="J62" s="29"/>
      <c r="K62" s="29"/>
      <c r="L62" s="29"/>
      <c r="M62" s="29">
        <v>1</v>
      </c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</row>
    <row r="63" spans="1:46" ht="15" customHeight="1" x14ac:dyDescent="0.3">
      <c r="A63" s="29"/>
      <c r="B63" s="29"/>
      <c r="C63" s="60">
        <v>7402632</v>
      </c>
      <c r="D63" s="34" t="s">
        <v>160</v>
      </c>
      <c r="E63" s="59" t="s">
        <v>79</v>
      </c>
      <c r="F63" s="29">
        <v>1</v>
      </c>
      <c r="G63" s="29"/>
      <c r="H63" s="29"/>
      <c r="I63" s="29"/>
      <c r="J63" s="29"/>
      <c r="K63" s="29"/>
      <c r="L63" s="29"/>
      <c r="M63" s="29">
        <v>1</v>
      </c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</row>
    <row r="64" spans="1:46" ht="15" customHeight="1" x14ac:dyDescent="0.3">
      <c r="A64" s="57"/>
      <c r="B64" s="58"/>
      <c r="C64" s="34">
        <v>7104396</v>
      </c>
      <c r="D64" s="34" t="s">
        <v>232</v>
      </c>
      <c r="E64" s="59" t="s">
        <v>233</v>
      </c>
      <c r="F64" s="29">
        <v>1</v>
      </c>
      <c r="G64" s="29"/>
      <c r="H64" s="29">
        <v>1</v>
      </c>
      <c r="I64" s="29"/>
      <c r="J64" s="29"/>
      <c r="K64" s="29"/>
      <c r="L64" s="29"/>
      <c r="M64" s="29">
        <v>1</v>
      </c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</row>
    <row r="65" spans="1:46" ht="15" customHeight="1" x14ac:dyDescent="0.3">
      <c r="A65" s="53"/>
      <c r="B65" s="31"/>
      <c r="C65" s="34">
        <v>7403380</v>
      </c>
      <c r="D65" s="34" t="s">
        <v>153</v>
      </c>
      <c r="E65" s="59" t="s">
        <v>154</v>
      </c>
      <c r="F65" s="29">
        <v>1</v>
      </c>
      <c r="G65" s="29"/>
      <c r="H65" s="29"/>
      <c r="I65" s="29"/>
      <c r="J65" s="29"/>
      <c r="K65" s="29"/>
      <c r="L65" s="29"/>
      <c r="M65" s="29"/>
      <c r="N65" s="29"/>
      <c r="O65" s="29"/>
      <c r="P65" s="29">
        <v>1</v>
      </c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</row>
    <row r="66" spans="1:46" ht="15" customHeight="1" x14ac:dyDescent="0.3">
      <c r="A66" s="29"/>
      <c r="B66" s="29"/>
      <c r="C66" s="34">
        <v>7104407</v>
      </c>
      <c r="D66" s="34" t="s">
        <v>239</v>
      </c>
      <c r="E66" s="59" t="s">
        <v>240</v>
      </c>
      <c r="F66" s="44">
        <v>1</v>
      </c>
      <c r="H66" s="44">
        <v>1</v>
      </c>
      <c r="M66" s="44">
        <v>1</v>
      </c>
      <c r="T66" s="44">
        <v>1</v>
      </c>
    </row>
    <row r="67" spans="1:46" ht="15" customHeight="1" x14ac:dyDescent="0.3">
      <c r="A67" s="30"/>
      <c r="B67" s="31"/>
      <c r="C67" s="7">
        <v>7403058</v>
      </c>
      <c r="D67" s="7" t="s">
        <v>121</v>
      </c>
      <c r="E67" s="33" t="s">
        <v>122</v>
      </c>
      <c r="F67" s="29">
        <v>1</v>
      </c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>
        <v>1</v>
      </c>
      <c r="T67" s="29">
        <v>1</v>
      </c>
      <c r="U67" s="29"/>
      <c r="V67" s="29"/>
      <c r="W67" s="29"/>
      <c r="X67" s="29"/>
      <c r="Y67" s="29"/>
      <c r="Z67" s="29"/>
      <c r="AA67" s="29">
        <v>1</v>
      </c>
      <c r="AB67" s="29"/>
      <c r="AC67" s="29"/>
      <c r="AD67" s="29"/>
      <c r="AE67" s="29"/>
      <c r="AF67" s="29"/>
      <c r="AG67" s="29"/>
      <c r="AH67" s="29"/>
      <c r="AI67" s="29">
        <v>1</v>
      </c>
      <c r="AJ67" s="29">
        <v>1</v>
      </c>
      <c r="AK67" s="29"/>
      <c r="AL67" s="29"/>
      <c r="AM67" s="29"/>
      <c r="AN67" s="29"/>
      <c r="AO67" s="29"/>
      <c r="AP67" s="29"/>
      <c r="AQ67" s="29"/>
      <c r="AR67" s="29"/>
      <c r="AS67" s="29"/>
      <c r="AT67" s="29"/>
    </row>
    <row r="68" spans="1:46" ht="15" customHeight="1" x14ac:dyDescent="0.3">
      <c r="A68" s="30"/>
      <c r="B68" s="31"/>
      <c r="C68" s="34">
        <v>7104849</v>
      </c>
      <c r="D68" s="37" t="s">
        <v>311</v>
      </c>
      <c r="E68" s="59" t="s">
        <v>321</v>
      </c>
      <c r="F68" s="29">
        <v>1</v>
      </c>
      <c r="G68" s="29"/>
      <c r="H68" s="29">
        <v>1</v>
      </c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</row>
    <row r="69" spans="1:46" ht="15" customHeight="1" x14ac:dyDescent="0.3">
      <c r="A69" s="30"/>
      <c r="B69" s="31"/>
      <c r="C69" s="34">
        <v>7403656</v>
      </c>
      <c r="D69" s="34" t="s">
        <v>175</v>
      </c>
      <c r="E69" s="59" t="s">
        <v>129</v>
      </c>
      <c r="F69" s="29">
        <v>1</v>
      </c>
      <c r="G69" s="29"/>
      <c r="H69" s="29">
        <v>1</v>
      </c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>
        <v>1</v>
      </c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</row>
    <row r="70" spans="1:46" ht="15" customHeight="1" x14ac:dyDescent="0.3">
      <c r="A70" s="38"/>
      <c r="B70" s="39"/>
      <c r="C70" s="34">
        <v>7104692</v>
      </c>
      <c r="D70" s="34" t="s">
        <v>257</v>
      </c>
      <c r="E70" s="59" t="s">
        <v>258</v>
      </c>
      <c r="F70" s="44">
        <v>1</v>
      </c>
      <c r="H70" s="44">
        <v>1</v>
      </c>
      <c r="M70" s="44">
        <v>1</v>
      </c>
    </row>
    <row r="71" spans="1:46" ht="15" customHeight="1" x14ac:dyDescent="0.3">
      <c r="A71" s="38"/>
      <c r="B71" s="39"/>
      <c r="C71" s="56">
        <v>7403432</v>
      </c>
      <c r="D71" s="34" t="s">
        <v>161</v>
      </c>
      <c r="E71" s="59" t="s">
        <v>162</v>
      </c>
      <c r="F71" s="29">
        <v>1</v>
      </c>
      <c r="G71" s="29"/>
      <c r="H71" s="29">
        <v>1</v>
      </c>
      <c r="I71" s="29"/>
      <c r="J71" s="29">
        <v>1</v>
      </c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>
        <v>1</v>
      </c>
      <c r="AM71" s="29"/>
      <c r="AN71" s="29"/>
      <c r="AO71" s="29"/>
      <c r="AP71" s="29"/>
      <c r="AQ71" s="29"/>
      <c r="AR71" s="29"/>
      <c r="AS71" s="29"/>
      <c r="AT71" s="29"/>
    </row>
    <row r="72" spans="1:46" ht="15" customHeight="1" x14ac:dyDescent="0.3">
      <c r="A72" s="57"/>
      <c r="B72" s="58"/>
      <c r="C72" s="34">
        <v>7104491</v>
      </c>
      <c r="D72" s="34" t="s">
        <v>259</v>
      </c>
      <c r="E72" s="59" t="s">
        <v>260</v>
      </c>
      <c r="M72" s="44">
        <v>1</v>
      </c>
    </row>
    <row r="73" spans="1:46" ht="15" customHeight="1" x14ac:dyDescent="0.3">
      <c r="A73" s="57"/>
      <c r="B73" s="58"/>
      <c r="C73" s="29">
        <v>7400976</v>
      </c>
      <c r="D73" s="29" t="s">
        <v>68</v>
      </c>
      <c r="E73" s="29" t="s">
        <v>69</v>
      </c>
      <c r="F73" s="29">
        <v>1</v>
      </c>
      <c r="G73" s="29"/>
      <c r="H73" s="29"/>
      <c r="I73" s="29">
        <v>1</v>
      </c>
      <c r="J73" s="29"/>
      <c r="K73" s="29"/>
      <c r="L73" s="29"/>
      <c r="M73" s="29">
        <v>1</v>
      </c>
      <c r="N73" s="29">
        <v>1</v>
      </c>
      <c r="O73" s="29"/>
      <c r="P73" s="29"/>
      <c r="Q73" s="29"/>
      <c r="R73" s="29"/>
      <c r="S73" s="29">
        <v>1</v>
      </c>
      <c r="T73" s="29"/>
      <c r="U73" s="29"/>
      <c r="V73" s="29"/>
      <c r="W73" s="29"/>
      <c r="X73" s="29"/>
      <c r="Y73" s="29"/>
      <c r="Z73" s="29">
        <v>1</v>
      </c>
      <c r="AA73" s="29">
        <v>1</v>
      </c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</row>
    <row r="74" spans="1:46" ht="15" customHeight="1" x14ac:dyDescent="0.3">
      <c r="A74" s="38"/>
      <c r="B74" s="39"/>
      <c r="C74" s="34">
        <v>7104557</v>
      </c>
      <c r="D74" s="34" t="s">
        <v>261</v>
      </c>
      <c r="E74" s="59" t="s">
        <v>288</v>
      </c>
      <c r="M74" s="44">
        <v>1</v>
      </c>
    </row>
    <row r="75" spans="1:46" ht="15" customHeight="1" x14ac:dyDescent="0.3">
      <c r="A75" s="29"/>
      <c r="B75" s="29"/>
      <c r="C75" s="34">
        <v>7403391</v>
      </c>
      <c r="D75" s="34" t="s">
        <v>155</v>
      </c>
      <c r="E75" s="59" t="s">
        <v>102</v>
      </c>
      <c r="F75" s="29">
        <v>1</v>
      </c>
      <c r="G75" s="29"/>
      <c r="H75" s="29">
        <v>1</v>
      </c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</row>
    <row r="76" spans="1:46" ht="15" customHeight="1" x14ac:dyDescent="0.3">
      <c r="A76" s="29"/>
      <c r="B76" s="29"/>
      <c r="C76" s="7">
        <v>7403096</v>
      </c>
      <c r="D76" s="7" t="s">
        <v>136</v>
      </c>
      <c r="E76" s="89" t="s">
        <v>133</v>
      </c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</row>
    <row r="77" spans="1:46" ht="15" customHeight="1" x14ac:dyDescent="0.3">
      <c r="A77" s="29"/>
      <c r="B77" s="29"/>
      <c r="C77" s="34">
        <v>7409999</v>
      </c>
      <c r="D77" s="34" t="s">
        <v>176</v>
      </c>
      <c r="E77" s="59" t="s">
        <v>177</v>
      </c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</row>
    <row r="78" spans="1:46" ht="15" customHeight="1" x14ac:dyDescent="0.3">
      <c r="A78" s="57"/>
      <c r="B78" s="58"/>
      <c r="C78" s="34">
        <v>7104887</v>
      </c>
      <c r="D78" s="37" t="s">
        <v>312</v>
      </c>
      <c r="E78" s="59" t="s">
        <v>322</v>
      </c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</row>
    <row r="79" spans="1:46" x14ac:dyDescent="0.3">
      <c r="A79" s="57"/>
      <c r="B79" s="58"/>
      <c r="C79" s="34">
        <v>7403371</v>
      </c>
      <c r="D79" s="34" t="s">
        <v>156</v>
      </c>
      <c r="E79" s="59" t="s">
        <v>157</v>
      </c>
      <c r="F79" s="29">
        <v>1</v>
      </c>
      <c r="G79" s="29"/>
      <c r="H79" s="29"/>
      <c r="I79" s="29"/>
      <c r="J79" s="29"/>
      <c r="K79" s="29"/>
      <c r="L79" s="29"/>
      <c r="M79" s="29">
        <v>1</v>
      </c>
      <c r="N79" s="29">
        <v>1</v>
      </c>
      <c r="O79" s="29"/>
      <c r="P79" s="29"/>
      <c r="Q79" s="29"/>
      <c r="R79" s="29">
        <v>1</v>
      </c>
      <c r="S79" s="29">
        <v>1</v>
      </c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</row>
    <row r="80" spans="1:46" x14ac:dyDescent="0.3">
      <c r="A80" s="29"/>
      <c r="B80" s="29"/>
      <c r="C80" s="34">
        <v>7403471</v>
      </c>
      <c r="D80" s="34" t="s">
        <v>163</v>
      </c>
      <c r="E80" s="59" t="s">
        <v>164</v>
      </c>
      <c r="F80" s="29">
        <v>1</v>
      </c>
      <c r="G80" s="29"/>
      <c r="H80" s="29">
        <v>1</v>
      </c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</row>
    <row r="81" spans="1:46" x14ac:dyDescent="0.3">
      <c r="A81" s="29"/>
      <c r="B81" s="29"/>
      <c r="C81" s="7">
        <v>7403030</v>
      </c>
      <c r="D81" s="7" t="s">
        <v>117</v>
      </c>
      <c r="E81" s="33" t="s">
        <v>118</v>
      </c>
      <c r="F81" s="29">
        <v>1</v>
      </c>
      <c r="G81" s="29"/>
      <c r="H81" s="29"/>
      <c r="I81" s="29">
        <v>1</v>
      </c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>
        <v>1</v>
      </c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</row>
    <row r="82" spans="1:46" x14ac:dyDescent="0.3">
      <c r="A82" s="57"/>
      <c r="B82" s="58"/>
      <c r="C82" s="7">
        <v>7403026</v>
      </c>
      <c r="D82" s="7" t="s">
        <v>119</v>
      </c>
      <c r="E82" s="33" t="s">
        <v>120</v>
      </c>
      <c r="F82" s="29">
        <v>1</v>
      </c>
      <c r="G82" s="29"/>
      <c r="H82" s="29"/>
      <c r="I82" s="29">
        <v>1</v>
      </c>
      <c r="J82" s="29"/>
      <c r="K82" s="29"/>
      <c r="L82" s="29"/>
      <c r="M82" s="29">
        <v>1</v>
      </c>
      <c r="N82" s="29"/>
      <c r="O82" s="29"/>
      <c r="P82" s="29"/>
      <c r="Q82" s="29"/>
      <c r="R82" s="29"/>
      <c r="S82" s="29"/>
      <c r="T82" s="29"/>
      <c r="U82" s="29"/>
      <c r="V82" s="29"/>
      <c r="W82" s="29">
        <v>1</v>
      </c>
      <c r="X82" s="29"/>
      <c r="Y82" s="29"/>
      <c r="Z82" s="29"/>
      <c r="AA82" s="29">
        <v>1</v>
      </c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</row>
    <row r="83" spans="1:46" x14ac:dyDescent="0.3">
      <c r="A83" s="57"/>
      <c r="B83" s="58"/>
      <c r="C83" s="34">
        <v>7104733</v>
      </c>
      <c r="D83" s="34" t="s">
        <v>283</v>
      </c>
      <c r="E83" s="59" t="s">
        <v>284</v>
      </c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</row>
    <row r="84" spans="1:46" x14ac:dyDescent="0.3">
      <c r="A84" s="57"/>
      <c r="B84" s="58"/>
      <c r="C84" s="34">
        <v>7104853</v>
      </c>
      <c r="D84" s="37" t="s">
        <v>313</v>
      </c>
      <c r="E84" s="59" t="s">
        <v>323</v>
      </c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</row>
    <row r="85" spans="1:46" x14ac:dyDescent="0.3">
      <c r="A85" s="57"/>
      <c r="B85" s="58"/>
      <c r="C85" s="34">
        <v>7104243</v>
      </c>
      <c r="D85" s="34" t="s">
        <v>263</v>
      </c>
      <c r="E85" s="59" t="s">
        <v>264</v>
      </c>
      <c r="F85" s="44">
        <v>1</v>
      </c>
      <c r="M85" s="44">
        <v>1</v>
      </c>
    </row>
    <row r="86" spans="1:46" x14ac:dyDescent="0.3">
      <c r="A86" s="57"/>
      <c r="B86" s="58"/>
      <c r="C86" s="34">
        <v>7078888</v>
      </c>
      <c r="D86" s="34" t="s">
        <v>342</v>
      </c>
      <c r="E86" s="59" t="s">
        <v>345</v>
      </c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</row>
    <row r="87" spans="1:46" x14ac:dyDescent="0.3">
      <c r="A87" s="29"/>
      <c r="B87" s="29"/>
      <c r="C87" s="56">
        <v>7403136</v>
      </c>
      <c r="D87" s="7" t="s">
        <v>137</v>
      </c>
      <c r="E87" s="33" t="s">
        <v>79</v>
      </c>
      <c r="F87" s="29">
        <v>1</v>
      </c>
      <c r="G87" s="29"/>
      <c r="H87" s="29"/>
      <c r="I87" s="29"/>
      <c r="J87" s="29"/>
      <c r="K87" s="29"/>
      <c r="L87" s="29"/>
      <c r="M87" s="29">
        <v>1</v>
      </c>
      <c r="N87" s="29">
        <v>1</v>
      </c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</row>
    <row r="88" spans="1:46" x14ac:dyDescent="0.3">
      <c r="A88" s="57"/>
      <c r="B88" s="58"/>
      <c r="C88" s="7">
        <v>7403099</v>
      </c>
      <c r="D88" s="7" t="s">
        <v>130</v>
      </c>
      <c r="E88" s="33" t="s">
        <v>74</v>
      </c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>
        <v>1</v>
      </c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</row>
    <row r="89" spans="1:46" x14ac:dyDescent="0.3">
      <c r="A89" s="29"/>
      <c r="B89" s="29"/>
      <c r="C89" s="34">
        <v>108</v>
      </c>
      <c r="D89" s="7" t="s">
        <v>293</v>
      </c>
      <c r="E89" s="59" t="s">
        <v>301</v>
      </c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</row>
    <row r="90" spans="1:46" x14ac:dyDescent="0.3">
      <c r="A90" s="53"/>
      <c r="B90" s="31"/>
      <c r="C90" s="37">
        <v>7401166</v>
      </c>
      <c r="D90" s="37" t="s">
        <v>73</v>
      </c>
      <c r="E90" s="40" t="s">
        <v>74</v>
      </c>
      <c r="F90" s="29">
        <v>1</v>
      </c>
      <c r="G90" s="29"/>
      <c r="H90" s="29"/>
      <c r="I90" s="29">
        <v>1</v>
      </c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>
        <v>1</v>
      </c>
      <c r="AA90" s="29">
        <v>1</v>
      </c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</row>
    <row r="91" spans="1:46" x14ac:dyDescent="0.3">
      <c r="A91" s="57"/>
      <c r="B91" s="58"/>
      <c r="C91" s="55">
        <v>7104858</v>
      </c>
      <c r="D91" s="37" t="s">
        <v>314</v>
      </c>
      <c r="E91" s="34" t="s">
        <v>324</v>
      </c>
      <c r="F91" s="29">
        <v>1</v>
      </c>
      <c r="G91" s="29"/>
      <c r="H91" s="29">
        <v>1</v>
      </c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</row>
    <row r="92" spans="1:46" x14ac:dyDescent="0.3">
      <c r="A92" s="29"/>
      <c r="B92" s="29"/>
      <c r="C92" s="34">
        <v>7104569</v>
      </c>
      <c r="D92" s="34" t="s">
        <v>265</v>
      </c>
      <c r="E92" s="59" t="s">
        <v>98</v>
      </c>
      <c r="M92" s="44">
        <v>1</v>
      </c>
    </row>
    <row r="93" spans="1:46" x14ac:dyDescent="0.3">
      <c r="A93" s="29"/>
      <c r="B93" s="29"/>
      <c r="C93" s="34">
        <v>7104331</v>
      </c>
      <c r="D93" s="34" t="s">
        <v>266</v>
      </c>
      <c r="E93" s="59" t="s">
        <v>79</v>
      </c>
      <c r="M93" s="44">
        <v>1</v>
      </c>
    </row>
    <row r="94" spans="1:46" x14ac:dyDescent="0.3">
      <c r="A94" s="29"/>
      <c r="B94" s="29"/>
      <c r="C94" s="7">
        <v>7403067</v>
      </c>
      <c r="D94" s="7" t="s">
        <v>131</v>
      </c>
      <c r="E94" s="33" t="s">
        <v>132</v>
      </c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>
        <v>1</v>
      </c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</row>
    <row r="95" spans="1:46" x14ac:dyDescent="0.3">
      <c r="A95" s="29"/>
      <c r="B95" s="29"/>
      <c r="C95" s="55">
        <v>7401377</v>
      </c>
      <c r="D95" s="32" t="s">
        <v>110</v>
      </c>
      <c r="E95" s="32" t="s">
        <v>106</v>
      </c>
      <c r="F95" s="29">
        <v>1</v>
      </c>
      <c r="G95" s="29"/>
      <c r="H95" s="29"/>
      <c r="I95" s="29">
        <v>1</v>
      </c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>
        <v>1</v>
      </c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</row>
    <row r="96" spans="1:46" x14ac:dyDescent="0.3">
      <c r="A96" s="29"/>
      <c r="B96" s="29"/>
      <c r="C96" s="34">
        <v>7104693</v>
      </c>
      <c r="D96" s="34" t="s">
        <v>110</v>
      </c>
      <c r="E96" s="59" t="s">
        <v>242</v>
      </c>
      <c r="M96" s="44">
        <v>1</v>
      </c>
    </row>
    <row r="97" spans="1:46" x14ac:dyDescent="0.3">
      <c r="A97" s="57"/>
      <c r="B97" s="58"/>
      <c r="C97" s="34">
        <v>7104141</v>
      </c>
      <c r="D97" s="34" t="s">
        <v>198</v>
      </c>
      <c r="E97" s="59" t="s">
        <v>199</v>
      </c>
      <c r="F97" s="29">
        <v>1</v>
      </c>
      <c r="G97" s="29"/>
      <c r="H97" s="29">
        <v>1</v>
      </c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</row>
    <row r="98" spans="1:46" x14ac:dyDescent="0.3">
      <c r="A98" s="29"/>
      <c r="B98" s="29"/>
      <c r="C98" s="34">
        <v>53</v>
      </c>
      <c r="D98" s="34" t="s">
        <v>285</v>
      </c>
      <c r="E98" s="59" t="s">
        <v>286</v>
      </c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</row>
    <row r="99" spans="1:46" x14ac:dyDescent="0.3">
      <c r="A99" s="29"/>
      <c r="B99" s="29"/>
      <c r="C99" s="34">
        <v>7104398</v>
      </c>
      <c r="D99" s="34" t="s">
        <v>241</v>
      </c>
      <c r="E99" s="59" t="s">
        <v>242</v>
      </c>
      <c r="F99" s="44">
        <v>1</v>
      </c>
      <c r="H99" s="44">
        <v>1</v>
      </c>
      <c r="M99" s="44">
        <v>1</v>
      </c>
    </row>
    <row r="100" spans="1:46" x14ac:dyDescent="0.3">
      <c r="A100" s="29"/>
      <c r="B100" s="29"/>
      <c r="C100" s="29">
        <v>7093553</v>
      </c>
      <c r="D100" s="29" t="s">
        <v>37</v>
      </c>
      <c r="E100" s="29" t="s">
        <v>38</v>
      </c>
      <c r="F100" s="29"/>
      <c r="G100" s="29"/>
      <c r="H100" s="29"/>
      <c r="I100" s="29"/>
      <c r="J100" s="29"/>
      <c r="K100" s="29"/>
      <c r="L100" s="29"/>
      <c r="M100" s="29">
        <v>1</v>
      </c>
      <c r="N100" s="29">
        <v>1</v>
      </c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>
        <v>1</v>
      </c>
      <c r="AA100" s="29">
        <v>1</v>
      </c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</row>
    <row r="101" spans="1:46" x14ac:dyDescent="0.3">
      <c r="A101" s="29"/>
      <c r="B101" s="29"/>
      <c r="C101" s="34">
        <v>7104427</v>
      </c>
      <c r="D101" s="34" t="s">
        <v>234</v>
      </c>
      <c r="E101" s="59" t="s">
        <v>218</v>
      </c>
      <c r="F101" s="29">
        <v>1</v>
      </c>
      <c r="G101" s="29"/>
      <c r="H101" s="29">
        <v>1</v>
      </c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>
        <v>1</v>
      </c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</row>
    <row r="102" spans="1:46" x14ac:dyDescent="0.3">
      <c r="A102" s="29"/>
      <c r="B102" s="29"/>
      <c r="C102" s="29">
        <v>7402338</v>
      </c>
      <c r="D102" s="29" t="s">
        <v>85</v>
      </c>
      <c r="E102" s="29" t="s">
        <v>86</v>
      </c>
      <c r="F102" s="29">
        <v>1</v>
      </c>
      <c r="G102" s="29"/>
      <c r="H102" s="29"/>
      <c r="I102" s="29">
        <v>1</v>
      </c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>
        <v>1</v>
      </c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</row>
    <row r="103" spans="1:46" x14ac:dyDescent="0.3">
      <c r="A103" s="29"/>
      <c r="B103" s="29"/>
      <c r="C103" s="34">
        <v>7104205</v>
      </c>
      <c r="D103" s="34" t="s">
        <v>205</v>
      </c>
      <c r="E103" s="59" t="s">
        <v>206</v>
      </c>
      <c r="F103" s="29">
        <v>1</v>
      </c>
      <c r="G103" s="29"/>
      <c r="H103" s="29">
        <v>1</v>
      </c>
      <c r="I103" s="29"/>
      <c r="J103" s="29"/>
      <c r="K103" s="29"/>
      <c r="L103" s="29"/>
      <c r="M103" s="29">
        <v>1</v>
      </c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29">
        <v>1</v>
      </c>
      <c r="AJ103" s="29">
        <v>1</v>
      </c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</row>
    <row r="104" spans="1:46" x14ac:dyDescent="0.3">
      <c r="A104" s="29"/>
      <c r="B104" s="29"/>
      <c r="C104" s="7">
        <v>7403048</v>
      </c>
      <c r="D104" s="7" t="s">
        <v>123</v>
      </c>
      <c r="E104" s="33" t="s">
        <v>124</v>
      </c>
      <c r="F104" s="29"/>
      <c r="G104" s="29"/>
      <c r="H104" s="29"/>
      <c r="I104" s="29">
        <v>1</v>
      </c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>
        <v>1</v>
      </c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</row>
    <row r="105" spans="1:46" x14ac:dyDescent="0.3">
      <c r="A105" s="57"/>
      <c r="B105" s="58"/>
      <c r="C105" s="34">
        <v>7104550</v>
      </c>
      <c r="D105" s="34" t="s">
        <v>267</v>
      </c>
      <c r="E105" s="59" t="s">
        <v>268</v>
      </c>
      <c r="F105" s="44">
        <v>1</v>
      </c>
      <c r="H105" s="44">
        <v>1</v>
      </c>
      <c r="S105" s="44">
        <v>1</v>
      </c>
      <c r="T105" s="44">
        <v>1</v>
      </c>
    </row>
    <row r="106" spans="1:46" x14ac:dyDescent="0.3">
      <c r="A106" s="57"/>
      <c r="B106" s="58"/>
      <c r="C106" s="34">
        <v>7403384</v>
      </c>
      <c r="D106" s="34" t="s">
        <v>147</v>
      </c>
      <c r="E106" s="59" t="s">
        <v>148</v>
      </c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</row>
    <row r="107" spans="1:46" x14ac:dyDescent="0.3">
      <c r="A107" s="57"/>
      <c r="B107" s="58"/>
      <c r="C107" s="55">
        <v>7403007</v>
      </c>
      <c r="D107" s="32" t="s">
        <v>111</v>
      </c>
      <c r="E107" s="32" t="s">
        <v>112</v>
      </c>
      <c r="F107" s="29"/>
      <c r="G107" s="29"/>
      <c r="H107" s="29"/>
      <c r="I107" s="29">
        <v>1</v>
      </c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>
        <v>1</v>
      </c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</row>
    <row r="108" spans="1:46" x14ac:dyDescent="0.3">
      <c r="A108" s="57"/>
      <c r="B108" s="58"/>
      <c r="C108" s="37">
        <v>7402698</v>
      </c>
      <c r="D108" s="37" t="s">
        <v>99</v>
      </c>
      <c r="E108" s="40" t="s">
        <v>100</v>
      </c>
      <c r="F108" s="29">
        <v>1</v>
      </c>
      <c r="G108" s="29"/>
      <c r="H108" s="29"/>
      <c r="I108" s="29">
        <v>1</v>
      </c>
      <c r="J108" s="29"/>
      <c r="K108" s="29"/>
      <c r="L108" s="29"/>
      <c r="M108" s="29">
        <v>1</v>
      </c>
      <c r="N108" s="29">
        <v>1</v>
      </c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>
        <v>1</v>
      </c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</row>
    <row r="109" spans="1:46" x14ac:dyDescent="0.3">
      <c r="A109" s="29"/>
      <c r="B109" s="29"/>
      <c r="C109" s="34">
        <v>7403455</v>
      </c>
      <c r="D109" s="34" t="s">
        <v>165</v>
      </c>
      <c r="E109" s="59" t="s">
        <v>200</v>
      </c>
      <c r="F109" s="29">
        <v>1</v>
      </c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</row>
    <row r="110" spans="1:46" x14ac:dyDescent="0.3">
      <c r="A110" s="29"/>
      <c r="B110" s="29"/>
      <c r="C110" s="55">
        <v>7402992</v>
      </c>
      <c r="D110" s="32" t="s">
        <v>113</v>
      </c>
      <c r="E110" s="32" t="s">
        <v>114</v>
      </c>
      <c r="F110" s="29">
        <v>1</v>
      </c>
      <c r="G110" s="29"/>
      <c r="H110" s="29"/>
      <c r="I110" s="29">
        <v>1</v>
      </c>
      <c r="J110" s="29"/>
      <c r="K110" s="29"/>
      <c r="L110" s="29"/>
      <c r="M110" s="29">
        <v>1</v>
      </c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>
        <v>1</v>
      </c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</row>
    <row r="111" spans="1:46" x14ac:dyDescent="0.3">
      <c r="A111" s="57"/>
      <c r="B111" s="58"/>
      <c r="C111" s="34">
        <v>7104950</v>
      </c>
      <c r="D111" s="7" t="s">
        <v>329</v>
      </c>
      <c r="E111" s="59" t="s">
        <v>333</v>
      </c>
      <c r="F111" s="29"/>
      <c r="G111" s="29"/>
      <c r="H111" s="29"/>
      <c r="I111" s="29">
        <v>1</v>
      </c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</row>
    <row r="112" spans="1:46" x14ac:dyDescent="0.3">
      <c r="A112" s="57"/>
      <c r="B112" s="58"/>
      <c r="C112" s="34">
        <v>7105185</v>
      </c>
      <c r="D112" s="34" t="s">
        <v>347</v>
      </c>
      <c r="E112" s="59" t="s">
        <v>244</v>
      </c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</row>
    <row r="113" spans="1:46" x14ac:dyDescent="0.3">
      <c r="A113" s="57"/>
      <c r="B113" s="58"/>
      <c r="C113" s="34">
        <v>7104403</v>
      </c>
      <c r="D113" s="34" t="s">
        <v>274</v>
      </c>
      <c r="E113" s="59" t="s">
        <v>269</v>
      </c>
      <c r="F113" s="44">
        <v>1</v>
      </c>
      <c r="S113" s="44">
        <v>1</v>
      </c>
    </row>
    <row r="114" spans="1:46" x14ac:dyDescent="0.3">
      <c r="A114" s="29"/>
      <c r="B114" s="29"/>
      <c r="C114" s="34">
        <v>106</v>
      </c>
      <c r="D114" s="7" t="s">
        <v>294</v>
      </c>
      <c r="E114" s="59" t="s">
        <v>302</v>
      </c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</row>
    <row r="115" spans="1:46" x14ac:dyDescent="0.3">
      <c r="A115" s="29"/>
      <c r="B115" s="29"/>
      <c r="C115" s="37">
        <v>7402369</v>
      </c>
      <c r="D115" s="37" t="s">
        <v>91</v>
      </c>
      <c r="E115" s="40" t="s">
        <v>92</v>
      </c>
      <c r="F115" s="29">
        <v>1</v>
      </c>
      <c r="G115" s="29"/>
      <c r="H115" s="29"/>
      <c r="I115" s="29">
        <v>1</v>
      </c>
      <c r="J115" s="29"/>
      <c r="K115" s="29"/>
      <c r="L115" s="29"/>
      <c r="M115" s="29">
        <v>1</v>
      </c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>
        <v>1</v>
      </c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</row>
    <row r="116" spans="1:46" x14ac:dyDescent="0.3">
      <c r="A116" s="29"/>
      <c r="B116" s="29"/>
      <c r="C116" s="55">
        <v>7403151</v>
      </c>
      <c r="D116" s="32" t="s">
        <v>139</v>
      </c>
      <c r="E116" s="32" t="s">
        <v>140</v>
      </c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</row>
    <row r="117" spans="1:46" x14ac:dyDescent="0.3">
      <c r="A117" s="57"/>
      <c r="B117" s="58"/>
      <c r="C117" s="34">
        <v>7100197</v>
      </c>
      <c r="D117" s="37" t="s">
        <v>105</v>
      </c>
      <c r="E117" s="40" t="s">
        <v>106</v>
      </c>
      <c r="F117" s="29">
        <v>1</v>
      </c>
      <c r="G117" s="29"/>
      <c r="H117" s="29"/>
      <c r="I117" s="29">
        <v>1</v>
      </c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>
        <v>1</v>
      </c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</row>
    <row r="118" spans="1:46" x14ac:dyDescent="0.3">
      <c r="C118" s="56">
        <v>7403105</v>
      </c>
      <c r="D118" s="7" t="s">
        <v>105</v>
      </c>
      <c r="E118" s="33" t="s">
        <v>138</v>
      </c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</row>
    <row r="119" spans="1:46" x14ac:dyDescent="0.3">
      <c r="A119" s="29"/>
      <c r="B119" s="29"/>
      <c r="C119" s="34">
        <v>7403374</v>
      </c>
      <c r="D119" s="92" t="s">
        <v>75</v>
      </c>
      <c r="E119" s="90" t="s">
        <v>109</v>
      </c>
      <c r="F119" s="29">
        <v>1</v>
      </c>
      <c r="G119" s="29"/>
      <c r="H119" s="29">
        <v>1</v>
      </c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>
        <v>1</v>
      </c>
      <c r="V119" s="29">
        <v>1</v>
      </c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</row>
    <row r="120" spans="1:46" x14ac:dyDescent="0.3">
      <c r="A120" s="29"/>
      <c r="B120" s="29"/>
      <c r="C120" s="34">
        <v>7104224</v>
      </c>
      <c r="D120" s="34" t="s">
        <v>75</v>
      </c>
      <c r="E120" s="59" t="s">
        <v>100</v>
      </c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</row>
    <row r="121" spans="1:46" x14ac:dyDescent="0.3">
      <c r="A121" s="57"/>
      <c r="B121" s="58"/>
      <c r="C121" s="34">
        <v>7403653</v>
      </c>
      <c r="D121" s="34" t="s">
        <v>178</v>
      </c>
      <c r="E121" s="59" t="s">
        <v>179</v>
      </c>
      <c r="F121" s="29">
        <v>1</v>
      </c>
      <c r="G121" s="29"/>
      <c r="H121" s="29">
        <v>1</v>
      </c>
      <c r="I121" s="29"/>
      <c r="J121" s="29"/>
      <c r="K121" s="29"/>
      <c r="L121" s="29">
        <v>1</v>
      </c>
      <c r="M121" s="29"/>
      <c r="N121" s="29"/>
      <c r="O121" s="29"/>
      <c r="P121" s="29"/>
      <c r="Q121" s="29"/>
      <c r="R121" s="29"/>
      <c r="S121" s="29"/>
      <c r="T121" s="29">
        <v>1</v>
      </c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</row>
    <row r="122" spans="1:46" x14ac:dyDescent="0.3">
      <c r="A122" s="57"/>
      <c r="B122" s="58"/>
      <c r="C122" s="34">
        <v>7104414</v>
      </c>
      <c r="D122" s="34" t="s">
        <v>235</v>
      </c>
      <c r="E122" s="59" t="s">
        <v>236</v>
      </c>
      <c r="F122" s="29"/>
      <c r="G122" s="29"/>
      <c r="H122" s="29">
        <v>1</v>
      </c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</row>
    <row r="123" spans="1:46" x14ac:dyDescent="0.3">
      <c r="A123" s="57"/>
      <c r="B123" s="58"/>
      <c r="C123" s="34">
        <v>7096686</v>
      </c>
      <c r="D123" s="34" t="s">
        <v>289</v>
      </c>
      <c r="E123" s="59" t="s">
        <v>58</v>
      </c>
      <c r="F123" s="29">
        <v>1</v>
      </c>
      <c r="G123" s="29"/>
      <c r="H123" s="29"/>
      <c r="I123" s="29"/>
      <c r="J123" s="29"/>
      <c r="K123" s="29"/>
      <c r="L123" s="29"/>
      <c r="M123" s="29">
        <v>1</v>
      </c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</row>
    <row r="124" spans="1:46" x14ac:dyDescent="0.3">
      <c r="A124" s="57"/>
      <c r="B124" s="58"/>
      <c r="C124" s="34">
        <v>105</v>
      </c>
      <c r="D124" s="7" t="s">
        <v>295</v>
      </c>
      <c r="E124" s="59" t="s">
        <v>303</v>
      </c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</row>
    <row r="125" spans="1:46" x14ac:dyDescent="0.3">
      <c r="A125" s="57"/>
      <c r="B125" s="58"/>
      <c r="C125" s="34">
        <v>7104673</v>
      </c>
      <c r="D125" s="34" t="s">
        <v>270</v>
      </c>
      <c r="E125" s="59" t="s">
        <v>262</v>
      </c>
      <c r="M125" s="44">
        <v>1</v>
      </c>
    </row>
    <row r="126" spans="1:46" x14ac:dyDescent="0.3">
      <c r="A126" s="57"/>
      <c r="B126" s="58"/>
      <c r="C126" s="34">
        <v>7104689</v>
      </c>
      <c r="D126" s="37" t="s">
        <v>315</v>
      </c>
      <c r="E126" s="59" t="s">
        <v>325</v>
      </c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</row>
    <row r="127" spans="1:46" x14ac:dyDescent="0.3">
      <c r="A127" s="57"/>
      <c r="B127" s="58"/>
      <c r="C127" s="34">
        <v>7078000</v>
      </c>
      <c r="D127" s="34" t="s">
        <v>343</v>
      </c>
      <c r="E127" s="59" t="s">
        <v>346</v>
      </c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</row>
    <row r="128" spans="1:46" x14ac:dyDescent="0.3">
      <c r="A128" s="57"/>
      <c r="B128" s="58"/>
      <c r="C128" s="34">
        <v>7105078</v>
      </c>
      <c r="D128" s="7" t="s">
        <v>336</v>
      </c>
      <c r="E128" s="94" t="s">
        <v>202</v>
      </c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</row>
    <row r="129" spans="1:46" x14ac:dyDescent="0.3">
      <c r="A129" s="57"/>
      <c r="B129" s="58"/>
      <c r="C129" s="37">
        <v>7401165</v>
      </c>
      <c r="D129" s="37" t="s">
        <v>72</v>
      </c>
      <c r="E129" s="40" t="s">
        <v>58</v>
      </c>
      <c r="F129" s="29">
        <v>1</v>
      </c>
      <c r="G129" s="29"/>
      <c r="H129" s="29">
        <v>1</v>
      </c>
      <c r="I129" s="29">
        <v>1</v>
      </c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>
        <v>1</v>
      </c>
      <c r="AA129" s="29">
        <v>1</v>
      </c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</row>
    <row r="130" spans="1:46" x14ac:dyDescent="0.3">
      <c r="A130" s="57"/>
      <c r="B130" s="58"/>
      <c r="C130" s="34">
        <v>7104225</v>
      </c>
      <c r="D130" s="34" t="s">
        <v>213</v>
      </c>
      <c r="E130" s="59" t="s">
        <v>214</v>
      </c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</row>
    <row r="131" spans="1:46" x14ac:dyDescent="0.3">
      <c r="A131" s="57"/>
      <c r="B131" s="58"/>
      <c r="C131" s="34">
        <v>7104418</v>
      </c>
      <c r="D131" s="34" t="s">
        <v>237</v>
      </c>
      <c r="E131" s="59" t="s">
        <v>238</v>
      </c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</row>
    <row r="132" spans="1:46" x14ac:dyDescent="0.3">
      <c r="A132" s="57"/>
      <c r="B132" s="58"/>
      <c r="C132" s="7">
        <v>7403024</v>
      </c>
      <c r="D132" s="7" t="s">
        <v>125</v>
      </c>
      <c r="E132" s="33" t="s">
        <v>126</v>
      </c>
      <c r="F132" s="29">
        <v>1</v>
      </c>
      <c r="G132" s="29"/>
      <c r="H132" s="29"/>
      <c r="I132" s="29">
        <v>1</v>
      </c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>
        <v>1</v>
      </c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</row>
    <row r="133" spans="1:46" x14ac:dyDescent="0.3">
      <c r="A133" s="57"/>
      <c r="B133" s="58"/>
      <c r="C133" s="34">
        <v>7403383</v>
      </c>
      <c r="D133" s="34" t="s">
        <v>149</v>
      </c>
      <c r="E133" s="59" t="s">
        <v>150</v>
      </c>
      <c r="F133" s="29">
        <v>1</v>
      </c>
      <c r="G133" s="29"/>
      <c r="H133" s="29">
        <v>1</v>
      </c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>
        <v>1</v>
      </c>
      <c r="V133" s="29"/>
      <c r="W133" s="29"/>
      <c r="X133" s="29"/>
      <c r="Y133" s="29">
        <v>1</v>
      </c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</row>
    <row r="134" spans="1:46" x14ac:dyDescent="0.3">
      <c r="A134" s="57"/>
      <c r="B134" s="58"/>
      <c r="C134" s="7">
        <v>7403004</v>
      </c>
      <c r="D134" s="7" t="s">
        <v>127</v>
      </c>
      <c r="E134" s="33" t="s">
        <v>128</v>
      </c>
      <c r="F134" s="29">
        <v>1</v>
      </c>
      <c r="G134" s="29"/>
      <c r="H134" s="29"/>
      <c r="I134" s="29">
        <v>1</v>
      </c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>
        <v>1</v>
      </c>
      <c r="AB134" s="29"/>
      <c r="AC134" s="29"/>
      <c r="AD134" s="29"/>
      <c r="AE134" s="29"/>
      <c r="AF134" s="29"/>
      <c r="AG134" s="29"/>
      <c r="AH134" s="29"/>
      <c r="AI134" s="29"/>
      <c r="AJ134" s="29">
        <v>1</v>
      </c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</row>
    <row r="135" spans="1:46" x14ac:dyDescent="0.3">
      <c r="A135" s="57"/>
      <c r="B135" s="58"/>
      <c r="C135" s="34">
        <v>7104620</v>
      </c>
      <c r="D135" s="34" t="s">
        <v>271</v>
      </c>
      <c r="E135" s="59" t="s">
        <v>200</v>
      </c>
      <c r="M135" s="44">
        <v>1</v>
      </c>
    </row>
    <row r="136" spans="1:46" x14ac:dyDescent="0.3">
      <c r="A136" s="57"/>
      <c r="B136" s="58"/>
      <c r="C136" s="34">
        <v>101</v>
      </c>
      <c r="D136" s="7" t="s">
        <v>296</v>
      </c>
      <c r="E136" s="59" t="s">
        <v>304</v>
      </c>
      <c r="F136" s="29"/>
      <c r="G136" s="29"/>
      <c r="H136" s="29">
        <v>1</v>
      </c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</row>
    <row r="137" spans="1:46" x14ac:dyDescent="0.3">
      <c r="A137" s="57"/>
      <c r="B137" s="58"/>
      <c r="C137" s="34">
        <v>7104306</v>
      </c>
      <c r="D137" s="34" t="s">
        <v>272</v>
      </c>
      <c r="E137" s="59" t="s">
        <v>273</v>
      </c>
      <c r="M137" s="44">
        <v>1</v>
      </c>
    </row>
    <row r="138" spans="1:46" x14ac:dyDescent="0.3">
      <c r="A138" s="57"/>
      <c r="B138" s="58"/>
      <c r="C138" s="29">
        <v>7077883</v>
      </c>
      <c r="D138" s="29" t="s">
        <v>77</v>
      </c>
      <c r="E138" s="29" t="s">
        <v>78</v>
      </c>
      <c r="F138" s="29">
        <v>1</v>
      </c>
      <c r="G138" s="29"/>
      <c r="H138" s="29"/>
      <c r="I138" s="29">
        <v>1</v>
      </c>
      <c r="J138" s="29"/>
      <c r="K138" s="29"/>
      <c r="L138" s="29"/>
      <c r="M138" s="29">
        <v>1</v>
      </c>
      <c r="N138" s="29">
        <v>1</v>
      </c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>
        <v>1</v>
      </c>
      <c r="AA138" s="29">
        <v>1</v>
      </c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</row>
    <row r="139" spans="1:46" x14ac:dyDescent="0.3">
      <c r="A139" s="57"/>
      <c r="B139" s="58"/>
      <c r="C139" s="34">
        <v>7104209</v>
      </c>
      <c r="D139" s="34" t="s">
        <v>211</v>
      </c>
      <c r="E139" s="59" t="s">
        <v>212</v>
      </c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</row>
    <row r="140" spans="1:46" x14ac:dyDescent="0.3">
      <c r="A140" s="57"/>
      <c r="B140" s="58"/>
      <c r="C140" s="34">
        <v>7104262</v>
      </c>
      <c r="D140" s="34" t="s">
        <v>221</v>
      </c>
      <c r="E140" s="59" t="s">
        <v>222</v>
      </c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</row>
    <row r="141" spans="1:46" x14ac:dyDescent="0.3">
      <c r="A141" s="57"/>
      <c r="B141" s="58"/>
      <c r="C141" s="34">
        <v>7104710</v>
      </c>
      <c r="D141" s="34" t="s">
        <v>287</v>
      </c>
      <c r="E141" s="59" t="s">
        <v>220</v>
      </c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</row>
    <row r="142" spans="1:46" x14ac:dyDescent="0.3">
      <c r="A142" s="57"/>
      <c r="B142" s="58"/>
      <c r="C142" s="34"/>
      <c r="D142" s="34"/>
      <c r="E142" s="5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</row>
    <row r="143" spans="1:46" x14ac:dyDescent="0.3">
      <c r="A143" s="57"/>
      <c r="B143" s="58"/>
      <c r="C143" s="34"/>
      <c r="D143" s="34"/>
      <c r="E143" s="5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</row>
    <row r="144" spans="1:46" x14ac:dyDescent="0.3">
      <c r="A144" s="57"/>
      <c r="B144" s="58"/>
      <c r="C144" s="34"/>
      <c r="D144" s="34"/>
      <c r="E144" s="5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</row>
    <row r="145" spans="1:46" x14ac:dyDescent="0.3">
      <c r="A145" s="57"/>
      <c r="B145" s="58"/>
      <c r="C145" s="34"/>
      <c r="D145" s="34"/>
      <c r="E145" s="5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</row>
    <row r="146" spans="1:46" x14ac:dyDescent="0.3">
      <c r="A146" s="57"/>
      <c r="B146" s="58"/>
      <c r="C146" s="34"/>
      <c r="D146" s="34"/>
      <c r="E146" s="5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</row>
    <row r="147" spans="1:46" x14ac:dyDescent="0.3">
      <c r="A147" s="57"/>
      <c r="B147" s="58"/>
      <c r="C147" s="34"/>
      <c r="D147" s="34"/>
      <c r="E147" s="5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</row>
    <row r="148" spans="1:46" x14ac:dyDescent="0.3">
      <c r="E148" s="45" t="s">
        <v>61</v>
      </c>
      <c r="F148" s="46">
        <v>4</v>
      </c>
      <c r="G148" s="46">
        <v>5</v>
      </c>
      <c r="H148" s="46">
        <v>6</v>
      </c>
      <c r="I148" s="46">
        <v>7</v>
      </c>
      <c r="J148" s="46">
        <v>8</v>
      </c>
      <c r="K148" s="46">
        <v>9</v>
      </c>
      <c r="L148" s="46">
        <v>10</v>
      </c>
      <c r="M148" s="46">
        <v>11</v>
      </c>
      <c r="N148" s="46">
        <v>12</v>
      </c>
      <c r="O148" s="46">
        <v>13</v>
      </c>
      <c r="P148" s="46">
        <v>14</v>
      </c>
      <c r="Q148" s="46">
        <v>15</v>
      </c>
      <c r="R148" s="46">
        <v>16</v>
      </c>
      <c r="S148" s="46">
        <v>17</v>
      </c>
      <c r="T148" s="46">
        <v>18</v>
      </c>
      <c r="U148" s="46">
        <v>19</v>
      </c>
      <c r="V148" s="46">
        <v>20</v>
      </c>
      <c r="W148" s="46">
        <v>21</v>
      </c>
      <c r="X148" s="46">
        <v>22</v>
      </c>
      <c r="Y148" s="46">
        <v>23</v>
      </c>
      <c r="Z148" s="46">
        <v>24</v>
      </c>
      <c r="AA148" s="46">
        <v>25</v>
      </c>
      <c r="AB148" s="46">
        <v>26</v>
      </c>
      <c r="AC148" s="46">
        <v>27</v>
      </c>
      <c r="AD148" s="46">
        <v>28</v>
      </c>
      <c r="AE148" s="46">
        <v>29</v>
      </c>
      <c r="AF148" s="46">
        <v>30</v>
      </c>
      <c r="AG148" s="46">
        <v>31</v>
      </c>
      <c r="AH148" s="46">
        <v>32</v>
      </c>
      <c r="AI148" s="46">
        <v>33</v>
      </c>
      <c r="AJ148" s="46">
        <v>34</v>
      </c>
      <c r="AK148" s="46">
        <v>35</v>
      </c>
      <c r="AL148" s="46">
        <v>36</v>
      </c>
      <c r="AM148" s="46">
        <v>37</v>
      </c>
      <c r="AN148" s="46">
        <v>38</v>
      </c>
      <c r="AO148" s="46">
        <v>39</v>
      </c>
      <c r="AP148" s="46">
        <v>40</v>
      </c>
      <c r="AQ148" s="46">
        <v>41</v>
      </c>
      <c r="AR148" s="46">
        <v>42</v>
      </c>
      <c r="AS148" s="46">
        <v>43</v>
      </c>
      <c r="AT148" s="46">
        <v>44</v>
      </c>
    </row>
    <row r="149" spans="1:46" ht="15" customHeight="1" x14ac:dyDescent="0.3"/>
  </sheetData>
  <autoFilter ref="A2:AT148" xr:uid="{00000000-0009-0000-0000-000001000000}"/>
  <sortState xmlns:xlrd2="http://schemas.microsoft.com/office/spreadsheetml/2017/richdata2" ref="A3:AT141">
    <sortCondition ref="D3:D141"/>
    <sortCondition ref="E3:E141"/>
  </sortState>
  <conditionalFormatting sqref="B9 B57:B72 B31:B54 B82:B104 B112:B133 B137:B146 B6:B7">
    <cfRule type="containsText" dxfId="111" priority="244" operator="containsText" text="Blue">
      <formula>NOT(ISERROR(SEARCH("Blue",B6)))</formula>
    </cfRule>
    <cfRule type="containsText" priority="245" operator="containsText" text="Lay off">
      <formula>NOT(ISERROR(SEARCH("Lay off",B6)))</formula>
    </cfRule>
    <cfRule type="containsText" dxfId="110" priority="246" operator="containsText" text="Rock">
      <formula>NOT(ISERROR(SEARCH("Rock",B6)))</formula>
    </cfRule>
    <cfRule type="containsText" dxfId="109" priority="247" operator="containsText" text="d">
      <formula>NOT(ISERROR(SEARCH("d",B6)))</formula>
    </cfRule>
    <cfRule type="containsText" dxfId="108" priority="248" operator="containsText" text="B">
      <formula>NOT(ISERROR(SEARCH("B",B6)))</formula>
    </cfRule>
    <cfRule type="containsText" dxfId="107" priority="249" operator="containsText" text="u">
      <formula>NOT(ISERROR(SEARCH("u",B6)))</formula>
    </cfRule>
    <cfRule type="containsText" dxfId="106" priority="250" operator="containsText" text="u">
      <formula>NOT(ISERROR(SEARCH("u",B6)))</formula>
    </cfRule>
    <cfRule type="containsText" priority="251" operator="containsText" text="Off">
      <formula>NOT(ISERROR(SEARCH("Off",B6)))</formula>
    </cfRule>
    <cfRule type="containsText" dxfId="105" priority="252" operator="containsText" text="Maternity">
      <formula>NOT(ISERROR(SEARCH("Maternity",B6)))</formula>
    </cfRule>
  </conditionalFormatting>
  <conditionalFormatting sqref="B4">
    <cfRule type="containsText" dxfId="104" priority="253" operator="containsText" text="Blue">
      <formula>NOT(ISERROR(SEARCH("Blue",B4)))</formula>
    </cfRule>
    <cfRule type="containsText" priority="254" operator="containsText" text="Lay off">
      <formula>NOT(ISERROR(SEARCH("Lay off",B4)))</formula>
    </cfRule>
    <cfRule type="containsText" dxfId="103" priority="255" operator="containsText" text="Rock">
      <formula>NOT(ISERROR(SEARCH("Rock",B4)))</formula>
    </cfRule>
    <cfRule type="containsText" dxfId="102" priority="256" operator="containsText" text="d">
      <formula>NOT(ISERROR(SEARCH("d",B4)))</formula>
    </cfRule>
    <cfRule type="containsText" dxfId="101" priority="257" operator="containsText" text="B">
      <formula>NOT(ISERROR(SEARCH("B",B4)))</formula>
    </cfRule>
    <cfRule type="containsText" dxfId="100" priority="258" operator="containsText" text="u">
      <formula>NOT(ISERROR(SEARCH("u",B4)))</formula>
    </cfRule>
    <cfRule type="containsText" dxfId="99" priority="259" operator="containsText" text="u">
      <formula>NOT(ISERROR(SEARCH("u",B4)))</formula>
    </cfRule>
    <cfRule type="containsText" priority="260" operator="containsText" text="Off">
      <formula>NOT(ISERROR(SEARCH("Off",B4)))</formula>
    </cfRule>
    <cfRule type="containsText" dxfId="98" priority="261" operator="containsText" text="Maternity">
      <formula>NOT(ISERROR(SEARCH("Maternity",B4)))</formula>
    </cfRule>
  </conditionalFormatting>
  <conditionalFormatting sqref="B5">
    <cfRule type="containsText" dxfId="97" priority="235" operator="containsText" text="Blue">
      <formula>NOT(ISERROR(SEARCH("Blue",B5)))</formula>
    </cfRule>
    <cfRule type="containsText" priority="236" operator="containsText" text="Lay off">
      <formula>NOT(ISERROR(SEARCH("Lay off",B5)))</formula>
    </cfRule>
    <cfRule type="containsText" dxfId="96" priority="237" operator="containsText" text="Rock">
      <formula>NOT(ISERROR(SEARCH("Rock",B5)))</formula>
    </cfRule>
    <cfRule type="containsText" dxfId="95" priority="238" operator="containsText" text="d">
      <formula>NOT(ISERROR(SEARCH("d",B5)))</formula>
    </cfRule>
    <cfRule type="containsText" dxfId="94" priority="239" operator="containsText" text="B">
      <formula>NOT(ISERROR(SEARCH("B",B5)))</formula>
    </cfRule>
    <cfRule type="containsText" dxfId="93" priority="240" operator="containsText" text="u">
      <formula>NOT(ISERROR(SEARCH("u",B5)))</formula>
    </cfRule>
    <cfRule type="containsText" dxfId="92" priority="241" operator="containsText" text="u">
      <formula>NOT(ISERROR(SEARCH("u",B5)))</formula>
    </cfRule>
    <cfRule type="containsText" priority="242" operator="containsText" text="Off">
      <formula>NOT(ISERROR(SEARCH("Off",B5)))</formula>
    </cfRule>
    <cfRule type="containsText" dxfId="91" priority="243" operator="containsText" text="Maternity">
      <formula>NOT(ISERROR(SEARCH("Maternity",B5)))</formula>
    </cfRule>
  </conditionalFormatting>
  <conditionalFormatting sqref="B24">
    <cfRule type="containsText" dxfId="90" priority="190" operator="containsText" text="Blue">
      <formula>NOT(ISERROR(SEARCH("Blue",B24)))</formula>
    </cfRule>
    <cfRule type="containsText" priority="191" operator="containsText" text="Lay off">
      <formula>NOT(ISERROR(SEARCH("Lay off",B24)))</formula>
    </cfRule>
    <cfRule type="containsText" dxfId="89" priority="192" operator="containsText" text="Rock">
      <formula>NOT(ISERROR(SEARCH("Rock",B24)))</formula>
    </cfRule>
    <cfRule type="containsText" dxfId="88" priority="193" operator="containsText" text="d">
      <formula>NOT(ISERROR(SEARCH("d",B24)))</formula>
    </cfRule>
    <cfRule type="containsText" dxfId="87" priority="194" operator="containsText" text="B">
      <formula>NOT(ISERROR(SEARCH("B",B24)))</formula>
    </cfRule>
    <cfRule type="containsText" dxfId="86" priority="195" operator="containsText" text="u">
      <formula>NOT(ISERROR(SEARCH("u",B24)))</formula>
    </cfRule>
    <cfRule type="containsText" dxfId="85" priority="196" operator="containsText" text="u">
      <formula>NOT(ISERROR(SEARCH("u",B24)))</formula>
    </cfRule>
    <cfRule type="containsText" priority="197" operator="containsText" text="Off">
      <formula>NOT(ISERROR(SEARCH("Off",B24)))</formula>
    </cfRule>
    <cfRule type="containsText" dxfId="84" priority="198" operator="containsText" text="Maternity">
      <formula>NOT(ISERROR(SEARCH("Maternity",B24)))</formula>
    </cfRule>
  </conditionalFormatting>
  <conditionalFormatting sqref="B25">
    <cfRule type="containsText" dxfId="83" priority="172" operator="containsText" text="Blue">
      <formula>NOT(ISERROR(SEARCH("Blue",B25)))</formula>
    </cfRule>
    <cfRule type="containsText" priority="173" operator="containsText" text="Lay off">
      <formula>NOT(ISERROR(SEARCH("Lay off",B25)))</formula>
    </cfRule>
    <cfRule type="containsText" dxfId="82" priority="174" operator="containsText" text="Rock">
      <formula>NOT(ISERROR(SEARCH("Rock",B25)))</formula>
    </cfRule>
    <cfRule type="containsText" dxfId="81" priority="175" operator="containsText" text="d">
      <formula>NOT(ISERROR(SEARCH("d",B25)))</formula>
    </cfRule>
    <cfRule type="containsText" dxfId="80" priority="176" operator="containsText" text="B">
      <formula>NOT(ISERROR(SEARCH("B",B25)))</formula>
    </cfRule>
    <cfRule type="containsText" dxfId="79" priority="177" operator="containsText" text="u">
      <formula>NOT(ISERROR(SEARCH("u",B25)))</formula>
    </cfRule>
    <cfRule type="containsText" dxfId="78" priority="178" operator="containsText" text="u">
      <formula>NOT(ISERROR(SEARCH("u",B25)))</formula>
    </cfRule>
    <cfRule type="containsText" priority="179" operator="containsText" text="Off">
      <formula>NOT(ISERROR(SEARCH("Off",B25)))</formula>
    </cfRule>
    <cfRule type="containsText" dxfId="77" priority="180" operator="containsText" text="Maternity">
      <formula>NOT(ISERROR(SEARCH("Maternity",B25)))</formula>
    </cfRule>
  </conditionalFormatting>
  <conditionalFormatting sqref="B26">
    <cfRule type="containsText" dxfId="76" priority="154" operator="containsText" text="Blue">
      <formula>NOT(ISERROR(SEARCH("Blue",B26)))</formula>
    </cfRule>
    <cfRule type="containsText" priority="155" operator="containsText" text="Lay off">
      <formula>NOT(ISERROR(SEARCH("Lay off",B26)))</formula>
    </cfRule>
    <cfRule type="containsText" dxfId="75" priority="156" operator="containsText" text="Rock">
      <formula>NOT(ISERROR(SEARCH("Rock",B26)))</formula>
    </cfRule>
    <cfRule type="containsText" dxfId="74" priority="157" operator="containsText" text="d">
      <formula>NOT(ISERROR(SEARCH("d",B26)))</formula>
    </cfRule>
    <cfRule type="containsText" dxfId="73" priority="158" operator="containsText" text="B">
      <formula>NOT(ISERROR(SEARCH("B",B26)))</formula>
    </cfRule>
    <cfRule type="containsText" dxfId="72" priority="159" operator="containsText" text="u">
      <formula>NOT(ISERROR(SEARCH("u",B26)))</formula>
    </cfRule>
    <cfRule type="containsText" dxfId="71" priority="160" operator="containsText" text="u">
      <formula>NOT(ISERROR(SEARCH("u",B26)))</formula>
    </cfRule>
    <cfRule type="containsText" priority="161" operator="containsText" text="Off">
      <formula>NOT(ISERROR(SEARCH("Off",B26)))</formula>
    </cfRule>
    <cfRule type="containsText" dxfId="70" priority="162" operator="containsText" text="Maternity">
      <formula>NOT(ISERROR(SEARCH("Maternity",B26)))</formula>
    </cfRule>
  </conditionalFormatting>
  <conditionalFormatting sqref="B27:B28">
    <cfRule type="containsText" dxfId="69" priority="145" operator="containsText" text="Blue">
      <formula>NOT(ISERROR(SEARCH("Blue",B27)))</formula>
    </cfRule>
    <cfRule type="containsText" priority="146" operator="containsText" text="Lay off">
      <formula>NOT(ISERROR(SEARCH("Lay off",B27)))</formula>
    </cfRule>
    <cfRule type="containsText" dxfId="68" priority="147" operator="containsText" text="Rock">
      <formula>NOT(ISERROR(SEARCH("Rock",B27)))</formula>
    </cfRule>
    <cfRule type="containsText" dxfId="67" priority="148" operator="containsText" text="d">
      <formula>NOT(ISERROR(SEARCH("d",B27)))</formula>
    </cfRule>
    <cfRule type="containsText" dxfId="66" priority="149" operator="containsText" text="B">
      <formula>NOT(ISERROR(SEARCH("B",B27)))</formula>
    </cfRule>
    <cfRule type="containsText" dxfId="65" priority="150" operator="containsText" text="u">
      <formula>NOT(ISERROR(SEARCH("u",B27)))</formula>
    </cfRule>
    <cfRule type="containsText" dxfId="64" priority="151" operator="containsText" text="u">
      <formula>NOT(ISERROR(SEARCH("u",B27)))</formula>
    </cfRule>
    <cfRule type="containsText" priority="152" operator="containsText" text="Off">
      <formula>NOT(ISERROR(SEARCH("Off",B27)))</formula>
    </cfRule>
    <cfRule type="containsText" dxfId="63" priority="153" operator="containsText" text="Maternity">
      <formula>NOT(ISERROR(SEARCH("Maternity",B27)))</formula>
    </cfRule>
  </conditionalFormatting>
  <conditionalFormatting sqref="B8">
    <cfRule type="containsText" dxfId="62" priority="136" operator="containsText" text="Blue">
      <formula>NOT(ISERROR(SEARCH("Blue",B8)))</formula>
    </cfRule>
    <cfRule type="containsText" priority="137" operator="containsText" text="Lay off">
      <formula>NOT(ISERROR(SEARCH("Lay off",B8)))</formula>
    </cfRule>
    <cfRule type="containsText" dxfId="61" priority="138" operator="containsText" text="Rock">
      <formula>NOT(ISERROR(SEARCH("Rock",B8)))</formula>
    </cfRule>
    <cfRule type="containsText" dxfId="60" priority="139" operator="containsText" text="d">
      <formula>NOT(ISERROR(SEARCH("d",B8)))</formula>
    </cfRule>
    <cfRule type="containsText" dxfId="59" priority="140" operator="containsText" text="B">
      <formula>NOT(ISERROR(SEARCH("B",B8)))</formula>
    </cfRule>
    <cfRule type="containsText" dxfId="58" priority="141" operator="containsText" text="u">
      <formula>NOT(ISERROR(SEARCH("u",B8)))</formula>
    </cfRule>
    <cfRule type="containsText" dxfId="57" priority="142" operator="containsText" text="u">
      <formula>NOT(ISERROR(SEARCH("u",B8)))</formula>
    </cfRule>
    <cfRule type="containsText" priority="143" operator="containsText" text="Off">
      <formula>NOT(ISERROR(SEARCH("Off",B8)))</formula>
    </cfRule>
    <cfRule type="containsText" dxfId="56" priority="144" operator="containsText" text="Maternity">
      <formula>NOT(ISERROR(SEARCH("Maternity",B8)))</formula>
    </cfRule>
  </conditionalFormatting>
  <conditionalFormatting sqref="B29">
    <cfRule type="containsText" dxfId="55" priority="100" operator="containsText" text="Blue">
      <formula>NOT(ISERROR(SEARCH("Blue",B29)))</formula>
    </cfRule>
    <cfRule type="containsText" priority="101" operator="containsText" text="Lay off">
      <formula>NOT(ISERROR(SEARCH("Lay off",B29)))</formula>
    </cfRule>
    <cfRule type="containsText" dxfId="54" priority="102" operator="containsText" text="Rock">
      <formula>NOT(ISERROR(SEARCH("Rock",B29)))</formula>
    </cfRule>
    <cfRule type="containsText" dxfId="53" priority="103" operator="containsText" text="d">
      <formula>NOT(ISERROR(SEARCH("d",B29)))</formula>
    </cfRule>
    <cfRule type="containsText" dxfId="52" priority="104" operator="containsText" text="B">
      <formula>NOT(ISERROR(SEARCH("B",B29)))</formula>
    </cfRule>
    <cfRule type="containsText" dxfId="51" priority="105" operator="containsText" text="u">
      <formula>NOT(ISERROR(SEARCH("u",B29)))</formula>
    </cfRule>
    <cfRule type="containsText" dxfId="50" priority="106" operator="containsText" text="u">
      <formula>NOT(ISERROR(SEARCH("u",B29)))</formula>
    </cfRule>
    <cfRule type="containsText" priority="107" operator="containsText" text="Off">
      <formula>NOT(ISERROR(SEARCH("Off",B29)))</formula>
    </cfRule>
    <cfRule type="containsText" dxfId="49" priority="108" operator="containsText" text="Maternity">
      <formula>NOT(ISERROR(SEARCH("Maternity",B29)))</formula>
    </cfRule>
  </conditionalFormatting>
  <conditionalFormatting sqref="B30">
    <cfRule type="containsText" dxfId="48" priority="82" operator="containsText" text="Blue">
      <formula>NOT(ISERROR(SEARCH("Blue",B30)))</formula>
    </cfRule>
    <cfRule type="containsText" priority="83" operator="containsText" text="Lay off">
      <formula>NOT(ISERROR(SEARCH("Lay off",B30)))</formula>
    </cfRule>
    <cfRule type="containsText" dxfId="47" priority="84" operator="containsText" text="Rock">
      <formula>NOT(ISERROR(SEARCH("Rock",B30)))</formula>
    </cfRule>
    <cfRule type="containsText" dxfId="46" priority="85" operator="containsText" text="d">
      <formula>NOT(ISERROR(SEARCH("d",B30)))</formula>
    </cfRule>
    <cfRule type="containsText" dxfId="45" priority="86" operator="containsText" text="B">
      <formula>NOT(ISERROR(SEARCH("B",B30)))</formula>
    </cfRule>
    <cfRule type="containsText" dxfId="44" priority="87" operator="containsText" text="u">
      <formula>NOT(ISERROR(SEARCH("u",B30)))</formula>
    </cfRule>
    <cfRule type="containsText" dxfId="43" priority="88" operator="containsText" text="u">
      <formula>NOT(ISERROR(SEARCH("u",B30)))</formula>
    </cfRule>
    <cfRule type="containsText" priority="89" operator="containsText" text="Off">
      <formula>NOT(ISERROR(SEARCH("Off",B30)))</formula>
    </cfRule>
    <cfRule type="containsText" dxfId="42" priority="90" operator="containsText" text="Maternity">
      <formula>NOT(ISERROR(SEARCH("Maternity",B30)))</formula>
    </cfRule>
  </conditionalFormatting>
  <conditionalFormatting sqref="B73:B78">
    <cfRule type="containsText" dxfId="41" priority="64" operator="containsText" text="Blue">
      <formula>NOT(ISERROR(SEARCH("Blue",B73)))</formula>
    </cfRule>
    <cfRule type="containsText" priority="65" operator="containsText" text="Lay off">
      <formula>NOT(ISERROR(SEARCH("Lay off",B73)))</formula>
    </cfRule>
    <cfRule type="containsText" dxfId="40" priority="66" operator="containsText" text="Rock">
      <formula>NOT(ISERROR(SEARCH("Rock",B73)))</formula>
    </cfRule>
    <cfRule type="containsText" dxfId="39" priority="67" operator="containsText" text="d">
      <formula>NOT(ISERROR(SEARCH("d",B73)))</formula>
    </cfRule>
    <cfRule type="containsText" dxfId="38" priority="68" operator="containsText" text="B">
      <formula>NOT(ISERROR(SEARCH("B",B73)))</formula>
    </cfRule>
    <cfRule type="containsText" dxfId="37" priority="69" operator="containsText" text="u">
      <formula>NOT(ISERROR(SEARCH("u",B73)))</formula>
    </cfRule>
    <cfRule type="containsText" dxfId="36" priority="70" operator="containsText" text="u">
      <formula>NOT(ISERROR(SEARCH("u",B73)))</formula>
    </cfRule>
    <cfRule type="containsText" priority="71" operator="containsText" text="Off">
      <formula>NOT(ISERROR(SEARCH("Off",B73)))</formula>
    </cfRule>
    <cfRule type="containsText" dxfId="35" priority="72" operator="containsText" text="Maternity">
      <formula>NOT(ISERROR(SEARCH("Maternity",B73)))</formula>
    </cfRule>
  </conditionalFormatting>
  <conditionalFormatting sqref="B55">
    <cfRule type="containsText" dxfId="34" priority="55" operator="containsText" text="Blue">
      <formula>NOT(ISERROR(SEARCH("Blue",B55)))</formula>
    </cfRule>
    <cfRule type="containsText" priority="56" operator="containsText" text="Lay off">
      <formula>NOT(ISERROR(SEARCH("Lay off",B55)))</formula>
    </cfRule>
    <cfRule type="containsText" dxfId="33" priority="57" operator="containsText" text="Rock">
      <formula>NOT(ISERROR(SEARCH("Rock",B55)))</formula>
    </cfRule>
    <cfRule type="containsText" dxfId="32" priority="58" operator="containsText" text="d">
      <formula>NOT(ISERROR(SEARCH("d",B55)))</formula>
    </cfRule>
    <cfRule type="containsText" dxfId="31" priority="59" operator="containsText" text="B">
      <formula>NOT(ISERROR(SEARCH("B",B55)))</formula>
    </cfRule>
    <cfRule type="containsText" dxfId="30" priority="60" operator="containsText" text="u">
      <formula>NOT(ISERROR(SEARCH("u",B55)))</formula>
    </cfRule>
    <cfRule type="containsText" dxfId="29" priority="61" operator="containsText" text="u">
      <formula>NOT(ISERROR(SEARCH("u",B55)))</formula>
    </cfRule>
    <cfRule type="containsText" priority="62" operator="containsText" text="Off">
      <formula>NOT(ISERROR(SEARCH("Off",B55)))</formula>
    </cfRule>
    <cfRule type="containsText" dxfId="28" priority="63" operator="containsText" text="Maternity">
      <formula>NOT(ISERROR(SEARCH("Maternity",B55)))</formula>
    </cfRule>
  </conditionalFormatting>
  <conditionalFormatting sqref="B56">
    <cfRule type="containsText" dxfId="27" priority="46" operator="containsText" text="Blue">
      <formula>NOT(ISERROR(SEARCH("Blue",B56)))</formula>
    </cfRule>
    <cfRule type="containsText" priority="47" operator="containsText" text="Lay off">
      <formula>NOT(ISERROR(SEARCH("Lay off",B56)))</formula>
    </cfRule>
    <cfRule type="containsText" dxfId="26" priority="48" operator="containsText" text="Rock">
      <formula>NOT(ISERROR(SEARCH("Rock",B56)))</formula>
    </cfRule>
    <cfRule type="containsText" dxfId="25" priority="49" operator="containsText" text="d">
      <formula>NOT(ISERROR(SEARCH("d",B56)))</formula>
    </cfRule>
    <cfRule type="containsText" dxfId="24" priority="50" operator="containsText" text="B">
      <formula>NOT(ISERROR(SEARCH("B",B56)))</formula>
    </cfRule>
    <cfRule type="containsText" dxfId="23" priority="51" operator="containsText" text="u">
      <formula>NOT(ISERROR(SEARCH("u",B56)))</formula>
    </cfRule>
    <cfRule type="containsText" dxfId="22" priority="52" operator="containsText" text="u">
      <formula>NOT(ISERROR(SEARCH("u",B56)))</formula>
    </cfRule>
    <cfRule type="containsText" priority="53" operator="containsText" text="Off">
      <formula>NOT(ISERROR(SEARCH("Off",B56)))</formula>
    </cfRule>
    <cfRule type="containsText" dxfId="21" priority="54" operator="containsText" text="Maternity">
      <formula>NOT(ISERROR(SEARCH("Maternity",B56)))</formula>
    </cfRule>
  </conditionalFormatting>
  <conditionalFormatting sqref="B106:B111">
    <cfRule type="containsText" dxfId="20" priority="28" operator="containsText" text="Blue">
      <formula>NOT(ISERROR(SEARCH("Blue",B106)))</formula>
    </cfRule>
    <cfRule type="containsText" priority="29" operator="containsText" text="Lay off">
      <formula>NOT(ISERROR(SEARCH("Lay off",B106)))</formula>
    </cfRule>
    <cfRule type="containsText" dxfId="19" priority="30" operator="containsText" text="Rock">
      <formula>NOT(ISERROR(SEARCH("Rock",B106)))</formula>
    </cfRule>
    <cfRule type="containsText" dxfId="18" priority="31" operator="containsText" text="d">
      <formula>NOT(ISERROR(SEARCH("d",B106)))</formula>
    </cfRule>
    <cfRule type="containsText" dxfId="17" priority="32" operator="containsText" text="B">
      <formula>NOT(ISERROR(SEARCH("B",B106)))</formula>
    </cfRule>
    <cfRule type="containsText" dxfId="16" priority="33" operator="containsText" text="u">
      <formula>NOT(ISERROR(SEARCH("u",B106)))</formula>
    </cfRule>
    <cfRule type="containsText" dxfId="15" priority="34" operator="containsText" text="u">
      <formula>NOT(ISERROR(SEARCH("u",B106)))</formula>
    </cfRule>
    <cfRule type="containsText" priority="35" operator="containsText" text="Off">
      <formula>NOT(ISERROR(SEARCH("Off",B106)))</formula>
    </cfRule>
    <cfRule type="containsText" dxfId="14" priority="36" operator="containsText" text="Maternity">
      <formula>NOT(ISERROR(SEARCH("Maternity",B106)))</formula>
    </cfRule>
  </conditionalFormatting>
  <conditionalFormatting sqref="B134">
    <cfRule type="containsText" dxfId="13" priority="10" operator="containsText" text="Blue">
      <formula>NOT(ISERROR(SEARCH("Blue",B134)))</formula>
    </cfRule>
    <cfRule type="containsText" priority="11" operator="containsText" text="Lay off">
      <formula>NOT(ISERROR(SEARCH("Lay off",B134)))</formula>
    </cfRule>
    <cfRule type="containsText" dxfId="12" priority="12" operator="containsText" text="Rock">
      <formula>NOT(ISERROR(SEARCH("Rock",B134)))</formula>
    </cfRule>
    <cfRule type="containsText" dxfId="11" priority="13" operator="containsText" text="d">
      <formula>NOT(ISERROR(SEARCH("d",B134)))</formula>
    </cfRule>
    <cfRule type="containsText" dxfId="10" priority="14" operator="containsText" text="B">
      <formula>NOT(ISERROR(SEARCH("B",B134)))</formula>
    </cfRule>
    <cfRule type="containsText" dxfId="9" priority="15" operator="containsText" text="u">
      <formula>NOT(ISERROR(SEARCH("u",B134)))</formula>
    </cfRule>
    <cfRule type="containsText" dxfId="8" priority="16" operator="containsText" text="u">
      <formula>NOT(ISERROR(SEARCH("u",B134)))</formula>
    </cfRule>
    <cfRule type="containsText" priority="17" operator="containsText" text="Off">
      <formula>NOT(ISERROR(SEARCH("Off",B134)))</formula>
    </cfRule>
    <cfRule type="containsText" dxfId="7" priority="18" operator="containsText" text="Maternity">
      <formula>NOT(ISERROR(SEARCH("Maternity",B134)))</formula>
    </cfRule>
  </conditionalFormatting>
  <conditionalFormatting sqref="B135">
    <cfRule type="containsText" dxfId="6" priority="1" operator="containsText" text="Blue">
      <formula>NOT(ISERROR(SEARCH("Blue",B135)))</formula>
    </cfRule>
    <cfRule type="containsText" priority="2" operator="containsText" text="Lay off">
      <formula>NOT(ISERROR(SEARCH("Lay off",B135)))</formula>
    </cfRule>
    <cfRule type="containsText" dxfId="5" priority="3" operator="containsText" text="Rock">
      <formula>NOT(ISERROR(SEARCH("Rock",B135)))</formula>
    </cfRule>
    <cfRule type="containsText" dxfId="4" priority="4" operator="containsText" text="d">
      <formula>NOT(ISERROR(SEARCH("d",B135)))</formula>
    </cfRule>
    <cfRule type="containsText" dxfId="3" priority="5" operator="containsText" text="B">
      <formula>NOT(ISERROR(SEARCH("B",B135)))</formula>
    </cfRule>
    <cfRule type="containsText" dxfId="2" priority="6" operator="containsText" text="u">
      <formula>NOT(ISERROR(SEARCH("u",B135)))</formula>
    </cfRule>
    <cfRule type="containsText" dxfId="1" priority="7" operator="containsText" text="u">
      <formula>NOT(ISERROR(SEARCH("u",B135)))</formula>
    </cfRule>
    <cfRule type="containsText" priority="8" operator="containsText" text="Off">
      <formula>NOT(ISERROR(SEARCH("Off",B135)))</formula>
    </cfRule>
    <cfRule type="containsText" dxfId="0" priority="9" operator="containsText" text="Maternity">
      <formula>NOT(ISERROR(SEARCH("Maternity",B135)))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 Refusal</vt:lpstr>
      <vt:lpstr>Look up</vt:lpstr>
    </vt:vector>
  </TitlesOfParts>
  <Company>Anheuser-Busch InBev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Michelle</dc:creator>
  <cp:lastModifiedBy>David D.</cp:lastModifiedBy>
  <cp:lastPrinted>2014-12-10T19:07:40Z</cp:lastPrinted>
  <dcterms:created xsi:type="dcterms:W3CDTF">2014-12-10T18:23:41Z</dcterms:created>
  <dcterms:modified xsi:type="dcterms:W3CDTF">2022-09-10T19:53:55Z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dc0a70da-33b4-4b6a-91f8-67f2cc1b38fa</vt:lpwstr>
  </property>
  <property fmtid="{D5CDD505-2E9C-101B-9397-08002B2CF9AE}" pid="3" name="ABClassification">
    <vt:lpwstr>Confidential</vt:lpwstr>
  </property>
</Properties>
</file>