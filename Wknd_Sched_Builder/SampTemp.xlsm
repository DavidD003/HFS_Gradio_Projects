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3CD0B2BD-9115-4AC7-98F4-8281FA788503}" xr6:coauthVersionLast="47" xr6:coauthVersionMax="47" xr10:uidLastSave="{00000000-0000-0000-0000-000000000000}"/>
  <bookViews>
    <workbookView xWindow="35550" yWindow="2625" windowWidth="21600" windowHeight="11235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up'!$A$2:$AT$148</definedName>
    <definedName name="_xlnm._FilterDatabase" localSheetId="0" hidden="1">'Temp Refusal'!$A$3:$AZ$4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Z4" i="1" l="1"/>
  <c r="BW4" i="1"/>
  <c r="BT4" i="1"/>
  <c r="BQ4" i="1"/>
  <c r="BN4" i="1"/>
  <c r="BK4" i="1"/>
  <c r="BH4" i="1"/>
  <c r="BE4" i="1"/>
  <c r="BB4" i="1"/>
</calcChain>
</file>

<file path=xl/sharedStrings.xml><?xml version="1.0" encoding="utf-8"?>
<sst xmlns="http://schemas.openxmlformats.org/spreadsheetml/2006/main" count="457" uniqueCount="354">
  <si>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</si>
  <si>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</si>
  <si>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</si>
  <si>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</si>
  <si>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</si>
  <si>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</si>
  <si>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</si>
  <si>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</si>
  <si>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</si>
  <si>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</si>
  <si>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</si>
  <si>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</si>
  <si>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</si>
  <si>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</si>
  <si>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</si>
  <si>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</si>
  <si>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</si>
  <si>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</si>
  <si>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</si>
  <si>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</si>
  <si>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</si>
  <si>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</si>
  <si>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</si>
  <si>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</si>
  <si>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</si>
  <si>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</si>
  <si>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</si>
  <si>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</si>
  <si>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</si>
  <si>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</si>
  <si>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</si>
  <si>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</si>
  <si>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</si>
  <si>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</si>
  <si>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</si>
  <si>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</si>
  <si>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</si>
  <si>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</si>
  <si>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</si>
  <si>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</si>
  <si>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</si>
  <si>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</si>
  <si>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</si>
  <si>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</si>
  <si>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</si>
  <si>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</si>
  <si>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</si>
  <si>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</si>
  <si>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</si>
  <si>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</si>
  <si>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</si>
  <si>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</si>
  <si>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</si>
  <si>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</si>
  <si>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</si>
  <si>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</si>
  <si>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</si>
  <si>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</si>
  <si>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</si>
  <si>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</si>
  <si>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</si>
  <si>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</si>
  <si>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</si>
  <si>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</si>
  <si>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</si>
  <si>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</si>
  <si>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</si>
  <si>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</si>
  <si>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</si>
  <si>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</si>
  <si>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</si>
  <si>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</si>
  <si>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</si>
  <si>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</si>
  <si>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</si>
  <si>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</si>
  <si>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</si>
  <si>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</si>
  <si>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</si>
  <si>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</si>
  <si>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</si>
  <si>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</si>
  <si>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</si>
  <si>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</si>
  <si>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</si>
  <si>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</si>
  <si>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</si>
  <si>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</si>
  <si>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</si>
  <si>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</si>
  <si>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</si>
  <si>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</si>
  <si>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</si>
  <si>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</si>
  <si>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</si>
  <si>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</si>
  <si>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</si>
  <si>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</si>
  <si>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</si>
  <si>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</si>
  <si>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</si>
  <si>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</si>
  <si>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</si>
  <si>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</si>
  <si>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</si>
  <si>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</si>
  <si>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</si>
  <si>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DEAN</t>
  </si>
  <si>
    <t>Jackson</t>
  </si>
  <si>
    <t>Aidan</t>
  </si>
  <si>
    <t>PRATT</t>
  </si>
  <si>
    <t>SATIMOV</t>
  </si>
  <si>
    <t>Amirbek</t>
  </si>
  <si>
    <t>SEARS</t>
  </si>
  <si>
    <t>Christian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</si>
  <si>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</si>
  <si>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</si>
  <si>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</si>
  <si>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</si>
  <si>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</si>
  <si>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</si>
  <si>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</si>
  <si>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</si>
  <si>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</si>
  <si>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</si>
  <si>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</si>
  <si>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</si>
  <si>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</si>
  <si>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</si>
  <si>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</si>
  <si>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</si>
  <si>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</si>
  <si>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</si>
  <si>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</si>
  <si>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</si>
  <si>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</si>
  <si>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</si>
  <si>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</si>
  <si>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</si>
  <si>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</si>
  <si>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</si>
  <si>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</si>
  <si>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</si>
  <si>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</si>
  <si>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</si>
  <si>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</si>
  <si>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</si>
  <si>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</si>
  <si>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</si>
  <si>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</si>
  <si>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</si>
  <si>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</si>
  <si>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</si>
  <si>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</si>
  <si>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</si>
  <si>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</si>
  <si>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</si>
  <si>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</si>
  <si>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</si>
  <si>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</si>
  <si>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</si>
  <si>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</si>
  <si>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</si>
  <si>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</si>
  <si>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</si>
  <si>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</si>
  <si>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</si>
  <si>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</si>
  <si>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</si>
  <si>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</si>
  <si>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</si>
  <si>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</si>
  <si>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</si>
  <si>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</si>
  <si>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</si>
  <si>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</si>
  <si>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</si>
  <si>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</si>
  <si>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</si>
  <si>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</si>
  <si>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</si>
  <si>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</si>
  <si>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</si>
  <si>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</si>
  <si>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</si>
  <si>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</si>
  <si>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</si>
  <si>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</si>
  <si>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</si>
  <si>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</si>
  <si>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</si>
  <si>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</si>
  <si>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</si>
  <si>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</si>
  <si>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</si>
  <si>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</si>
  <si>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</si>
  <si>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</si>
  <si>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</si>
  <si>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</si>
  <si>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</si>
  <si>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</si>
  <si>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</si>
  <si>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</si>
  <si>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</si>
  <si>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</si>
  <si>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</si>
  <si>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</si>
  <si>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</si>
  <si>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</si>
  <si>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</si>
  <si>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</si>
  <si>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</si>
  <si>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</si>
  <si>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</si>
  <si>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</si>
  <si>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</si>
  <si>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</si>
  <si>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</si>
  <si>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</si>
  <si>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</si>
  <si>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</si>
  <si>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</si>
  <si>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</si>
  <si>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</si>
  <si>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</si>
  <si>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</si>
  <si>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</si>
  <si>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</si>
  <si>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</si>
  <si>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</si>
  <si>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</si>
  <si>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</si>
  <si>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</si>
  <si>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</si>
  <si>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</si>
  <si>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</si>
  <si>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</si>
  <si>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</si>
  <si>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</si>
  <si>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</si>
  <si>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</si>
  <si>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</si>
  <si>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</si>
  <si>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</si>
  <si>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</si>
  <si>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</si>
  <si>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</si>
  <si>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</si>
  <si>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</si>
  <si>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</si>
  <si>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</si>
  <si>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</si>
  <si>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</si>
  <si>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</si>
  <si>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</si>
  <si>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</si>
  <si>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</si>
  <si>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</si>
  <si>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</si>
  <si>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</si>
  <si>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</si>
  <si>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</si>
  <si>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</si>
  <si>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</si>
  <si>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</si>
  <si>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</si>
  <si>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</si>
  <si>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</si>
  <si>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</si>
  <si>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</si>
  <si>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</si>
  <si>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</si>
  <si>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</si>
  <si>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</si>
  <si>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</si>
  <si>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</si>
  <si>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</si>
  <si>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</si>
  <si>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</si>
  <si>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</si>
  <si>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</si>
  <si>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</si>
  <si>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</si>
  <si>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</si>
  <si>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</si>
  <si>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</si>
  <si>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</si>
  <si>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</si>
  <si>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</si>
  <si>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EEDY</t>
  </si>
  <si>
    <t>ENIKEEVA</t>
  </si>
  <si>
    <t>KLOETSTRA</t>
  </si>
  <si>
    <t>PARKER</t>
  </si>
  <si>
    <t>SILVERTHORN</t>
  </si>
  <si>
    <t>STEVENS</t>
  </si>
  <si>
    <t>VARGHESE</t>
  </si>
  <si>
    <t>Vanessa</t>
  </si>
  <si>
    <t>Alina</t>
  </si>
  <si>
    <t>Akym</t>
  </si>
  <si>
    <t>Morgan</t>
  </si>
  <si>
    <t>Taylar</t>
  </si>
  <si>
    <t>Andrew</t>
  </si>
  <si>
    <t>Alicia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</si>
  <si>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</si>
  <si>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</si>
  <si>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</si>
  <si>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</si>
  <si>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</si>
  <si>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</si>
  <si>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</si>
  <si>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</si>
  <si>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</si>
  <si>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</si>
  <si>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</si>
  <si>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</si>
  <si>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</si>
  <si>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</si>
  <si>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</si>
  <si>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</si>
  <si>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</si>
  <si>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</si>
  <si>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</si>
  <si>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</si>
  <si>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</si>
  <si>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</si>
  <si>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</si>
  <si>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</si>
  <si>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</si>
  <si>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</si>
  <si>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</si>
  <si>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</si>
  <si>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</si>
  <si>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</si>
  <si>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</si>
  <si>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</si>
  <si>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</si>
  <si>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</si>
  <si>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</si>
  <si>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</si>
  <si>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</si>
  <si>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</si>
  <si>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</si>
  <si>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</si>
  <si>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</si>
  <si>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</si>
  <si>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</si>
  <si>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</si>
  <si>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LC1 CAN FILLER</t>
  </si>
  <si>
    <t>LC1 CAN UTILITY</t>
  </si>
  <si>
    <t>VarioPak</t>
  </si>
  <si>
    <t>LC1 CAN PACKER</t>
  </si>
  <si>
    <t>LC1 CAN DEPAL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</si>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</sst>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4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09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0" fontId="5" fillId="0" borderId="21" xfId="0" applyFon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13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4"/>
  <sheetViews>
    <sheetView tabSelected="1" zoomScale="85" zoomScaleNormal="85" workbookViewId="0">
      <pane xSplit="10" ySplit="2" topLeftCell="L3" activePane="bottomRight" state="frozen"/>
      <selection pane="topRight" activeCell="K1" sqref="K1"/>
      <selection pane="bottomLeft" activeCell="A3" sqref="A3"/>
      <selection pane="bottomRight" activeCell="R4" sqref="R4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customWidth="1" outlineLevel="1"/>
    <col min="44" max="50" width="7" style="62" customWidth="1" outlineLevel="1"/>
    <col min="51" max="51" width="7" customWidth="1" outlineLevel="1"/>
    <col min="52" max="52" width="7.88671875" style="35" customWidth="1"/>
    <col min="53" max="53" width="11.33203125" customWidth="1"/>
    <col min="81" max="84" width="9.109375" customWidth="1"/>
  </cols>
  <sheetData>
    <row r="1" spans="1:86" ht="15" thickBot="1" x14ac:dyDescent="0.35">
      <c r="A1" s="96" t="s">
        <v>76</v>
      </c>
      <c r="B1" s="96"/>
      <c r="C1" s="96"/>
      <c r="D1" s="96"/>
      <c r="E1" s="96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97" t="s">
        <v>25</v>
      </c>
      <c r="BB2" s="98"/>
      <c r="BC2" s="99"/>
      <c r="BD2" s="103" t="s">
        <v>26</v>
      </c>
      <c r="BE2" s="104"/>
      <c r="BF2" s="105"/>
      <c r="BG2" s="103" t="s">
        <v>27</v>
      </c>
      <c r="BH2" s="104"/>
      <c r="BI2" s="105"/>
      <c r="BJ2" s="103" t="s">
        <v>28</v>
      </c>
      <c r="BK2" s="104"/>
      <c r="BL2" s="105"/>
      <c r="BM2" s="100" t="s">
        <v>29</v>
      </c>
      <c r="BN2" s="101"/>
      <c r="BO2" s="102"/>
      <c r="BP2" s="100" t="s">
        <v>30</v>
      </c>
      <c r="BQ2" s="101"/>
      <c r="BR2" s="102"/>
      <c r="BS2" s="106" t="s">
        <v>31</v>
      </c>
      <c r="BT2" s="107"/>
      <c r="BU2" s="108"/>
      <c r="BV2" s="100" t="s">
        <v>32</v>
      </c>
      <c r="BW2" s="101"/>
      <c r="BX2" s="102"/>
      <c r="BY2" s="100" t="s">
        <v>33</v>
      </c>
      <c r="BZ2" s="101"/>
      <c r="CA2" s="102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3" t="s">
        <v>3</v>
      </c>
      <c r="E3" s="93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170</v>
      </c>
      <c r="O3" s="70" t="s">
        <v>81</v>
      </c>
      <c r="P3" s="70" t="s">
        <v>180</v>
      </c>
      <c r="Q3" s="71" t="s">
        <v>82</v>
      </c>
      <c r="R3" s="72" t="s">
        <v>13</v>
      </c>
      <c r="S3" s="73" t="s">
        <v>14</v>
      </c>
      <c r="T3" s="72" t="s">
        <v>62</v>
      </c>
      <c r="U3" s="72" t="s">
        <v>184</v>
      </c>
      <c r="V3" s="72" t="s">
        <v>15</v>
      </c>
      <c r="W3" s="71" t="s">
        <v>16</v>
      </c>
      <c r="X3" s="71" t="s">
        <v>17</v>
      </c>
      <c r="Y3" s="72" t="s">
        <v>88</v>
      </c>
      <c r="Z3" s="74" t="s">
        <v>89</v>
      </c>
      <c r="AA3" s="71" t="s">
        <v>18</v>
      </c>
      <c r="AB3" s="71" t="s">
        <v>182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52</v>
      </c>
      <c r="AI3" s="76" t="s">
        <v>53</v>
      </c>
      <c r="AJ3" s="76" t="s">
        <v>54</v>
      </c>
      <c r="AK3" s="76" t="s">
        <v>55</v>
      </c>
      <c r="AL3" s="71" t="s">
        <v>348</v>
      </c>
      <c r="AM3" s="71" t="s">
        <v>349</v>
      </c>
      <c r="AN3" s="77" t="s">
        <v>350</v>
      </c>
      <c r="AO3" s="71" t="s">
        <v>351</v>
      </c>
      <c r="AP3" s="71" t="s">
        <v>352</v>
      </c>
      <c r="AQ3" s="76" t="s">
        <v>57</v>
      </c>
      <c r="AR3" s="78" t="s">
        <v>187</v>
      </c>
      <c r="AS3" s="78" t="s">
        <v>188</v>
      </c>
      <c r="AT3" s="78" t="s">
        <v>189</v>
      </c>
      <c r="AU3" s="78" t="s">
        <v>190</v>
      </c>
      <c r="AV3" s="78" t="s">
        <v>191</v>
      </c>
      <c r="AW3" s="78" t="s">
        <v>192</v>
      </c>
      <c r="AX3" s="78" t="s">
        <v>193</v>
      </c>
      <c r="AY3" s="71" t="s">
        <v>24</v>
      </c>
      <c r="AZ3" s="79" t="s">
        <v>60</v>
      </c>
      <c r="BA3" s="23" t="s">
        <v>34</v>
      </c>
      <c r="BB3" s="24" t="s">
        <v>35</v>
      </c>
      <c r="BC3" s="25" t="s">
        <v>36</v>
      </c>
      <c r="BD3" s="26" t="s">
        <v>34</v>
      </c>
      <c r="BE3" s="24" t="s">
        <v>35</v>
      </c>
      <c r="BF3" s="27" t="s">
        <v>36</v>
      </c>
      <c r="BG3" s="23" t="s">
        <v>34</v>
      </c>
      <c r="BH3" s="24" t="s">
        <v>35</v>
      </c>
      <c r="BI3" s="25" t="s">
        <v>36</v>
      </c>
      <c r="BJ3" s="23" t="s">
        <v>34</v>
      </c>
      <c r="BK3" s="24" t="s">
        <v>35</v>
      </c>
      <c r="BL3" s="27" t="s">
        <v>36</v>
      </c>
      <c r="BM3" s="23" t="s">
        <v>34</v>
      </c>
      <c r="BN3" s="24" t="s">
        <v>35</v>
      </c>
      <c r="BO3" s="27" t="s">
        <v>36</v>
      </c>
      <c r="BP3" s="23" t="s">
        <v>34</v>
      </c>
      <c r="BQ3" s="24" t="s">
        <v>35</v>
      </c>
      <c r="BR3" s="27" t="s">
        <v>36</v>
      </c>
      <c r="BS3" s="23" t="s">
        <v>34</v>
      </c>
      <c r="BT3" s="24" t="s">
        <v>35</v>
      </c>
      <c r="BU3" s="25" t="s">
        <v>36</v>
      </c>
      <c r="BV3" s="23" t="s">
        <v>34</v>
      </c>
      <c r="BW3" s="24" t="s">
        <v>35</v>
      </c>
      <c r="BX3" s="27" t="s">
        <v>36</v>
      </c>
      <c r="BY3" s="23" t="s">
        <v>34</v>
      </c>
      <c r="BZ3" s="24" t="s">
        <v>35</v>
      </c>
      <c r="CA3" s="24" t="s">
        <v>36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44635</v>
      </c>
      <c r="B4" s="58" t="s">
        <v>353</v>
      </c>
      <c r="C4" s="34">
        <v>7104292</v>
      </c>
      <c r="D4" s="7" t="s">
        <v>219</v>
      </c>
      <c r="E4" s="94" t="s">
        <v>220</v>
      </c>
      <c r="F4" s="8">
        <v>1</v>
      </c>
      <c r="G4" s="4">
        <v>0</v>
      </c>
      <c r="H4" s="54">
        <v>0</v>
      </c>
      <c r="I4" s="4">
        <v>4</v>
      </c>
      <c r="J4" s="3">
        <v>0</v>
      </c>
      <c r="K4" s="44"/>
      <c r="L4" s="82">
        <v>1</v>
      </c>
      <c r="M4" s="82">
        <v>0</v>
      </c>
      <c r="N4" s="82">
        <v>1</v>
      </c>
      <c r="O4" s="82">
        <v>0</v>
      </c>
      <c r="P4" s="82">
        <v>0</v>
      </c>
      <c r="Q4" s="82">
        <v>0</v>
      </c>
      <c r="R4" s="83">
        <v>1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0</v>
      </c>
      <c r="AG4" s="84">
        <v>0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1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" si="0">BA4*2.5</f>
        <v>0</v>
      </c>
      <c r="BC4" s="6"/>
      <c r="BD4" s="47"/>
      <c r="BE4" s="5">
        <f t="shared" ref="BE4" si="1">BD4*1.625</f>
        <v>0</v>
      </c>
      <c r="BF4" s="48"/>
      <c r="BG4" s="49"/>
      <c r="BH4" s="1">
        <f t="shared" ref="BH4" si="2">BG4*1.625</f>
        <v>0</v>
      </c>
      <c r="BI4" s="50"/>
      <c r="BJ4" s="51"/>
      <c r="BK4" s="5">
        <f t="shared" ref="BK4" si="3">BJ4*1.625</f>
        <v>0</v>
      </c>
      <c r="BL4" s="48"/>
      <c r="BM4" s="49"/>
      <c r="BN4" s="1">
        <f t="shared" ref="BN4" si="4">BM4*1.625</f>
        <v>0</v>
      </c>
      <c r="BO4" s="50"/>
      <c r="BP4" s="51"/>
      <c r="BQ4" s="5">
        <f t="shared" ref="BQ4" si="5">BP4*1.625</f>
        <v>0</v>
      </c>
      <c r="BR4" s="48"/>
      <c r="BS4" s="49"/>
      <c r="BT4" s="1">
        <f t="shared" ref="BT4" si="6">BS4*1.625</f>
        <v>0</v>
      </c>
      <c r="BU4" s="50"/>
      <c r="BV4" s="51"/>
      <c r="BW4" s="5">
        <f t="shared" ref="BW4" si="7">BV4*1.5</f>
        <v>0</v>
      </c>
      <c r="BX4" s="48"/>
      <c r="BY4" s="49"/>
      <c r="BZ4" s="2">
        <f t="shared" ref="BZ4" si="8">BY4*2.5</f>
        <v>0</v>
      </c>
      <c r="CA4" s="52"/>
      <c r="CB4" s="41"/>
      <c r="CC4" s="41"/>
      <c r="CD4" s="41"/>
      <c r="CE4" s="41"/>
      <c r="CF4" s="41"/>
      <c r="CG4" s="41"/>
      <c r="CH4" s="41"/>
    </row>
  </sheetData>
  <autoFilter ref="A3:AZ4" xr:uid="{00000000-0009-0000-0000-000000000000}"/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I4">
    <cfRule type="cellIs" dxfId="112" priority="28" operator="greaterThanOrEqual">
      <formula>20</formula>
    </cfRule>
  </conditionalFormatting>
  <pageMargins left="0.7" right="0.7" top="0.75" bottom="0.75" header="0.3" footer="0.3"/>
  <pageSetup orientation="portrait" verticalDpi="599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49"/>
  <sheetViews>
    <sheetView zoomScale="70" zoomScaleNormal="70" workbookViewId="0">
      <pane xSplit="5" ySplit="2" topLeftCell="M3" activePane="bottomRight" state="frozen"/>
      <selection pane="topRight" activeCell="F1" sqref="F1"/>
      <selection pane="bottomLeft" activeCell="A2" sqref="A2"/>
      <selection pane="bottomRight" activeCell="AD28" sqref="AD28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59</v>
      </c>
      <c r="G1" s="44" t="s">
        <v>59</v>
      </c>
      <c r="H1" s="44" t="s">
        <v>59</v>
      </c>
      <c r="I1" s="44" t="s">
        <v>59</v>
      </c>
      <c r="J1" s="44" t="s">
        <v>59</v>
      </c>
      <c r="K1" s="44" t="s">
        <v>59</v>
      </c>
      <c r="L1" s="44" t="s">
        <v>59</v>
      </c>
      <c r="M1" s="44" t="s">
        <v>59</v>
      </c>
      <c r="N1" s="44" t="s">
        <v>59</v>
      </c>
      <c r="P1" s="44" t="s">
        <v>59</v>
      </c>
      <c r="Q1" s="44" t="s">
        <v>59</v>
      </c>
      <c r="R1" s="44" t="s">
        <v>59</v>
      </c>
      <c r="S1" s="44" t="s">
        <v>59</v>
      </c>
      <c r="T1" s="44" t="s">
        <v>59</v>
      </c>
      <c r="U1" s="44" t="s">
        <v>59</v>
      </c>
      <c r="V1" s="44" t="s">
        <v>59</v>
      </c>
      <c r="W1" s="44" t="s">
        <v>59</v>
      </c>
      <c r="X1" s="44" t="s">
        <v>59</v>
      </c>
      <c r="Y1" s="44" t="s">
        <v>59</v>
      </c>
      <c r="Z1" s="44" t="s">
        <v>59</v>
      </c>
      <c r="AA1" s="44" t="s">
        <v>59</v>
      </c>
      <c r="AB1" s="44" t="s">
        <v>59</v>
      </c>
      <c r="AC1" s="44" t="s">
        <v>59</v>
      </c>
      <c r="AD1" s="44" t="s">
        <v>59</v>
      </c>
      <c r="AE1" s="44" t="s">
        <v>59</v>
      </c>
      <c r="AF1" s="44" t="s">
        <v>59</v>
      </c>
      <c r="AG1" s="44" t="s">
        <v>59</v>
      </c>
      <c r="AH1" s="44" t="s">
        <v>59</v>
      </c>
      <c r="AI1" s="44" t="s">
        <v>59</v>
      </c>
      <c r="AJ1" s="44" t="s">
        <v>59</v>
      </c>
      <c r="AK1" s="44" t="s">
        <v>59</v>
      </c>
      <c r="AL1" s="44" t="s">
        <v>59</v>
      </c>
      <c r="AM1" s="44" t="s">
        <v>59</v>
      </c>
      <c r="AN1" s="44" t="s">
        <v>59</v>
      </c>
      <c r="AO1" s="44" t="s">
        <v>59</v>
      </c>
      <c r="AP1" s="44" t="s">
        <v>59</v>
      </c>
      <c r="AQ1" s="44" t="s">
        <v>59</v>
      </c>
      <c r="AR1" s="44" t="s">
        <v>59</v>
      </c>
      <c r="AS1" s="44" t="s">
        <v>59</v>
      </c>
      <c r="AT1" s="44" t="s">
        <v>59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39</v>
      </c>
      <c r="G2" s="36" t="s">
        <v>40</v>
      </c>
      <c r="H2" s="36" t="s">
        <v>169</v>
      </c>
      <c r="I2" s="36" t="s">
        <v>83</v>
      </c>
      <c r="J2" s="36" t="s">
        <v>181</v>
      </c>
      <c r="K2" s="36" t="s">
        <v>84</v>
      </c>
      <c r="L2" s="36" t="s">
        <v>41</v>
      </c>
      <c r="M2" s="36" t="s">
        <v>42</v>
      </c>
      <c r="N2" s="36" t="s">
        <v>63</v>
      </c>
      <c r="O2" s="36" t="s">
        <v>185</v>
      </c>
      <c r="P2" s="36" t="s">
        <v>43</v>
      </c>
      <c r="Q2" s="36" t="s">
        <v>44</v>
      </c>
      <c r="R2" s="36" t="s">
        <v>17</v>
      </c>
      <c r="S2" s="36" t="s">
        <v>87</v>
      </c>
      <c r="T2" s="36" t="s">
        <v>95</v>
      </c>
      <c r="U2" s="36" t="s">
        <v>45</v>
      </c>
      <c r="V2" s="36" t="s">
        <v>183</v>
      </c>
      <c r="W2" s="36" t="s">
        <v>46</v>
      </c>
      <c r="X2" s="36" t="s">
        <v>20</v>
      </c>
      <c r="Y2" s="36" t="s">
        <v>47</v>
      </c>
      <c r="Z2" s="36" t="s">
        <v>90</v>
      </c>
      <c r="AA2" s="36" t="s">
        <v>48</v>
      </c>
      <c r="AB2" s="36" t="s">
        <v>56</v>
      </c>
      <c r="AC2" s="36" t="s">
        <v>53</v>
      </c>
      <c r="AD2" s="36" t="s">
        <v>54</v>
      </c>
      <c r="AE2" s="36" t="s">
        <v>55</v>
      </c>
      <c r="AF2" s="36" t="s">
        <v>49</v>
      </c>
      <c r="AG2" s="36" t="s">
        <v>50</v>
      </c>
      <c r="AH2" s="36" t="s">
        <v>67</v>
      </c>
      <c r="AI2" s="36" t="s">
        <v>96</v>
      </c>
      <c r="AJ2" s="36" t="s">
        <v>97</v>
      </c>
      <c r="AK2" s="36" t="s">
        <v>57</v>
      </c>
      <c r="AL2" s="36" t="s">
        <v>187</v>
      </c>
      <c r="AM2" s="36" t="s">
        <v>188</v>
      </c>
      <c r="AN2" s="36" t="s">
        <v>189</v>
      </c>
      <c r="AO2" s="36" t="s">
        <v>190</v>
      </c>
      <c r="AP2" s="36" t="s">
        <v>191</v>
      </c>
      <c r="AQ2" s="36" t="s">
        <v>192</v>
      </c>
      <c r="AR2" s="36" t="s">
        <v>193</v>
      </c>
      <c r="AS2" s="36" t="s">
        <v>51</v>
      </c>
      <c r="AT2" s="36" t="s">
        <v>186</v>
      </c>
    </row>
    <row r="3" spans="1:46" x14ac:dyDescent="0.3">
      <c r="A3" s="29"/>
      <c r="B3" s="29"/>
      <c r="C3" s="34">
        <v>7104292</v>
      </c>
      <c r="D3" s="34" t="s">
        <v>219</v>
      </c>
      <c r="E3" s="59" t="s">
        <v>220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207</v>
      </c>
      <c r="E4" s="59" t="s">
        <v>208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194</v>
      </c>
      <c r="E5" s="59" t="s">
        <v>195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326</v>
      </c>
      <c r="E6" s="59" t="s">
        <v>330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29"/>
      <c r="B7" s="29"/>
      <c r="C7" s="34">
        <v>7104178</v>
      </c>
      <c r="D7" s="34" t="s">
        <v>196</v>
      </c>
      <c r="E7" s="59" t="s">
        <v>197</v>
      </c>
      <c r="F7" s="29">
        <v>1</v>
      </c>
      <c r="G7" s="29"/>
      <c r="H7" s="29">
        <v>1</v>
      </c>
      <c r="I7" s="29"/>
      <c r="J7" s="29">
        <v>1</v>
      </c>
      <c r="K7" s="29"/>
      <c r="L7" s="29"/>
      <c r="M7" s="29">
        <v>1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57"/>
      <c r="B8" s="58"/>
      <c r="C8" s="34">
        <v>7104337</v>
      </c>
      <c r="D8" s="34" t="s">
        <v>243</v>
      </c>
      <c r="E8" s="59" t="s">
        <v>244</v>
      </c>
    </row>
    <row r="9" spans="1:46" x14ac:dyDescent="0.3">
      <c r="A9" s="29"/>
      <c r="B9" s="29"/>
      <c r="C9" s="37">
        <v>7095873</v>
      </c>
      <c r="D9" s="37" t="s">
        <v>101</v>
      </c>
      <c r="E9" s="40" t="s">
        <v>98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>
        <v>1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</row>
    <row r="10" spans="1:46" ht="15" customHeight="1" x14ac:dyDescent="0.3">
      <c r="C10" s="34">
        <v>7095780</v>
      </c>
      <c r="D10" s="34" t="s">
        <v>228</v>
      </c>
      <c r="E10" s="59" t="s">
        <v>229</v>
      </c>
      <c r="F10" s="44">
        <v>1</v>
      </c>
      <c r="U10" s="44">
        <v>1</v>
      </c>
      <c r="Y10" s="44">
        <v>1</v>
      </c>
    </row>
    <row r="11" spans="1:46" ht="15" customHeight="1" x14ac:dyDescent="0.3">
      <c r="A11" s="29"/>
      <c r="B11" s="29"/>
      <c r="C11" s="29">
        <v>7401154</v>
      </c>
      <c r="D11" s="29" t="s">
        <v>70</v>
      </c>
      <c r="E11" s="29" t="s">
        <v>71</v>
      </c>
      <c r="F11" s="29">
        <v>1</v>
      </c>
      <c r="G11" s="29"/>
      <c r="H11" s="29"/>
      <c r="I11" s="29">
        <v>1</v>
      </c>
      <c r="J11" s="29"/>
      <c r="K11" s="29"/>
      <c r="L11" s="29"/>
      <c r="M11" s="29">
        <v>1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>
        <v>1</v>
      </c>
      <c r="AA11" s="29">
        <v>1</v>
      </c>
      <c r="AB11" s="29"/>
      <c r="AC11" s="29"/>
      <c r="AD11" s="29"/>
      <c r="AE11" s="29"/>
      <c r="AF11" s="29"/>
      <c r="AG11" s="29"/>
      <c r="AH11" s="29"/>
      <c r="AI11" s="29">
        <v>1</v>
      </c>
      <c r="AJ11" s="29">
        <v>1</v>
      </c>
      <c r="AK11" s="29"/>
      <c r="AL11" s="29"/>
      <c r="AM11" s="29"/>
      <c r="AN11" s="29"/>
      <c r="AO11" s="29"/>
      <c r="AP11" s="29"/>
      <c r="AQ11" s="29"/>
      <c r="AR11" s="29"/>
      <c r="AS11" s="29"/>
      <c r="AT11" s="29"/>
    </row>
    <row r="12" spans="1:46" x14ac:dyDescent="0.3">
      <c r="A12" s="57"/>
      <c r="B12" s="58"/>
      <c r="C12" s="34">
        <v>74030137</v>
      </c>
      <c r="D12" s="34" t="s">
        <v>341</v>
      </c>
      <c r="E12" s="59" t="s">
        <v>344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7104549</v>
      </c>
      <c r="D13" s="34" t="s">
        <v>245</v>
      </c>
      <c r="E13" s="59" t="s">
        <v>225</v>
      </c>
      <c r="H13" s="44">
        <v>1</v>
      </c>
    </row>
    <row r="14" spans="1:46" ht="15" customHeight="1" x14ac:dyDescent="0.3">
      <c r="A14" s="57"/>
      <c r="B14" s="58"/>
      <c r="C14" s="34">
        <v>7104332</v>
      </c>
      <c r="D14" s="34" t="s">
        <v>246</v>
      </c>
      <c r="E14" s="59" t="s">
        <v>74</v>
      </c>
      <c r="M14" s="44">
        <v>1</v>
      </c>
    </row>
    <row r="15" spans="1:46" x14ac:dyDescent="0.3">
      <c r="A15" s="57"/>
      <c r="B15" s="58"/>
      <c r="C15" s="34">
        <v>7109999</v>
      </c>
      <c r="D15" s="7" t="s">
        <v>327</v>
      </c>
      <c r="E15" s="59" t="s">
        <v>331</v>
      </c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</row>
    <row r="16" spans="1:46" ht="15" customHeight="1" x14ac:dyDescent="0.3">
      <c r="A16" s="57"/>
      <c r="B16" s="58"/>
      <c r="C16" s="34">
        <v>7104333</v>
      </c>
      <c r="D16" s="34" t="s">
        <v>247</v>
      </c>
      <c r="E16" s="59" t="s">
        <v>248</v>
      </c>
      <c r="F16" s="44">
        <v>1</v>
      </c>
      <c r="H16" s="44">
        <v>1</v>
      </c>
      <c r="T16" s="44">
        <v>1</v>
      </c>
    </row>
    <row r="17" spans="1:46" x14ac:dyDescent="0.3">
      <c r="A17" s="57"/>
      <c r="B17" s="58"/>
      <c r="C17" s="34">
        <v>7401147</v>
      </c>
      <c r="D17" s="34" t="s">
        <v>247</v>
      </c>
      <c r="E17" s="59" t="s">
        <v>249</v>
      </c>
      <c r="F17" s="44">
        <v>1</v>
      </c>
      <c r="H17" s="44">
        <v>1</v>
      </c>
      <c r="T17" s="44">
        <v>1</v>
      </c>
    </row>
    <row r="18" spans="1:46" ht="15" customHeight="1" x14ac:dyDescent="0.3">
      <c r="A18" s="57"/>
      <c r="B18" s="58"/>
      <c r="C18" s="34">
        <v>7105038</v>
      </c>
      <c r="D18" s="7" t="s">
        <v>334</v>
      </c>
      <c r="E18" s="94" t="s">
        <v>337</v>
      </c>
      <c r="F18" s="29"/>
      <c r="G18" s="29"/>
      <c r="H18" s="29">
        <v>1</v>
      </c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</row>
    <row r="19" spans="1:46" ht="15" customHeight="1" x14ac:dyDescent="0.3">
      <c r="A19" s="57"/>
      <c r="B19" s="58"/>
      <c r="C19" s="34">
        <v>7105087</v>
      </c>
      <c r="D19" s="34" t="s">
        <v>339</v>
      </c>
      <c r="E19" s="59" t="s">
        <v>340</v>
      </c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</row>
    <row r="20" spans="1:46" x14ac:dyDescent="0.3">
      <c r="A20" s="57"/>
      <c r="B20" s="58"/>
      <c r="C20" s="34">
        <v>7104754</v>
      </c>
      <c r="D20" s="34" t="s">
        <v>275</v>
      </c>
      <c r="E20" s="59" t="s">
        <v>276</v>
      </c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>
        <v>1</v>
      </c>
      <c r="AS20" s="29"/>
      <c r="AT20" s="29"/>
    </row>
    <row r="21" spans="1:46" x14ac:dyDescent="0.3">
      <c r="A21" s="30"/>
      <c r="B21" s="31"/>
      <c r="C21" s="29">
        <v>7402019</v>
      </c>
      <c r="D21" s="29" t="s">
        <v>80</v>
      </c>
      <c r="E21" s="43" t="s">
        <v>66</v>
      </c>
      <c r="F21" s="29">
        <v>1</v>
      </c>
      <c r="G21" s="29"/>
      <c r="H21" s="29"/>
      <c r="I21" s="29">
        <v>1</v>
      </c>
      <c r="J21" s="29"/>
      <c r="K21" s="29"/>
      <c r="L21" s="29"/>
      <c r="M21" s="29">
        <v>1</v>
      </c>
      <c r="N21" s="29"/>
      <c r="O21" s="29"/>
      <c r="P21" s="29">
        <v>1</v>
      </c>
      <c r="Q21" s="29"/>
      <c r="R21" s="29"/>
      <c r="S21" s="29"/>
      <c r="T21" s="29"/>
      <c r="U21" s="29"/>
      <c r="V21" s="29"/>
      <c r="W21" s="29"/>
      <c r="X21" s="29"/>
      <c r="Y21" s="29"/>
      <c r="Z21" s="29">
        <v>1</v>
      </c>
      <c r="AA21" s="29">
        <v>1</v>
      </c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>
        <v>1</v>
      </c>
      <c r="AS21" s="29"/>
      <c r="AT21" s="29"/>
    </row>
    <row r="22" spans="1:46" x14ac:dyDescent="0.3">
      <c r="A22" s="29"/>
      <c r="B22" s="29"/>
      <c r="C22" s="34">
        <v>7104227</v>
      </c>
      <c r="D22" s="34" t="s">
        <v>209</v>
      </c>
      <c r="E22" s="59" t="s">
        <v>210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30"/>
      <c r="B23" s="31"/>
      <c r="C23" s="34">
        <v>7104882</v>
      </c>
      <c r="D23" s="37" t="s">
        <v>305</v>
      </c>
      <c r="E23" s="59" t="s">
        <v>316</v>
      </c>
      <c r="F23" s="29"/>
      <c r="G23" s="29"/>
      <c r="H23" s="29">
        <v>1</v>
      </c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</row>
    <row r="24" spans="1:46" x14ac:dyDescent="0.3">
      <c r="A24" s="57"/>
      <c r="B24" s="58"/>
      <c r="C24" s="34">
        <v>7104857</v>
      </c>
      <c r="D24" s="37" t="s">
        <v>306</v>
      </c>
      <c r="E24" s="59" t="s">
        <v>317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57"/>
      <c r="B25" s="58"/>
      <c r="C25" s="55">
        <v>7401354</v>
      </c>
      <c r="D25" s="32" t="s">
        <v>107</v>
      </c>
      <c r="E25" s="32" t="s">
        <v>108</v>
      </c>
      <c r="F25" s="29">
        <v>1</v>
      </c>
      <c r="G25" s="29"/>
      <c r="H25" s="29"/>
      <c r="I25" s="29">
        <v>1</v>
      </c>
      <c r="J25" s="29"/>
      <c r="K25" s="29"/>
      <c r="L25" s="29"/>
      <c r="M25" s="29">
        <v>1</v>
      </c>
      <c r="N25" s="29"/>
      <c r="O25" s="29"/>
      <c r="P25" s="29"/>
      <c r="Q25" s="29"/>
      <c r="R25" s="29"/>
      <c r="S25" s="29"/>
      <c r="T25" s="29">
        <v>1</v>
      </c>
      <c r="U25" s="29"/>
      <c r="V25" s="29"/>
      <c r="W25" s="29"/>
      <c r="X25" s="29"/>
      <c r="Y25" s="29"/>
      <c r="Z25" s="29"/>
      <c r="AA25" s="29">
        <v>1</v>
      </c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29"/>
      <c r="B26" s="29"/>
      <c r="C26" s="34">
        <v>7104370</v>
      </c>
      <c r="D26" s="34" t="s">
        <v>277</v>
      </c>
      <c r="E26" s="59" t="s">
        <v>278</v>
      </c>
      <c r="F26" s="44">
        <v>1</v>
      </c>
      <c r="M26" s="44">
        <v>1</v>
      </c>
    </row>
    <row r="27" spans="1:46" ht="15" customHeight="1" x14ac:dyDescent="0.3">
      <c r="A27" s="57"/>
      <c r="B27" s="58"/>
      <c r="C27" s="34">
        <v>7104238</v>
      </c>
      <c r="D27" s="34" t="s">
        <v>250</v>
      </c>
      <c r="E27" s="59" t="s">
        <v>242</v>
      </c>
      <c r="F27" s="44">
        <v>1</v>
      </c>
      <c r="M27" s="44">
        <v>1</v>
      </c>
    </row>
    <row r="28" spans="1:46" ht="15" customHeight="1" x14ac:dyDescent="0.3">
      <c r="A28" s="57"/>
      <c r="B28" s="58"/>
      <c r="C28" s="34">
        <v>7104257</v>
      </c>
      <c r="D28" s="34" t="s">
        <v>251</v>
      </c>
      <c r="E28" s="59" t="s">
        <v>252</v>
      </c>
      <c r="M28" s="44">
        <v>1</v>
      </c>
    </row>
    <row r="29" spans="1:46" ht="15" customHeight="1" x14ac:dyDescent="0.3">
      <c r="A29" s="29"/>
      <c r="B29" s="29"/>
      <c r="C29" s="34">
        <v>104</v>
      </c>
      <c r="D29" s="7" t="s">
        <v>290</v>
      </c>
      <c r="E29" s="59" t="s">
        <v>297</v>
      </c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7">
        <v>7400336</v>
      </c>
      <c r="D30" s="37" t="s">
        <v>64</v>
      </c>
      <c r="E30" s="40" t="s">
        <v>65</v>
      </c>
      <c r="F30" s="29">
        <v>1</v>
      </c>
      <c r="G30" s="29"/>
      <c r="H30" s="29">
        <v>1</v>
      </c>
      <c r="I30" s="29"/>
      <c r="J30" s="29"/>
      <c r="K30" s="29"/>
      <c r="L30" s="29"/>
      <c r="M30" s="29">
        <v>1</v>
      </c>
      <c r="N30" s="29"/>
      <c r="O30" s="29"/>
      <c r="P30" s="29"/>
      <c r="Q30" s="29"/>
      <c r="R30" s="29"/>
      <c r="S30" s="29"/>
      <c r="T30" s="29">
        <v>1</v>
      </c>
      <c r="U30" s="29"/>
      <c r="V30" s="29"/>
      <c r="W30" s="29"/>
      <c r="X30" s="29"/>
      <c r="Y30" s="29"/>
      <c r="Z30" s="29">
        <v>1</v>
      </c>
      <c r="AA30" s="29">
        <v>1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</row>
    <row r="31" spans="1:46" ht="15" customHeight="1" x14ac:dyDescent="0.3">
      <c r="A31" s="29"/>
      <c r="B31" s="29"/>
      <c r="C31" s="34">
        <v>7104633</v>
      </c>
      <c r="D31" s="34" t="s">
        <v>253</v>
      </c>
      <c r="E31" s="59" t="s">
        <v>254</v>
      </c>
      <c r="M31" s="44">
        <v>1</v>
      </c>
    </row>
    <row r="32" spans="1:46" ht="15" customHeight="1" x14ac:dyDescent="0.3">
      <c r="A32" s="53"/>
      <c r="B32" s="31"/>
      <c r="C32" s="34">
        <v>24</v>
      </c>
      <c r="D32" s="34" t="s">
        <v>279</v>
      </c>
      <c r="E32" s="59" t="s">
        <v>280</v>
      </c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</row>
    <row r="33" spans="1:46" ht="15" customHeight="1" x14ac:dyDescent="0.3">
      <c r="A33" s="29"/>
      <c r="B33" s="29"/>
      <c r="C33" s="34">
        <v>102</v>
      </c>
      <c r="D33" s="7" t="s">
        <v>291</v>
      </c>
      <c r="E33" s="59" t="s">
        <v>298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57"/>
      <c r="B34" s="58"/>
      <c r="C34" s="34">
        <v>7104866</v>
      </c>
      <c r="D34" s="37" t="s">
        <v>307</v>
      </c>
      <c r="E34" s="59" t="s">
        <v>318</v>
      </c>
      <c r="F34" s="29"/>
      <c r="G34" s="29"/>
      <c r="H34" s="29"/>
      <c r="I34" s="29">
        <v>1</v>
      </c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57"/>
      <c r="B35" s="58"/>
      <c r="C35" s="34">
        <v>7104568</v>
      </c>
      <c r="D35" s="7" t="s">
        <v>335</v>
      </c>
      <c r="E35" s="94" t="s">
        <v>338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</row>
    <row r="36" spans="1:46" ht="15" customHeight="1" x14ac:dyDescent="0.3">
      <c r="A36" s="42"/>
      <c r="B36" s="29"/>
      <c r="C36" s="34">
        <v>7403267</v>
      </c>
      <c r="D36" s="34" t="s">
        <v>158</v>
      </c>
      <c r="E36" s="59" t="s">
        <v>159</v>
      </c>
      <c r="F36" s="29"/>
      <c r="G36" s="29"/>
      <c r="H36" s="29"/>
      <c r="I36" s="29"/>
      <c r="J36" s="29">
        <v>1</v>
      </c>
      <c r="K36" s="29"/>
      <c r="L36" s="29"/>
      <c r="M36" s="29">
        <v>1</v>
      </c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7104220</v>
      </c>
      <c r="D37" s="34" t="s">
        <v>203</v>
      </c>
      <c r="E37" s="59" t="s">
        <v>204</v>
      </c>
      <c r="F37" s="29">
        <v>1</v>
      </c>
      <c r="G37" s="29"/>
      <c r="H37" s="29">
        <v>1</v>
      </c>
      <c r="I37" s="29"/>
      <c r="J37" s="29"/>
      <c r="K37" s="29"/>
      <c r="L37" s="29"/>
      <c r="M37" s="29">
        <v>1</v>
      </c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29"/>
      <c r="B38" s="29"/>
      <c r="C38" s="34">
        <v>7403368</v>
      </c>
      <c r="D38" s="34" t="s">
        <v>141</v>
      </c>
      <c r="E38" s="59" t="s">
        <v>142</v>
      </c>
      <c r="F38" s="29">
        <v>1</v>
      </c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>
        <v>1</v>
      </c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29"/>
      <c r="B39" s="29"/>
      <c r="C39" s="34">
        <v>7403655</v>
      </c>
      <c r="D39" s="34" t="s">
        <v>171</v>
      </c>
      <c r="E39" s="59" t="s">
        <v>172</v>
      </c>
      <c r="F39" s="44">
        <v>1</v>
      </c>
    </row>
    <row r="40" spans="1:46" ht="15" customHeight="1" x14ac:dyDescent="0.3">
      <c r="A40" s="29"/>
      <c r="B40" s="29"/>
      <c r="C40" s="34">
        <v>7104226</v>
      </c>
      <c r="D40" s="34" t="s">
        <v>215</v>
      </c>
      <c r="E40" s="59" t="s">
        <v>216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</row>
    <row r="41" spans="1:46" ht="15" customHeight="1" x14ac:dyDescent="0.3">
      <c r="A41" s="29"/>
      <c r="B41" s="29"/>
      <c r="C41" s="34">
        <v>7104560</v>
      </c>
      <c r="D41" s="34" t="s">
        <v>255</v>
      </c>
      <c r="E41" s="59" t="s">
        <v>256</v>
      </c>
      <c r="H41" s="44">
        <v>1</v>
      </c>
      <c r="AM41" s="44">
        <v>1</v>
      </c>
    </row>
    <row r="42" spans="1:46" ht="15" customHeight="1" x14ac:dyDescent="0.3">
      <c r="A42" s="38"/>
      <c r="B42" s="39"/>
      <c r="C42" s="56">
        <v>7403138</v>
      </c>
      <c r="D42" s="7" t="s">
        <v>134</v>
      </c>
      <c r="E42" s="33" t="s">
        <v>135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30"/>
      <c r="B43" s="31"/>
      <c r="C43" s="34">
        <v>7104207</v>
      </c>
      <c r="D43" s="34" t="s">
        <v>223</v>
      </c>
      <c r="E43" s="59" t="s">
        <v>224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</row>
    <row r="44" spans="1:46" ht="15" customHeight="1" x14ac:dyDescent="0.3">
      <c r="A44" s="29"/>
      <c r="B44" s="29"/>
      <c r="C44" s="34">
        <v>7104322</v>
      </c>
      <c r="D44" s="34" t="s">
        <v>226</v>
      </c>
      <c r="E44" s="59" t="s">
        <v>227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>
        <v>1</v>
      </c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57"/>
      <c r="B45" s="58"/>
      <c r="C45" s="55">
        <v>7400376</v>
      </c>
      <c r="D45" s="61" t="s">
        <v>166</v>
      </c>
      <c r="E45" s="61" t="s">
        <v>167</v>
      </c>
      <c r="F45" s="29">
        <v>1</v>
      </c>
      <c r="G45" s="29"/>
      <c r="H45" s="29">
        <v>1</v>
      </c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</row>
    <row r="46" spans="1:46" ht="15" customHeight="1" x14ac:dyDescent="0.3">
      <c r="A46" s="57"/>
      <c r="B46" s="58"/>
      <c r="C46" s="55">
        <v>7104444</v>
      </c>
      <c r="D46" s="61" t="s">
        <v>201</v>
      </c>
      <c r="E46" s="61" t="s">
        <v>202</v>
      </c>
      <c r="F46" s="29">
        <v>1</v>
      </c>
      <c r="G46" s="29"/>
      <c r="H46" s="29">
        <v>1</v>
      </c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57"/>
      <c r="B47" s="58"/>
      <c r="C47" s="55">
        <v>7104867</v>
      </c>
      <c r="D47" s="91" t="s">
        <v>308</v>
      </c>
      <c r="E47" s="61" t="s">
        <v>319</v>
      </c>
      <c r="F47" s="29"/>
      <c r="G47" s="29"/>
      <c r="H47" s="29"/>
      <c r="I47" s="29">
        <v>1</v>
      </c>
      <c r="J47" s="29"/>
      <c r="K47" s="29"/>
      <c r="L47" s="29"/>
      <c r="M47" s="29">
        <v>1</v>
      </c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29"/>
      <c r="B48" s="29"/>
      <c r="C48" s="34">
        <v>7403366</v>
      </c>
      <c r="D48" s="34" t="s">
        <v>143</v>
      </c>
      <c r="E48" s="59" t="s">
        <v>144</v>
      </c>
      <c r="F48" s="29">
        <v>1</v>
      </c>
      <c r="G48" s="29"/>
      <c r="H48" s="29">
        <v>1</v>
      </c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30"/>
      <c r="B49" s="31"/>
      <c r="C49" s="37">
        <v>7402915</v>
      </c>
      <c r="D49" s="37" t="s">
        <v>103</v>
      </c>
      <c r="E49" s="40" t="s">
        <v>104</v>
      </c>
      <c r="F49" s="29">
        <v>1</v>
      </c>
      <c r="G49" s="29"/>
      <c r="H49" s="29">
        <v>1</v>
      </c>
      <c r="I49" s="29">
        <v>1</v>
      </c>
      <c r="J49" s="29"/>
      <c r="K49" s="29"/>
      <c r="L49" s="29">
        <v>1</v>
      </c>
      <c r="M49" s="29">
        <v>1</v>
      </c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>
        <v>1</v>
      </c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30"/>
      <c r="B50" s="31"/>
      <c r="C50" s="34">
        <v>107</v>
      </c>
      <c r="D50" s="7" t="s">
        <v>309</v>
      </c>
      <c r="E50" s="59" t="s">
        <v>299</v>
      </c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29"/>
      <c r="B51" s="29"/>
      <c r="C51" s="34">
        <v>7403370</v>
      </c>
      <c r="D51" s="34" t="s">
        <v>145</v>
      </c>
      <c r="E51" s="59" t="s">
        <v>146</v>
      </c>
      <c r="F51" s="29">
        <v>1</v>
      </c>
      <c r="G51" s="29"/>
      <c r="H51" s="29">
        <v>1</v>
      </c>
      <c r="I51" s="29"/>
      <c r="J51" s="29"/>
      <c r="K51" s="29"/>
      <c r="L51" s="29"/>
      <c r="M51" s="29">
        <v>1</v>
      </c>
      <c r="N51" s="29"/>
      <c r="O51" s="29"/>
      <c r="P51" s="29"/>
      <c r="Q51" s="29"/>
      <c r="R51" s="29"/>
      <c r="S51" s="29">
        <v>1</v>
      </c>
      <c r="T51" s="29">
        <v>1</v>
      </c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30"/>
      <c r="B52" s="31"/>
      <c r="C52" s="7">
        <v>7403025</v>
      </c>
      <c r="D52" s="7" t="s">
        <v>115</v>
      </c>
      <c r="E52" s="33" t="s">
        <v>116</v>
      </c>
      <c r="F52" s="29"/>
      <c r="G52" s="29"/>
      <c r="H52" s="29"/>
      <c r="I52" s="29">
        <v>1</v>
      </c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>
        <v>1</v>
      </c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29"/>
      <c r="B53" s="29"/>
      <c r="C53" s="34">
        <v>7105555</v>
      </c>
      <c r="D53" s="34" t="s">
        <v>230</v>
      </c>
      <c r="E53" s="59" t="s">
        <v>231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57"/>
      <c r="B54" s="58"/>
      <c r="C54" s="34">
        <v>7104732</v>
      </c>
      <c r="D54" s="34" t="s">
        <v>281</v>
      </c>
      <c r="E54" s="88" t="s">
        <v>282</v>
      </c>
      <c r="F54" s="29"/>
      <c r="G54" s="29"/>
      <c r="H54" s="29"/>
      <c r="I54" s="29"/>
      <c r="J54" s="29"/>
      <c r="K54" s="29"/>
      <c r="L54" s="29"/>
      <c r="M54" s="29">
        <v>1</v>
      </c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29"/>
      <c r="B55" s="29"/>
      <c r="C55" s="55">
        <v>7403483</v>
      </c>
      <c r="D55" s="61" t="s">
        <v>168</v>
      </c>
      <c r="E55" s="95" t="s">
        <v>78</v>
      </c>
      <c r="F55" s="29">
        <v>1</v>
      </c>
      <c r="G55" s="29"/>
      <c r="H55" s="29">
        <v>1</v>
      </c>
      <c r="I55" s="29"/>
      <c r="J55" s="29"/>
      <c r="K55" s="29"/>
      <c r="L55" s="29"/>
      <c r="M55" s="29">
        <v>1</v>
      </c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C56" s="34">
        <v>7101072</v>
      </c>
      <c r="D56" s="34" t="s">
        <v>173</v>
      </c>
      <c r="E56" s="59" t="s">
        <v>174</v>
      </c>
      <c r="F56" s="29">
        <v>1</v>
      </c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103</v>
      </c>
      <c r="D57" s="7" t="s">
        <v>292</v>
      </c>
      <c r="E57" s="59" t="s">
        <v>300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38"/>
      <c r="B58" s="39"/>
      <c r="C58" s="37">
        <v>7402425</v>
      </c>
      <c r="D58" s="37" t="s">
        <v>93</v>
      </c>
      <c r="E58" s="40" t="s">
        <v>94</v>
      </c>
      <c r="F58" s="29">
        <v>1</v>
      </c>
      <c r="G58" s="29"/>
      <c r="H58" s="29"/>
      <c r="I58" s="29">
        <v>1</v>
      </c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>
        <v>1</v>
      </c>
      <c r="AB58" s="29"/>
      <c r="AC58" s="29"/>
      <c r="AD58" s="29"/>
      <c r="AE58" s="29"/>
      <c r="AF58" s="29"/>
      <c r="AG58" s="29"/>
      <c r="AH58" s="29"/>
      <c r="AI58" s="29">
        <v>1</v>
      </c>
      <c r="AJ58" s="29">
        <v>1</v>
      </c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7104190</v>
      </c>
      <c r="D59" s="34" t="s">
        <v>217</v>
      </c>
      <c r="E59" s="59" t="s">
        <v>218</v>
      </c>
      <c r="F59" s="29">
        <v>1</v>
      </c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29"/>
      <c r="B60" s="29"/>
      <c r="C60" s="34">
        <v>7104863</v>
      </c>
      <c r="D60" s="37" t="s">
        <v>310</v>
      </c>
      <c r="E60" s="59" t="s">
        <v>320</v>
      </c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57"/>
      <c r="B61" s="58"/>
      <c r="C61" s="34">
        <v>7403411</v>
      </c>
      <c r="D61" s="34" t="s">
        <v>151</v>
      </c>
      <c r="E61" s="59" t="s">
        <v>152</v>
      </c>
      <c r="F61" s="29">
        <v>1</v>
      </c>
      <c r="G61" s="29"/>
      <c r="H61" s="29">
        <v>1</v>
      </c>
      <c r="I61" s="29"/>
      <c r="J61" s="29">
        <v>1</v>
      </c>
      <c r="K61" s="29"/>
      <c r="L61" s="29"/>
      <c r="M61" s="29">
        <v>1</v>
      </c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7104924</v>
      </c>
      <c r="D62" s="7" t="s">
        <v>328</v>
      </c>
      <c r="E62" s="59" t="s">
        <v>332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60">
        <v>7402632</v>
      </c>
      <c r="D63" s="34" t="s">
        <v>160</v>
      </c>
      <c r="E63" s="59" t="s">
        <v>79</v>
      </c>
      <c r="F63" s="29">
        <v>1</v>
      </c>
      <c r="G63" s="29"/>
      <c r="H63" s="29"/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A64" s="57"/>
      <c r="B64" s="58"/>
      <c r="C64" s="34">
        <v>7104396</v>
      </c>
      <c r="D64" s="34" t="s">
        <v>232</v>
      </c>
      <c r="E64" s="59" t="s">
        <v>233</v>
      </c>
      <c r="F64" s="29">
        <v>1</v>
      </c>
      <c r="G64" s="29"/>
      <c r="H64" s="29">
        <v>1</v>
      </c>
      <c r="I64" s="29"/>
      <c r="J64" s="29"/>
      <c r="K64" s="29"/>
      <c r="L64" s="29"/>
      <c r="M64" s="29">
        <v>1</v>
      </c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53"/>
      <c r="B65" s="31"/>
      <c r="C65" s="34">
        <v>7403380</v>
      </c>
      <c r="D65" s="34" t="s">
        <v>153</v>
      </c>
      <c r="E65" s="59" t="s">
        <v>154</v>
      </c>
      <c r="F65" s="29">
        <v>1</v>
      </c>
      <c r="G65" s="29"/>
      <c r="H65" s="29"/>
      <c r="I65" s="29"/>
      <c r="J65" s="29"/>
      <c r="K65" s="29"/>
      <c r="L65" s="29"/>
      <c r="M65" s="29"/>
      <c r="N65" s="29"/>
      <c r="O65" s="29"/>
      <c r="P65" s="29">
        <v>1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29"/>
      <c r="B66" s="29"/>
      <c r="C66" s="34">
        <v>7104407</v>
      </c>
      <c r="D66" s="34" t="s">
        <v>239</v>
      </c>
      <c r="E66" s="59" t="s">
        <v>240</v>
      </c>
      <c r="F66" s="44">
        <v>1</v>
      </c>
      <c r="H66" s="44">
        <v>1</v>
      </c>
      <c r="M66" s="44">
        <v>1</v>
      </c>
      <c r="T66" s="44">
        <v>1</v>
      </c>
    </row>
    <row r="67" spans="1:46" ht="15" customHeight="1" x14ac:dyDescent="0.3">
      <c r="A67" s="30"/>
      <c r="B67" s="31"/>
      <c r="C67" s="7">
        <v>7403058</v>
      </c>
      <c r="D67" s="7" t="s">
        <v>121</v>
      </c>
      <c r="E67" s="33" t="s">
        <v>122</v>
      </c>
      <c r="F67" s="29">
        <v>1</v>
      </c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>
        <v>1</v>
      </c>
      <c r="T67" s="29">
        <v>1</v>
      </c>
      <c r="U67" s="29"/>
      <c r="V67" s="29"/>
      <c r="W67" s="29"/>
      <c r="X67" s="29"/>
      <c r="Y67" s="29"/>
      <c r="Z67" s="29"/>
      <c r="AA67" s="29">
        <v>1</v>
      </c>
      <c r="AB67" s="29"/>
      <c r="AC67" s="29"/>
      <c r="AD67" s="29"/>
      <c r="AE67" s="29"/>
      <c r="AF67" s="29"/>
      <c r="AG67" s="29"/>
      <c r="AH67" s="29"/>
      <c r="AI67" s="29">
        <v>1</v>
      </c>
      <c r="AJ67" s="29">
        <v>1</v>
      </c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30"/>
      <c r="B68" s="31"/>
      <c r="C68" s="34">
        <v>7104849</v>
      </c>
      <c r="D68" s="37" t="s">
        <v>311</v>
      </c>
      <c r="E68" s="59" t="s">
        <v>321</v>
      </c>
      <c r="F68" s="29">
        <v>1</v>
      </c>
      <c r="G68" s="29"/>
      <c r="H68" s="29">
        <v>1</v>
      </c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</row>
    <row r="69" spans="1:46" ht="15" customHeight="1" x14ac:dyDescent="0.3">
      <c r="A69" s="30"/>
      <c r="B69" s="31"/>
      <c r="C69" s="34">
        <v>7403656</v>
      </c>
      <c r="D69" s="34" t="s">
        <v>175</v>
      </c>
      <c r="E69" s="59" t="s">
        <v>129</v>
      </c>
      <c r="F69" s="29">
        <v>1</v>
      </c>
      <c r="G69" s="29"/>
      <c r="H69" s="29">
        <v>1</v>
      </c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>
        <v>1</v>
      </c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38"/>
      <c r="B70" s="39"/>
      <c r="C70" s="34">
        <v>7104692</v>
      </c>
      <c r="D70" s="34" t="s">
        <v>257</v>
      </c>
      <c r="E70" s="59" t="s">
        <v>258</v>
      </c>
      <c r="F70" s="44">
        <v>1</v>
      </c>
      <c r="H70" s="44">
        <v>1</v>
      </c>
      <c r="M70" s="44">
        <v>1</v>
      </c>
    </row>
    <row r="71" spans="1:46" ht="15" customHeight="1" x14ac:dyDescent="0.3">
      <c r="A71" s="38"/>
      <c r="B71" s="39"/>
      <c r="C71" s="56">
        <v>7403432</v>
      </c>
      <c r="D71" s="34" t="s">
        <v>161</v>
      </c>
      <c r="E71" s="59" t="s">
        <v>162</v>
      </c>
      <c r="F71" s="29">
        <v>1</v>
      </c>
      <c r="G71" s="29"/>
      <c r="H71" s="29">
        <v>1</v>
      </c>
      <c r="I71" s="29"/>
      <c r="J71" s="29">
        <v>1</v>
      </c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>
        <v>1</v>
      </c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7104491</v>
      </c>
      <c r="D72" s="34" t="s">
        <v>259</v>
      </c>
      <c r="E72" s="59" t="s">
        <v>260</v>
      </c>
      <c r="M72" s="44">
        <v>1</v>
      </c>
    </row>
    <row r="73" spans="1:46" ht="15" customHeight="1" x14ac:dyDescent="0.3">
      <c r="A73" s="57"/>
      <c r="B73" s="58"/>
      <c r="C73" s="29">
        <v>7400976</v>
      </c>
      <c r="D73" s="29" t="s">
        <v>68</v>
      </c>
      <c r="E73" s="29" t="s">
        <v>69</v>
      </c>
      <c r="F73" s="29">
        <v>1</v>
      </c>
      <c r="G73" s="29"/>
      <c r="H73" s="29"/>
      <c r="I73" s="29">
        <v>1</v>
      </c>
      <c r="J73" s="29"/>
      <c r="K73" s="29"/>
      <c r="L73" s="29"/>
      <c r="M73" s="29">
        <v>1</v>
      </c>
      <c r="N73" s="29">
        <v>1</v>
      </c>
      <c r="O73" s="29"/>
      <c r="P73" s="29"/>
      <c r="Q73" s="29"/>
      <c r="R73" s="29"/>
      <c r="S73" s="29">
        <v>1</v>
      </c>
      <c r="T73" s="29"/>
      <c r="U73" s="29"/>
      <c r="V73" s="29"/>
      <c r="W73" s="29"/>
      <c r="X73" s="29"/>
      <c r="Y73" s="29"/>
      <c r="Z73" s="29">
        <v>1</v>
      </c>
      <c r="AA73" s="29">
        <v>1</v>
      </c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38"/>
      <c r="B74" s="39"/>
      <c r="C74" s="34">
        <v>7104557</v>
      </c>
      <c r="D74" s="34" t="s">
        <v>261</v>
      </c>
      <c r="E74" s="59" t="s">
        <v>288</v>
      </c>
      <c r="M74" s="44">
        <v>1</v>
      </c>
    </row>
    <row r="75" spans="1:46" ht="15" customHeight="1" x14ac:dyDescent="0.3">
      <c r="A75" s="29"/>
      <c r="B75" s="29"/>
      <c r="C75" s="34">
        <v>7403391</v>
      </c>
      <c r="D75" s="34" t="s">
        <v>155</v>
      </c>
      <c r="E75" s="59" t="s">
        <v>102</v>
      </c>
      <c r="F75" s="29">
        <v>1</v>
      </c>
      <c r="G75" s="29"/>
      <c r="H75" s="29">
        <v>1</v>
      </c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7">
        <v>7403096</v>
      </c>
      <c r="D76" s="7" t="s">
        <v>136</v>
      </c>
      <c r="E76" s="89" t="s">
        <v>133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</row>
    <row r="77" spans="1:46" ht="15" customHeight="1" x14ac:dyDescent="0.3">
      <c r="A77" s="29"/>
      <c r="B77" s="29"/>
      <c r="C77" s="34">
        <v>7409999</v>
      </c>
      <c r="D77" s="34" t="s">
        <v>176</v>
      </c>
      <c r="E77" s="59" t="s">
        <v>177</v>
      </c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57"/>
      <c r="B78" s="58"/>
      <c r="C78" s="34">
        <v>7104887</v>
      </c>
      <c r="D78" s="37" t="s">
        <v>312</v>
      </c>
      <c r="E78" s="59" t="s">
        <v>322</v>
      </c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x14ac:dyDescent="0.3">
      <c r="A79" s="57"/>
      <c r="B79" s="58"/>
      <c r="C79" s="34">
        <v>7403371</v>
      </c>
      <c r="D79" s="34" t="s">
        <v>156</v>
      </c>
      <c r="E79" s="59" t="s">
        <v>157</v>
      </c>
      <c r="F79" s="29">
        <v>1</v>
      </c>
      <c r="G79" s="29"/>
      <c r="H79" s="29"/>
      <c r="I79" s="29"/>
      <c r="J79" s="29"/>
      <c r="K79" s="29"/>
      <c r="L79" s="29"/>
      <c r="M79" s="29">
        <v>1</v>
      </c>
      <c r="N79" s="29">
        <v>1</v>
      </c>
      <c r="O79" s="29"/>
      <c r="P79" s="29"/>
      <c r="Q79" s="29"/>
      <c r="R79" s="29">
        <v>1</v>
      </c>
      <c r="S79" s="29">
        <v>1</v>
      </c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</row>
    <row r="80" spans="1:46" x14ac:dyDescent="0.3">
      <c r="A80" s="29"/>
      <c r="B80" s="29"/>
      <c r="C80" s="34">
        <v>7403471</v>
      </c>
      <c r="D80" s="34" t="s">
        <v>163</v>
      </c>
      <c r="E80" s="59" t="s">
        <v>164</v>
      </c>
      <c r="F80" s="29">
        <v>1</v>
      </c>
      <c r="G80" s="29"/>
      <c r="H80" s="29">
        <v>1</v>
      </c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29"/>
      <c r="B81" s="29"/>
      <c r="C81" s="7">
        <v>7403030</v>
      </c>
      <c r="D81" s="7" t="s">
        <v>117</v>
      </c>
      <c r="E81" s="33" t="s">
        <v>118</v>
      </c>
      <c r="F81" s="29">
        <v>1</v>
      </c>
      <c r="G81" s="29"/>
      <c r="H81" s="29"/>
      <c r="I81" s="29">
        <v>1</v>
      </c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>
        <v>1</v>
      </c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</row>
    <row r="82" spans="1:46" x14ac:dyDescent="0.3">
      <c r="A82" s="57"/>
      <c r="B82" s="58"/>
      <c r="C82" s="7">
        <v>7403026</v>
      </c>
      <c r="D82" s="7" t="s">
        <v>119</v>
      </c>
      <c r="E82" s="33" t="s">
        <v>120</v>
      </c>
      <c r="F82" s="29">
        <v>1</v>
      </c>
      <c r="G82" s="29"/>
      <c r="H82" s="29"/>
      <c r="I82" s="29">
        <v>1</v>
      </c>
      <c r="J82" s="29"/>
      <c r="K82" s="29"/>
      <c r="L82" s="29"/>
      <c r="M82" s="29">
        <v>1</v>
      </c>
      <c r="N82" s="29"/>
      <c r="O82" s="29"/>
      <c r="P82" s="29"/>
      <c r="Q82" s="29"/>
      <c r="R82" s="29"/>
      <c r="S82" s="29"/>
      <c r="T82" s="29"/>
      <c r="U82" s="29"/>
      <c r="V82" s="29"/>
      <c r="W82" s="29">
        <v>1</v>
      </c>
      <c r="X82" s="29"/>
      <c r="Y82" s="29"/>
      <c r="Z82" s="29"/>
      <c r="AA82" s="29">
        <v>1</v>
      </c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7104733</v>
      </c>
      <c r="D83" s="34" t="s">
        <v>283</v>
      </c>
      <c r="E83" s="59" t="s">
        <v>284</v>
      </c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</row>
    <row r="84" spans="1:46" x14ac:dyDescent="0.3">
      <c r="A84" s="57"/>
      <c r="B84" s="58"/>
      <c r="C84" s="34">
        <v>7104853</v>
      </c>
      <c r="D84" s="37" t="s">
        <v>313</v>
      </c>
      <c r="E84" s="59" t="s">
        <v>323</v>
      </c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57"/>
      <c r="B85" s="58"/>
      <c r="C85" s="34">
        <v>7104243</v>
      </c>
      <c r="D85" s="34" t="s">
        <v>263</v>
      </c>
      <c r="E85" s="59" t="s">
        <v>264</v>
      </c>
      <c r="F85" s="44">
        <v>1</v>
      </c>
      <c r="M85" s="44">
        <v>1</v>
      </c>
    </row>
    <row r="86" spans="1:46" x14ac:dyDescent="0.3">
      <c r="A86" s="57"/>
      <c r="B86" s="58"/>
      <c r="C86" s="34">
        <v>7078888</v>
      </c>
      <c r="D86" s="34" t="s">
        <v>342</v>
      </c>
      <c r="E86" s="59" t="s">
        <v>345</v>
      </c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56">
        <v>7403136</v>
      </c>
      <c r="D87" s="7" t="s">
        <v>137</v>
      </c>
      <c r="E87" s="33" t="s">
        <v>79</v>
      </c>
      <c r="F87" s="29">
        <v>1</v>
      </c>
      <c r="G87" s="29"/>
      <c r="H87" s="29"/>
      <c r="I87" s="29"/>
      <c r="J87" s="29"/>
      <c r="K87" s="29"/>
      <c r="L87" s="29"/>
      <c r="M87" s="29">
        <v>1</v>
      </c>
      <c r="N87" s="29">
        <v>1</v>
      </c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</row>
    <row r="88" spans="1:46" x14ac:dyDescent="0.3">
      <c r="A88" s="57"/>
      <c r="B88" s="58"/>
      <c r="C88" s="7">
        <v>7403099</v>
      </c>
      <c r="D88" s="7" t="s">
        <v>130</v>
      </c>
      <c r="E88" s="33" t="s">
        <v>74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>
        <v>1</v>
      </c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29"/>
      <c r="B89" s="29"/>
      <c r="C89" s="34">
        <v>108</v>
      </c>
      <c r="D89" s="7" t="s">
        <v>293</v>
      </c>
      <c r="E89" s="59" t="s">
        <v>301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3"/>
      <c r="B90" s="31"/>
      <c r="C90" s="37">
        <v>7401166</v>
      </c>
      <c r="D90" s="37" t="s">
        <v>73</v>
      </c>
      <c r="E90" s="40" t="s">
        <v>74</v>
      </c>
      <c r="F90" s="29">
        <v>1</v>
      </c>
      <c r="G90" s="29"/>
      <c r="H90" s="29"/>
      <c r="I90" s="29">
        <v>1</v>
      </c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>
        <v>1</v>
      </c>
      <c r="AA90" s="29">
        <v>1</v>
      </c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57"/>
      <c r="B91" s="58"/>
      <c r="C91" s="55">
        <v>7104858</v>
      </c>
      <c r="D91" s="37" t="s">
        <v>314</v>
      </c>
      <c r="E91" s="34" t="s">
        <v>324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34">
        <v>7104569</v>
      </c>
      <c r="D92" s="34" t="s">
        <v>265</v>
      </c>
      <c r="E92" s="59" t="s">
        <v>98</v>
      </c>
      <c r="M92" s="44">
        <v>1</v>
      </c>
    </row>
    <row r="93" spans="1:46" x14ac:dyDescent="0.3">
      <c r="A93" s="29"/>
      <c r="B93" s="29"/>
      <c r="C93" s="34">
        <v>7104331</v>
      </c>
      <c r="D93" s="34" t="s">
        <v>266</v>
      </c>
      <c r="E93" s="59" t="s">
        <v>79</v>
      </c>
      <c r="M93" s="44">
        <v>1</v>
      </c>
    </row>
    <row r="94" spans="1:46" x14ac:dyDescent="0.3">
      <c r="A94" s="29"/>
      <c r="B94" s="29"/>
      <c r="C94" s="7">
        <v>7403067</v>
      </c>
      <c r="D94" s="7" t="s">
        <v>131</v>
      </c>
      <c r="E94" s="33" t="s">
        <v>132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>
        <v>1</v>
      </c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</row>
    <row r="95" spans="1:46" x14ac:dyDescent="0.3">
      <c r="A95" s="29"/>
      <c r="B95" s="29"/>
      <c r="C95" s="55">
        <v>7401377</v>
      </c>
      <c r="D95" s="32" t="s">
        <v>110</v>
      </c>
      <c r="E95" s="32" t="s">
        <v>106</v>
      </c>
      <c r="F95" s="29">
        <v>1</v>
      </c>
      <c r="G95" s="29"/>
      <c r="H95" s="29"/>
      <c r="I95" s="29">
        <v>1</v>
      </c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>
        <v>1</v>
      </c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</row>
    <row r="96" spans="1:46" x14ac:dyDescent="0.3">
      <c r="A96" s="29"/>
      <c r="B96" s="29"/>
      <c r="C96" s="34">
        <v>7104693</v>
      </c>
      <c r="D96" s="34" t="s">
        <v>110</v>
      </c>
      <c r="E96" s="59" t="s">
        <v>242</v>
      </c>
      <c r="M96" s="44">
        <v>1</v>
      </c>
    </row>
    <row r="97" spans="1:46" x14ac:dyDescent="0.3">
      <c r="A97" s="57"/>
      <c r="B97" s="58"/>
      <c r="C97" s="34">
        <v>7104141</v>
      </c>
      <c r="D97" s="34" t="s">
        <v>198</v>
      </c>
      <c r="E97" s="59" t="s">
        <v>199</v>
      </c>
      <c r="F97" s="29">
        <v>1</v>
      </c>
      <c r="G97" s="29"/>
      <c r="H97" s="29">
        <v>1</v>
      </c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</row>
    <row r="98" spans="1:46" x14ac:dyDescent="0.3">
      <c r="A98" s="29"/>
      <c r="B98" s="29"/>
      <c r="C98" s="34">
        <v>53</v>
      </c>
      <c r="D98" s="34" t="s">
        <v>285</v>
      </c>
      <c r="E98" s="59" t="s">
        <v>286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34">
        <v>7104398</v>
      </c>
      <c r="D99" s="34" t="s">
        <v>241</v>
      </c>
      <c r="E99" s="59" t="s">
        <v>242</v>
      </c>
      <c r="F99" s="44">
        <v>1</v>
      </c>
      <c r="H99" s="44">
        <v>1</v>
      </c>
      <c r="M99" s="44">
        <v>1</v>
      </c>
    </row>
    <row r="100" spans="1:46" x14ac:dyDescent="0.3">
      <c r="A100" s="29"/>
      <c r="B100" s="29"/>
      <c r="C100" s="29">
        <v>7093553</v>
      </c>
      <c r="D100" s="29" t="s">
        <v>37</v>
      </c>
      <c r="E100" s="29" t="s">
        <v>38</v>
      </c>
      <c r="F100" s="29"/>
      <c r="G100" s="29"/>
      <c r="H100" s="29"/>
      <c r="I100" s="29"/>
      <c r="J100" s="29"/>
      <c r="K100" s="29"/>
      <c r="L100" s="29"/>
      <c r="M100" s="29">
        <v>1</v>
      </c>
      <c r="N100" s="29">
        <v>1</v>
      </c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>
        <v>1</v>
      </c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</row>
    <row r="101" spans="1:46" x14ac:dyDescent="0.3">
      <c r="A101" s="29"/>
      <c r="B101" s="29"/>
      <c r="C101" s="34">
        <v>7104427</v>
      </c>
      <c r="D101" s="34" t="s">
        <v>234</v>
      </c>
      <c r="E101" s="59" t="s">
        <v>218</v>
      </c>
      <c r="F101" s="29">
        <v>1</v>
      </c>
      <c r="G101" s="29"/>
      <c r="H101" s="29">
        <v>1</v>
      </c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>
        <v>1</v>
      </c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29"/>
      <c r="B102" s="29"/>
      <c r="C102" s="29">
        <v>7402338</v>
      </c>
      <c r="D102" s="29" t="s">
        <v>85</v>
      </c>
      <c r="E102" s="29" t="s">
        <v>86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29"/>
      <c r="B103" s="29"/>
      <c r="C103" s="34">
        <v>7104205</v>
      </c>
      <c r="D103" s="34" t="s">
        <v>205</v>
      </c>
      <c r="E103" s="59" t="s">
        <v>206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>
        <v>1</v>
      </c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>
        <v>1</v>
      </c>
      <c r="AJ103" s="29">
        <v>1</v>
      </c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7">
        <v>7403048</v>
      </c>
      <c r="D104" s="7" t="s">
        <v>123</v>
      </c>
      <c r="E104" s="33" t="s">
        <v>124</v>
      </c>
      <c r="F104" s="29"/>
      <c r="G104" s="29"/>
      <c r="H104" s="29"/>
      <c r="I104" s="29">
        <v>1</v>
      </c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>
        <v>1</v>
      </c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</row>
    <row r="105" spans="1:46" x14ac:dyDescent="0.3">
      <c r="A105" s="57"/>
      <c r="B105" s="58"/>
      <c r="C105" s="34">
        <v>7104550</v>
      </c>
      <c r="D105" s="34" t="s">
        <v>267</v>
      </c>
      <c r="E105" s="59" t="s">
        <v>268</v>
      </c>
      <c r="F105" s="44">
        <v>1</v>
      </c>
      <c r="H105" s="44">
        <v>1</v>
      </c>
      <c r="S105" s="44">
        <v>1</v>
      </c>
      <c r="T105" s="44">
        <v>1</v>
      </c>
    </row>
    <row r="106" spans="1:46" x14ac:dyDescent="0.3">
      <c r="A106" s="57"/>
      <c r="B106" s="58"/>
      <c r="C106" s="34">
        <v>7403384</v>
      </c>
      <c r="D106" s="34" t="s">
        <v>147</v>
      </c>
      <c r="E106" s="59" t="s">
        <v>148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57"/>
      <c r="B107" s="58"/>
      <c r="C107" s="55">
        <v>7403007</v>
      </c>
      <c r="D107" s="32" t="s">
        <v>111</v>
      </c>
      <c r="E107" s="32" t="s">
        <v>112</v>
      </c>
      <c r="F107" s="29"/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57"/>
      <c r="B108" s="58"/>
      <c r="C108" s="37">
        <v>7402698</v>
      </c>
      <c r="D108" s="37" t="s">
        <v>99</v>
      </c>
      <c r="E108" s="40" t="s">
        <v>100</v>
      </c>
      <c r="F108" s="29">
        <v>1</v>
      </c>
      <c r="G108" s="29"/>
      <c r="H108" s="29"/>
      <c r="I108" s="29">
        <v>1</v>
      </c>
      <c r="J108" s="29"/>
      <c r="K108" s="29"/>
      <c r="L108" s="29"/>
      <c r="M108" s="29">
        <v>1</v>
      </c>
      <c r="N108" s="29">
        <v>1</v>
      </c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>
        <v>1</v>
      </c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</row>
    <row r="109" spans="1:46" x14ac:dyDescent="0.3">
      <c r="A109" s="29"/>
      <c r="B109" s="29"/>
      <c r="C109" s="34">
        <v>7403455</v>
      </c>
      <c r="D109" s="34" t="s">
        <v>165</v>
      </c>
      <c r="E109" s="59" t="s">
        <v>200</v>
      </c>
      <c r="F109" s="29">
        <v>1</v>
      </c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29"/>
      <c r="B110" s="29"/>
      <c r="C110" s="55">
        <v>7402992</v>
      </c>
      <c r="D110" s="32" t="s">
        <v>113</v>
      </c>
      <c r="E110" s="32" t="s">
        <v>114</v>
      </c>
      <c r="F110" s="29">
        <v>1</v>
      </c>
      <c r="G110" s="29"/>
      <c r="H110" s="29"/>
      <c r="I110" s="29">
        <v>1</v>
      </c>
      <c r="J110" s="29"/>
      <c r="K110" s="29"/>
      <c r="L110" s="29"/>
      <c r="M110" s="29">
        <v>1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>
        <v>1</v>
      </c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57"/>
      <c r="B111" s="58"/>
      <c r="C111" s="34">
        <v>7104950</v>
      </c>
      <c r="D111" s="7" t="s">
        <v>329</v>
      </c>
      <c r="E111" s="59" t="s">
        <v>333</v>
      </c>
      <c r="F111" s="29"/>
      <c r="G111" s="29"/>
      <c r="H111" s="29"/>
      <c r="I111" s="29">
        <v>1</v>
      </c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57"/>
      <c r="B112" s="58"/>
      <c r="C112" s="34">
        <v>7105185</v>
      </c>
      <c r="D112" s="34" t="s">
        <v>347</v>
      </c>
      <c r="E112" s="59" t="s">
        <v>244</v>
      </c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</row>
    <row r="113" spans="1:46" x14ac:dyDescent="0.3">
      <c r="A113" s="57"/>
      <c r="B113" s="58"/>
      <c r="C113" s="34">
        <v>7104403</v>
      </c>
      <c r="D113" s="34" t="s">
        <v>274</v>
      </c>
      <c r="E113" s="59" t="s">
        <v>269</v>
      </c>
      <c r="F113" s="44">
        <v>1</v>
      </c>
      <c r="S113" s="44">
        <v>1</v>
      </c>
    </row>
    <row r="114" spans="1:46" x14ac:dyDescent="0.3">
      <c r="A114" s="29"/>
      <c r="B114" s="29"/>
      <c r="C114" s="34">
        <v>106</v>
      </c>
      <c r="D114" s="7" t="s">
        <v>294</v>
      </c>
      <c r="E114" s="59" t="s">
        <v>302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7">
        <v>7402369</v>
      </c>
      <c r="D115" s="37" t="s">
        <v>91</v>
      </c>
      <c r="E115" s="40" t="s">
        <v>92</v>
      </c>
      <c r="F115" s="29">
        <v>1</v>
      </c>
      <c r="G115" s="29"/>
      <c r="H115" s="29"/>
      <c r="I115" s="29">
        <v>1</v>
      </c>
      <c r="J115" s="29"/>
      <c r="K115" s="29"/>
      <c r="L115" s="29"/>
      <c r="M115" s="29">
        <v>1</v>
      </c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>
        <v>1</v>
      </c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55">
        <v>7403151</v>
      </c>
      <c r="D116" s="32" t="s">
        <v>139</v>
      </c>
      <c r="E116" s="32" t="s">
        <v>140</v>
      </c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57"/>
      <c r="B117" s="58"/>
      <c r="C117" s="34">
        <v>7100197</v>
      </c>
      <c r="D117" s="37" t="s">
        <v>105</v>
      </c>
      <c r="E117" s="40" t="s">
        <v>106</v>
      </c>
      <c r="F117" s="29">
        <v>1</v>
      </c>
      <c r="G117" s="29"/>
      <c r="H117" s="29"/>
      <c r="I117" s="29">
        <v>1</v>
      </c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>
        <v>1</v>
      </c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C118" s="56">
        <v>7403105</v>
      </c>
      <c r="D118" s="7" t="s">
        <v>105</v>
      </c>
      <c r="E118" s="33" t="s">
        <v>138</v>
      </c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29"/>
      <c r="B119" s="29"/>
      <c r="C119" s="34">
        <v>7403374</v>
      </c>
      <c r="D119" s="92" t="s">
        <v>75</v>
      </c>
      <c r="E119" s="90" t="s">
        <v>109</v>
      </c>
      <c r="F119" s="29">
        <v>1</v>
      </c>
      <c r="G119" s="29"/>
      <c r="H119" s="29">
        <v>1</v>
      </c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>
        <v>1</v>
      </c>
      <c r="V119" s="29">
        <v>1</v>
      </c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</row>
    <row r="120" spans="1:46" x14ac:dyDescent="0.3">
      <c r="A120" s="29"/>
      <c r="B120" s="29"/>
      <c r="C120" s="34">
        <v>7104224</v>
      </c>
      <c r="D120" s="34" t="s">
        <v>75</v>
      </c>
      <c r="E120" s="59" t="s">
        <v>100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34">
        <v>7403653</v>
      </c>
      <c r="D121" s="34" t="s">
        <v>178</v>
      </c>
      <c r="E121" s="59" t="s">
        <v>179</v>
      </c>
      <c r="F121" s="29">
        <v>1</v>
      </c>
      <c r="G121" s="29"/>
      <c r="H121" s="29">
        <v>1</v>
      </c>
      <c r="I121" s="29"/>
      <c r="J121" s="29"/>
      <c r="K121" s="29"/>
      <c r="L121" s="29">
        <v>1</v>
      </c>
      <c r="M121" s="29"/>
      <c r="N121" s="29"/>
      <c r="O121" s="29"/>
      <c r="P121" s="29"/>
      <c r="Q121" s="29"/>
      <c r="R121" s="29"/>
      <c r="S121" s="29"/>
      <c r="T121" s="29">
        <v>1</v>
      </c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4">
        <v>7104414</v>
      </c>
      <c r="D122" s="34" t="s">
        <v>235</v>
      </c>
      <c r="E122" s="59" t="s">
        <v>236</v>
      </c>
      <c r="F122" s="29"/>
      <c r="G122" s="29"/>
      <c r="H122" s="29">
        <v>1</v>
      </c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57"/>
      <c r="B123" s="58"/>
      <c r="C123" s="34">
        <v>7096686</v>
      </c>
      <c r="D123" s="34" t="s">
        <v>289</v>
      </c>
      <c r="E123" s="59" t="s">
        <v>58</v>
      </c>
      <c r="F123" s="29">
        <v>1</v>
      </c>
      <c r="G123" s="29"/>
      <c r="H123" s="29"/>
      <c r="I123" s="29"/>
      <c r="J123" s="29"/>
      <c r="K123" s="29"/>
      <c r="L123" s="29"/>
      <c r="M123" s="29">
        <v>1</v>
      </c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105</v>
      </c>
      <c r="D124" s="7" t="s">
        <v>295</v>
      </c>
      <c r="E124" s="59" t="s">
        <v>303</v>
      </c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7104673</v>
      </c>
      <c r="D125" s="34" t="s">
        <v>270</v>
      </c>
      <c r="E125" s="59" t="s">
        <v>262</v>
      </c>
      <c r="M125" s="44">
        <v>1</v>
      </c>
    </row>
    <row r="126" spans="1:46" x14ac:dyDescent="0.3">
      <c r="A126" s="57"/>
      <c r="B126" s="58"/>
      <c r="C126" s="34">
        <v>7104689</v>
      </c>
      <c r="D126" s="37" t="s">
        <v>315</v>
      </c>
      <c r="E126" s="59" t="s">
        <v>325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7078000</v>
      </c>
      <c r="D127" s="34" t="s">
        <v>343</v>
      </c>
      <c r="E127" s="59" t="s">
        <v>346</v>
      </c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</row>
    <row r="128" spans="1:46" x14ac:dyDescent="0.3">
      <c r="A128" s="57"/>
      <c r="B128" s="58"/>
      <c r="C128" s="34">
        <v>7105078</v>
      </c>
      <c r="D128" s="7" t="s">
        <v>336</v>
      </c>
      <c r="E128" s="94" t="s">
        <v>202</v>
      </c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57"/>
      <c r="B129" s="58"/>
      <c r="C129" s="37">
        <v>7401165</v>
      </c>
      <c r="D129" s="37" t="s">
        <v>72</v>
      </c>
      <c r="E129" s="40" t="s">
        <v>58</v>
      </c>
      <c r="F129" s="29">
        <v>1</v>
      </c>
      <c r="G129" s="29"/>
      <c r="H129" s="29">
        <v>1</v>
      </c>
      <c r="I129" s="29">
        <v>1</v>
      </c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>
        <v>1</v>
      </c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57"/>
      <c r="B130" s="58"/>
      <c r="C130" s="34">
        <v>7104225</v>
      </c>
      <c r="D130" s="34" t="s">
        <v>213</v>
      </c>
      <c r="E130" s="59" t="s">
        <v>214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7104418</v>
      </c>
      <c r="D131" s="34" t="s">
        <v>237</v>
      </c>
      <c r="E131" s="59" t="s">
        <v>238</v>
      </c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A132" s="57"/>
      <c r="B132" s="58"/>
      <c r="C132" s="7">
        <v>7403024</v>
      </c>
      <c r="D132" s="7" t="s">
        <v>125</v>
      </c>
      <c r="E132" s="33" t="s">
        <v>126</v>
      </c>
      <c r="F132" s="29">
        <v>1</v>
      </c>
      <c r="G132" s="29"/>
      <c r="H132" s="29"/>
      <c r="I132" s="29">
        <v>1</v>
      </c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>
        <v>1</v>
      </c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57"/>
      <c r="B133" s="58"/>
      <c r="C133" s="34">
        <v>7403383</v>
      </c>
      <c r="D133" s="34" t="s">
        <v>149</v>
      </c>
      <c r="E133" s="59" t="s">
        <v>150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/>
      <c r="W133" s="29"/>
      <c r="X133" s="29"/>
      <c r="Y133" s="29">
        <v>1</v>
      </c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57"/>
      <c r="B134" s="58"/>
      <c r="C134" s="7">
        <v>7403004</v>
      </c>
      <c r="D134" s="7" t="s">
        <v>127</v>
      </c>
      <c r="E134" s="33" t="s">
        <v>128</v>
      </c>
      <c r="F134" s="29">
        <v>1</v>
      </c>
      <c r="G134" s="29"/>
      <c r="H134" s="29"/>
      <c r="I134" s="29">
        <v>1</v>
      </c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>
        <v>1</v>
      </c>
      <c r="AB134" s="29"/>
      <c r="AC134" s="29"/>
      <c r="AD134" s="29"/>
      <c r="AE134" s="29"/>
      <c r="AF134" s="29"/>
      <c r="AG134" s="29"/>
      <c r="AH134" s="29"/>
      <c r="AI134" s="29"/>
      <c r="AJ134" s="29">
        <v>1</v>
      </c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</row>
    <row r="135" spans="1:46" x14ac:dyDescent="0.3">
      <c r="A135" s="57"/>
      <c r="B135" s="58"/>
      <c r="C135" s="34">
        <v>7104620</v>
      </c>
      <c r="D135" s="34" t="s">
        <v>271</v>
      </c>
      <c r="E135" s="59" t="s">
        <v>200</v>
      </c>
      <c r="M135" s="44">
        <v>1</v>
      </c>
    </row>
    <row r="136" spans="1:46" x14ac:dyDescent="0.3">
      <c r="A136" s="57"/>
      <c r="B136" s="58"/>
      <c r="C136" s="34">
        <v>101</v>
      </c>
      <c r="D136" s="7" t="s">
        <v>296</v>
      </c>
      <c r="E136" s="59" t="s">
        <v>304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</row>
    <row r="137" spans="1:46" x14ac:dyDescent="0.3">
      <c r="A137" s="57"/>
      <c r="B137" s="58"/>
      <c r="C137" s="34">
        <v>7104306</v>
      </c>
      <c r="D137" s="34" t="s">
        <v>272</v>
      </c>
      <c r="E137" s="59" t="s">
        <v>273</v>
      </c>
      <c r="M137" s="44">
        <v>1</v>
      </c>
    </row>
    <row r="138" spans="1:46" x14ac:dyDescent="0.3">
      <c r="A138" s="57"/>
      <c r="B138" s="58"/>
      <c r="C138" s="29">
        <v>7077883</v>
      </c>
      <c r="D138" s="29" t="s">
        <v>77</v>
      </c>
      <c r="E138" s="29" t="s">
        <v>78</v>
      </c>
      <c r="F138" s="29">
        <v>1</v>
      </c>
      <c r="G138" s="29"/>
      <c r="H138" s="29"/>
      <c r="I138" s="29">
        <v>1</v>
      </c>
      <c r="J138" s="29"/>
      <c r="K138" s="29"/>
      <c r="L138" s="29"/>
      <c r="M138" s="29">
        <v>1</v>
      </c>
      <c r="N138" s="29">
        <v>1</v>
      </c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>
        <v>1</v>
      </c>
      <c r="AA138" s="29">
        <v>1</v>
      </c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7104209</v>
      </c>
      <c r="D139" s="34" t="s">
        <v>211</v>
      </c>
      <c r="E139" s="59" t="s">
        <v>212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7104262</v>
      </c>
      <c r="D140" s="34" t="s">
        <v>221</v>
      </c>
      <c r="E140" s="59" t="s">
        <v>222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7104710</v>
      </c>
      <c r="D141" s="34" t="s">
        <v>287</v>
      </c>
      <c r="E141" s="59" t="s">
        <v>220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/>
      <c r="D142" s="34"/>
      <c r="E142" s="5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4"/>
      <c r="D143" s="34"/>
      <c r="E143" s="5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/>
      <c r="D144" s="34"/>
      <c r="E144" s="5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/>
      <c r="D145" s="34"/>
      <c r="E145" s="5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34"/>
      <c r="D146" s="34"/>
      <c r="E146" s="5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/>
      <c r="D147" s="34"/>
      <c r="E147" s="5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E148" s="45" t="s">
        <v>61</v>
      </c>
      <c r="F148" s="46">
        <v>4</v>
      </c>
      <c r="G148" s="46">
        <v>5</v>
      </c>
      <c r="H148" s="46">
        <v>6</v>
      </c>
      <c r="I148" s="46">
        <v>7</v>
      </c>
      <c r="J148" s="46">
        <v>8</v>
      </c>
      <c r="K148" s="46">
        <v>9</v>
      </c>
      <c r="L148" s="46">
        <v>10</v>
      </c>
      <c r="M148" s="46">
        <v>11</v>
      </c>
      <c r="N148" s="46">
        <v>12</v>
      </c>
      <c r="O148" s="46">
        <v>13</v>
      </c>
      <c r="P148" s="46">
        <v>14</v>
      </c>
      <c r="Q148" s="46">
        <v>15</v>
      </c>
      <c r="R148" s="46">
        <v>16</v>
      </c>
      <c r="S148" s="46">
        <v>17</v>
      </c>
      <c r="T148" s="46">
        <v>18</v>
      </c>
      <c r="U148" s="46">
        <v>19</v>
      </c>
      <c r="V148" s="46">
        <v>20</v>
      </c>
      <c r="W148" s="46">
        <v>21</v>
      </c>
      <c r="X148" s="46">
        <v>22</v>
      </c>
      <c r="Y148" s="46">
        <v>23</v>
      </c>
      <c r="Z148" s="46">
        <v>24</v>
      </c>
      <c r="AA148" s="46">
        <v>25</v>
      </c>
      <c r="AB148" s="46">
        <v>26</v>
      </c>
      <c r="AC148" s="46">
        <v>27</v>
      </c>
      <c r="AD148" s="46">
        <v>28</v>
      </c>
      <c r="AE148" s="46">
        <v>29</v>
      </c>
      <c r="AF148" s="46">
        <v>30</v>
      </c>
      <c r="AG148" s="46">
        <v>31</v>
      </c>
      <c r="AH148" s="46">
        <v>32</v>
      </c>
      <c r="AI148" s="46">
        <v>33</v>
      </c>
      <c r="AJ148" s="46">
        <v>34</v>
      </c>
      <c r="AK148" s="46">
        <v>35</v>
      </c>
      <c r="AL148" s="46">
        <v>36</v>
      </c>
      <c r="AM148" s="46">
        <v>37</v>
      </c>
      <c r="AN148" s="46">
        <v>38</v>
      </c>
      <c r="AO148" s="46">
        <v>39</v>
      </c>
      <c r="AP148" s="46">
        <v>40</v>
      </c>
      <c r="AQ148" s="46">
        <v>41</v>
      </c>
      <c r="AR148" s="46">
        <v>42</v>
      </c>
      <c r="AS148" s="46">
        <v>43</v>
      </c>
      <c r="AT148" s="46">
        <v>44</v>
      </c>
    </row>
    <row r="149" spans="1:46" ht="15" customHeight="1" x14ac:dyDescent="0.3"/>
  </sheetData>
  <autoFilter ref="A2:AT148" xr:uid="{00000000-0009-0000-0000-000001000000}"/>
  <sortState xmlns:xlrd2="http://schemas.microsoft.com/office/spreadsheetml/2017/richdata2" ref="A3:AT141">
    <sortCondition ref="D3:D141"/>
    <sortCondition ref="E3:E141"/>
  </sortState>
  <conditionalFormatting sqref="B9 B57:B72 B31:B54 B82:B104 B112:B133 B137:B146 B6:B7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3:B78">
    <cfRule type="containsText" dxfId="41" priority="64" operator="containsText" text="Blue">
      <formula>NOT(ISERROR(SEARCH("Blue",B73)))</formula>
    </cfRule>
    <cfRule type="containsText" priority="65" operator="containsText" text="Lay off">
      <formula>NOT(ISERROR(SEARCH("Lay off",B73)))</formula>
    </cfRule>
    <cfRule type="containsText" dxfId="40" priority="66" operator="containsText" text="Rock">
      <formula>NOT(ISERROR(SEARCH("Rock",B73)))</formula>
    </cfRule>
    <cfRule type="containsText" dxfId="39" priority="67" operator="containsText" text="d">
      <formula>NOT(ISERROR(SEARCH("d",B73)))</formula>
    </cfRule>
    <cfRule type="containsText" dxfId="38" priority="68" operator="containsText" text="B">
      <formula>NOT(ISERROR(SEARCH("B",B73)))</formula>
    </cfRule>
    <cfRule type="containsText" dxfId="37" priority="69" operator="containsText" text="u">
      <formula>NOT(ISERROR(SEARCH("u",B73)))</formula>
    </cfRule>
    <cfRule type="containsText" dxfId="36" priority="70" operator="containsText" text="u">
      <formula>NOT(ISERROR(SEARCH("u",B73)))</formula>
    </cfRule>
    <cfRule type="containsText" priority="71" operator="containsText" text="Off">
      <formula>NOT(ISERROR(SEARCH("Off",B73)))</formula>
    </cfRule>
    <cfRule type="containsText" dxfId="35" priority="72" operator="containsText" text="Maternity">
      <formula>NOT(ISERROR(SEARCH("Maternity",B73)))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4">
    <cfRule type="containsText" dxfId="13" priority="10" operator="containsText" text="Blue">
      <formula>NOT(ISERROR(SEARCH("Blue",B134)))</formula>
    </cfRule>
    <cfRule type="containsText" priority="11" operator="containsText" text="Lay off">
      <formula>NOT(ISERROR(SEARCH("Lay off",B134)))</formula>
    </cfRule>
    <cfRule type="containsText" dxfId="12" priority="12" operator="containsText" text="Rock">
      <formula>NOT(ISERROR(SEARCH("Rock",B134)))</formula>
    </cfRule>
    <cfRule type="containsText" dxfId="11" priority="13" operator="containsText" text="d">
      <formula>NOT(ISERROR(SEARCH("d",B134)))</formula>
    </cfRule>
    <cfRule type="containsText" dxfId="10" priority="14" operator="containsText" text="B">
      <formula>NOT(ISERROR(SEARCH("B",B134)))</formula>
    </cfRule>
    <cfRule type="containsText" dxfId="9" priority="15" operator="containsText" text="u">
      <formula>NOT(ISERROR(SEARCH("u",B134)))</formula>
    </cfRule>
    <cfRule type="containsText" dxfId="8" priority="16" operator="containsText" text="u">
      <formula>NOT(ISERROR(SEARCH("u",B134)))</formula>
    </cfRule>
    <cfRule type="containsText" priority="17" operator="containsText" text="Off">
      <formula>NOT(ISERROR(SEARCH("Off",B134)))</formula>
    </cfRule>
    <cfRule type="containsText" dxfId="7" priority="18" operator="containsText" text="Maternity">
      <formula>NOT(ISERROR(SEARCH("Maternity",B134)))</formula>
    </cfRule>
  </conditionalFormatting>
  <conditionalFormatting sqref="B135">
    <cfRule type="containsText" dxfId="6" priority="1" operator="containsText" text="Blue">
      <formula>NOT(ISERROR(SEARCH("Blue",B135)))</formula>
    </cfRule>
    <cfRule type="containsText" priority="2" operator="containsText" text="Lay off">
      <formula>NOT(ISERROR(SEARCH("Lay off",B135)))</formula>
    </cfRule>
    <cfRule type="containsText" dxfId="5" priority="3" operator="containsText" text="Rock">
      <formula>NOT(ISERROR(SEARCH("Rock",B135)))</formula>
    </cfRule>
    <cfRule type="containsText" dxfId="4" priority="4" operator="containsText" text="d">
      <formula>NOT(ISERROR(SEARCH("d",B135)))</formula>
    </cfRule>
    <cfRule type="containsText" dxfId="3" priority="5" operator="containsText" text="B">
      <formula>NOT(ISERROR(SEARCH("B",B135)))</formula>
    </cfRule>
    <cfRule type="containsText" dxfId="2" priority="6" operator="containsText" text="u">
      <formula>NOT(ISERROR(SEARCH("u",B135)))</formula>
    </cfRule>
    <cfRule type="containsText" dxfId="1" priority="7" operator="containsText" text="u">
      <formula>NOT(ISERROR(SEARCH("u",B135)))</formula>
    </cfRule>
    <cfRule type="containsText" priority="8" operator="containsText" text="Off">
      <formula>NOT(ISERROR(SEARCH("Off",B135)))</formula>
    </cfRule>
    <cfRule type="containsText" dxfId="0" priority="9" operator="containsText" text="Maternity">
      <formula>NOT(ISERROR(SEARCH("Maternity",B135)))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2022-09-17T22:50:57Z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dc0a70da-33b4-4b6a-91f8-67f2cc1b38fa</vt:lpwstr>
  </property>
  <property fmtid="{D5CDD505-2E9C-101B-9397-08002B2CF9AE}" pid="3" name="ABClassification">
    <vt:lpwstr>Confidential</vt:lpwstr>
  </property>
</Properties>
</file>